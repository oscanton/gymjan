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onocimientos\Programación\Proyectos\gymjan\"/>
    </mc:Choice>
  </mc:AlternateContent>
  <xr:revisionPtr revIDLastSave="0" documentId="13_ncr:1_{661FA802-AB51-4273-8EBF-5C9547B8566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Objetivos_calc" sheetId="1" r:id="rId1"/>
    <sheet name="Actividad_data" sheetId="2" r:id="rId2"/>
    <sheet name="Actividad_calc" sheetId="3" r:id="rId3"/>
    <sheet name="Alimentacion_data" sheetId="4" r:id="rId4"/>
    <sheet name="Alimentacion_calc" sheetId="5" r:id="rId5"/>
  </sheets>
  <definedNames>
    <definedName name="_xlnm._FilterDatabase" localSheetId="1" hidden="1">Actividad_data!$A$1:$F$100</definedName>
    <definedName name="_xlnm._FilterDatabase" localSheetId="3" hidden="1">Alimentacion_data!$A$1:$N$500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T3" i="5" l="1" a="1"/>
  <c r="BT3" i="5" s="1"/>
  <c r="BS3" i="5" a="1"/>
  <c r="BS3" i="5" s="1"/>
  <c r="BJ3" i="5" a="1"/>
  <c r="BJ3" i="5" s="1"/>
  <c r="BI3" i="5" a="1"/>
  <c r="BI3" i="5" s="1"/>
  <c r="AP3" i="5" a="1"/>
  <c r="AP3" i="5" s="1"/>
  <c r="AO3" i="5" a="1"/>
  <c r="AO3" i="5" s="1"/>
  <c r="V3" i="5" a="1"/>
  <c r="V3" i="5" s="1"/>
  <c r="U3" i="5" a="1"/>
  <c r="U3" i="5" s="1"/>
  <c r="AT3" i="1" a="1"/>
  <c r="AT3" i="1" s="1"/>
  <c r="AS3" i="1" a="1"/>
  <c r="AS3" i="1" s="1"/>
  <c r="BD3" i="1" a="1"/>
  <c r="BD3" i="1" s="1"/>
  <c r="AK3" i="1" a="1"/>
  <c r="AK3" i="1" s="1"/>
  <c r="BH3" i="1" a="1"/>
  <c r="BH3" i="1" s="1"/>
  <c r="AO3" i="1" a="1"/>
  <c r="AO3" i="1" s="1"/>
  <c r="S3" i="1" a="1"/>
  <c r="S3" i="1" s="1"/>
  <c r="O3" i="1" a="1"/>
  <c r="O3" i="1" s="1"/>
  <c r="H3" i="1" a="1"/>
  <c r="H3" i="1" s="1"/>
  <c r="J3" i="1" s="1" a="1"/>
  <c r="J3" i="1" s="1"/>
  <c r="K3" i="1" s="1" a="1"/>
  <c r="K3" i="1" s="1"/>
  <c r="G3" i="1" a="1"/>
  <c r="G3" i="1" s="1"/>
  <c r="BT3" i="1" l="1" a="1"/>
  <c r="BT3" i="1" s="1"/>
  <c r="AC3" i="1" a="1"/>
  <c r="AC3" i="1" s="1"/>
  <c r="L3" i="1" a="1"/>
  <c r="L3" i="1" s="1"/>
  <c r="N3" i="1" s="1" a="1"/>
  <c r="N3" i="1" s="1"/>
  <c r="M3" i="1" a="1"/>
  <c r="M3" i="1" s="1"/>
  <c r="BH3" i="5" a="1"/>
  <c r="BH3" i="5" s="1"/>
  <c r="BG3" i="5" a="1"/>
  <c r="BG3" i="5" s="1"/>
  <c r="BF3" i="5" a="1"/>
  <c r="BF3" i="5" s="1"/>
  <c r="BE3" i="5" a="1"/>
  <c r="BE3" i="5" s="1"/>
  <c r="BD3" i="5" a="1"/>
  <c r="BD3" i="5" s="1"/>
  <c r="BC3" i="5" a="1"/>
  <c r="BC3" i="5" s="1"/>
  <c r="BB3" i="5" a="1"/>
  <c r="BB3" i="5" s="1"/>
  <c r="BA3" i="5" a="1"/>
  <c r="BA3" i="5" s="1"/>
  <c r="AN3" i="5" a="1"/>
  <c r="AN3" i="5" s="1"/>
  <c r="AM3" i="5" a="1"/>
  <c r="AM3" i="5" s="1"/>
  <c r="AL3" i="5" a="1"/>
  <c r="AL3" i="5" s="1"/>
  <c r="AK3" i="5" a="1"/>
  <c r="AK3" i="5" s="1"/>
  <c r="AJ3" i="5" a="1"/>
  <c r="AJ3" i="5" s="1"/>
  <c r="AI3" i="5" a="1"/>
  <c r="AI3" i="5" s="1"/>
  <c r="AH3" i="5" a="1"/>
  <c r="AH3" i="5" s="1"/>
  <c r="AG3" i="5" a="1"/>
  <c r="AG3" i="5" s="1"/>
  <c r="T3" i="5" a="1"/>
  <c r="T3" i="5" s="1"/>
  <c r="BR3" i="5" s="1" a="1"/>
  <c r="BR3" i="5" s="1"/>
  <c r="BS3" i="1" s="1" a="1"/>
  <c r="BS3" i="1" s="1"/>
  <c r="S3" i="5" a="1"/>
  <c r="S3" i="5" s="1"/>
  <c r="BQ3" i="5" s="1" a="1"/>
  <c r="BQ3" i="5" s="1"/>
  <c r="BR3" i="1" s="1" a="1"/>
  <c r="BR3" i="1" s="1"/>
  <c r="R3" i="5" a="1"/>
  <c r="R3" i="5" s="1"/>
  <c r="BP3" i="5" s="1" a="1"/>
  <c r="BP3" i="5" s="1"/>
  <c r="BQ3" i="1" s="1" a="1"/>
  <c r="BQ3" i="1" s="1"/>
  <c r="Q3" i="5" a="1"/>
  <c r="Q3" i="5" s="1"/>
  <c r="BO3" i="5" s="1" a="1"/>
  <c r="BO3" i="5" s="1"/>
  <c r="BP3" i="1" s="1" a="1"/>
  <c r="BP3" i="1" s="1"/>
  <c r="P3" i="5" a="1"/>
  <c r="P3" i="5" s="1"/>
  <c r="O3" i="5" a="1"/>
  <c r="O3" i="5" s="1"/>
  <c r="N3" i="5" a="1"/>
  <c r="N3" i="5" s="1"/>
  <c r="M3" i="5" a="1"/>
  <c r="M3" i="5" s="1"/>
  <c r="BC3" i="3" a="1"/>
  <c r="BC3" i="3" s="1"/>
  <c r="BC11" i="3"/>
  <c r="BC12" i="3"/>
  <c r="BC13" i="3"/>
  <c r="BC14" i="3"/>
  <c r="BC31" i="3"/>
  <c r="BC32" i="3"/>
  <c r="BC33" i="3"/>
  <c r="BC34" i="3"/>
  <c r="BC46" i="3"/>
  <c r="BC47" i="3"/>
  <c r="BC48" i="3"/>
  <c r="BC49" i="3"/>
  <c r="BC61" i="3"/>
  <c r="BC62" i="3"/>
  <c r="BC66" i="3"/>
  <c r="BC67" i="3"/>
  <c r="BC79" i="3"/>
  <c r="BC80" i="3"/>
  <c r="BC81" i="3"/>
  <c r="BC82" i="3"/>
  <c r="BC94" i="3"/>
  <c r="BC95" i="3"/>
  <c r="BC96" i="3"/>
  <c r="BC97" i="3"/>
  <c r="AX3" i="3" a="1"/>
  <c r="AX3" i="3" s="1"/>
  <c r="AX12" i="3"/>
  <c r="AX13" i="3"/>
  <c r="AX14" i="3"/>
  <c r="AX19" i="3"/>
  <c r="AX20" i="3"/>
  <c r="AX32" i="3"/>
  <c r="AX33" i="3"/>
  <c r="AX34" i="3"/>
  <c r="AX35" i="3"/>
  <c r="AX36" i="3"/>
  <c r="AX48" i="3"/>
  <c r="AX49" i="3"/>
  <c r="AX50" i="3"/>
  <c r="AX55" i="3"/>
  <c r="AX56" i="3"/>
  <c r="AX68" i="3"/>
  <c r="AX69" i="3"/>
  <c r="AX70" i="3"/>
  <c r="AX71" i="3"/>
  <c r="AX72" i="3"/>
  <c r="AX84" i="3"/>
  <c r="AX85" i="3"/>
  <c r="AX86" i="3"/>
  <c r="AX91" i="3"/>
  <c r="AX92" i="3"/>
  <c r="AS3" i="3" a="1"/>
  <c r="AS3" i="3" s="1"/>
  <c r="AS7" i="3"/>
  <c r="AS8" i="3"/>
  <c r="AS9" i="3"/>
  <c r="AS10" i="3"/>
  <c r="AS11" i="3"/>
  <c r="AS22" i="3"/>
  <c r="AS23" i="3"/>
  <c r="AS24" i="3"/>
  <c r="AS25" i="3"/>
  <c r="AS26" i="3"/>
  <c r="AS31" i="3"/>
  <c r="AS38" i="3"/>
  <c r="AS43" i="3"/>
  <c r="AS44" i="3"/>
  <c r="AS45" i="3"/>
  <c r="AS46" i="3"/>
  <c r="AS47" i="3"/>
  <c r="AS58" i="3"/>
  <c r="AS59" i="3"/>
  <c r="AS60" i="3"/>
  <c r="AS61" i="3"/>
  <c r="AS62" i="3"/>
  <c r="AS67" i="3"/>
  <c r="AS74" i="3"/>
  <c r="AS79" i="3"/>
  <c r="AS80" i="3"/>
  <c r="AS81" i="3"/>
  <c r="AS82" i="3"/>
  <c r="AS83" i="3"/>
  <c r="AS94" i="3"/>
  <c r="AS95" i="3"/>
  <c r="AS96" i="3"/>
  <c r="AS97" i="3"/>
  <c r="AS98" i="3"/>
  <c r="AN3" i="3" a="1"/>
  <c r="AN13" i="3" s="1"/>
  <c r="AN21" i="3"/>
  <c r="AN33" i="3"/>
  <c r="AN37" i="3"/>
  <c r="AN54" i="3"/>
  <c r="AN66" i="3"/>
  <c r="AN70" i="3"/>
  <c r="AN84" i="3"/>
  <c r="AN96" i="3"/>
  <c r="AI3" i="3" a="1"/>
  <c r="AI13" i="3" s="1"/>
  <c r="AI3" i="3"/>
  <c r="AI20" i="3"/>
  <c r="AI32" i="3"/>
  <c r="AI36" i="3"/>
  <c r="AI50" i="3"/>
  <c r="AI61" i="3"/>
  <c r="AI66" i="3"/>
  <c r="AI78" i="3"/>
  <c r="AI82" i="3"/>
  <c r="AI93" i="3"/>
  <c r="AD3" i="3" a="1"/>
  <c r="AD3" i="3" s="1"/>
  <c r="AD10" i="3"/>
  <c r="AD11" i="3"/>
  <c r="AD12" i="3"/>
  <c r="AD13" i="3"/>
  <c r="AD14" i="3"/>
  <c r="AD21" i="3"/>
  <c r="AD23" i="3"/>
  <c r="AD26" i="3"/>
  <c r="AD34" i="3"/>
  <c r="AD35" i="3"/>
  <c r="AD36" i="3"/>
  <c r="AD37" i="3"/>
  <c r="AD38" i="3"/>
  <c r="AD45" i="3"/>
  <c r="AD47" i="3"/>
  <c r="AD50" i="3"/>
  <c r="AD56" i="3"/>
  <c r="AD57" i="3"/>
  <c r="AD58" i="3"/>
  <c r="AD59" i="3"/>
  <c r="AD60" i="3"/>
  <c r="AD61" i="3"/>
  <c r="AD66" i="3"/>
  <c r="AD70" i="3"/>
  <c r="AD72" i="3"/>
  <c r="AD73" i="3"/>
  <c r="AD74" i="3"/>
  <c r="AD78" i="3"/>
  <c r="AD80" i="3"/>
  <c r="AD81" i="3"/>
  <c r="AD83" i="3"/>
  <c r="AD85" i="3"/>
  <c r="AD86" i="3"/>
  <c r="AD92" i="3"/>
  <c r="AD93" i="3"/>
  <c r="AD94" i="3"/>
  <c r="AD95" i="3"/>
  <c r="AD96" i="3"/>
  <c r="AD97" i="3"/>
  <c r="Y3" i="3" a="1"/>
  <c r="Y9" i="3" s="1"/>
  <c r="Y10" i="3"/>
  <c r="Y12" i="3"/>
  <c r="Y22" i="3"/>
  <c r="Y32" i="3"/>
  <c r="Y34" i="3"/>
  <c r="Y36" i="3"/>
  <c r="Y37" i="3"/>
  <c r="Y49" i="3"/>
  <c r="Y58" i="3"/>
  <c r="Y59" i="3"/>
  <c r="Y61" i="3"/>
  <c r="Y68" i="3"/>
  <c r="Y80" i="3"/>
  <c r="Y83" i="3"/>
  <c r="Y85" i="3"/>
  <c r="Y93" i="3"/>
  <c r="Y95" i="3"/>
  <c r="T3" i="3" a="1"/>
  <c r="T23" i="3" s="1"/>
  <c r="T6" i="3"/>
  <c r="T10" i="3"/>
  <c r="T11" i="3"/>
  <c r="T13" i="3"/>
  <c r="T18" i="3"/>
  <c r="T19" i="3"/>
  <c r="T26" i="3"/>
  <c r="T32" i="3"/>
  <c r="T33" i="3"/>
  <c r="T34" i="3"/>
  <c r="T36" i="3"/>
  <c r="T38" i="3"/>
  <c r="T48" i="3"/>
  <c r="T50" i="3"/>
  <c r="T54" i="3"/>
  <c r="T56" i="3"/>
  <c r="T59" i="3"/>
  <c r="T61" i="3"/>
  <c r="T69" i="3"/>
  <c r="T73" i="3"/>
  <c r="T74" i="3"/>
  <c r="T79" i="3"/>
  <c r="T81" i="3"/>
  <c r="T82" i="3"/>
  <c r="T92" i="3"/>
  <c r="T95" i="3"/>
  <c r="T96" i="3"/>
  <c r="T97" i="3"/>
  <c r="O3" i="3" a="1"/>
  <c r="O10" i="3" s="1"/>
  <c r="O8" i="3"/>
  <c r="O21" i="3"/>
  <c r="O23" i="3"/>
  <c r="O26" i="3"/>
  <c r="O31" i="3"/>
  <c r="O44" i="3"/>
  <c r="O46" i="3"/>
  <c r="O48" i="3"/>
  <c r="O49" i="3"/>
  <c r="O66" i="3"/>
  <c r="O67" i="3"/>
  <c r="O69" i="3"/>
  <c r="O71" i="3"/>
  <c r="O84" i="3"/>
  <c r="O86" i="3"/>
  <c r="O92" i="3"/>
  <c r="O94" i="3"/>
  <c r="J3" i="3" a="1"/>
  <c r="J38" i="3" s="1"/>
  <c r="J23" i="3"/>
  <c r="J25" i="3"/>
  <c r="J35" i="3"/>
  <c r="J36" i="3"/>
  <c r="J71" i="3"/>
  <c r="J72" i="3"/>
  <c r="J74" i="3"/>
  <c r="J84" i="3"/>
  <c r="BD3" i="3" a="1"/>
  <c r="BK3" i="5" l="1" a="1"/>
  <c r="BK3" i="5" s="1"/>
  <c r="BL3" i="1" s="1" a="1"/>
  <c r="BL3" i="1" s="1"/>
  <c r="BL3" i="5" a="1"/>
  <c r="BL3" i="5" s="1"/>
  <c r="BM3" i="1" s="1" a="1"/>
  <c r="BM3" i="1" s="1"/>
  <c r="BM3" i="5" a="1"/>
  <c r="BM3" i="5" s="1"/>
  <c r="BN3" i="1" s="1" a="1"/>
  <c r="BN3" i="1" s="1"/>
  <c r="BN3" i="5" a="1"/>
  <c r="BN3" i="5" s="1"/>
  <c r="BO3" i="1" s="1" a="1"/>
  <c r="BO3" i="1" s="1"/>
  <c r="P3" i="1" a="1"/>
  <c r="P3" i="1" s="1"/>
  <c r="R3" i="1" a="1"/>
  <c r="R3" i="1" s="1"/>
  <c r="Q3" i="1" a="1"/>
  <c r="Q3" i="1" s="1"/>
  <c r="AF3" i="1" a="1"/>
  <c r="AF3" i="1" s="1"/>
  <c r="AI3" i="1" s="1" a="1"/>
  <c r="AI3" i="1" s="1"/>
  <c r="AE3" i="1" a="1"/>
  <c r="AE3" i="1" s="1"/>
  <c r="AH3" i="1" s="1" a="1"/>
  <c r="AH3" i="1" s="1"/>
  <c r="AD3" i="1" a="1"/>
  <c r="AD3" i="1" s="1"/>
  <c r="AG3" i="1" s="1" a="1"/>
  <c r="AG3" i="1" s="1"/>
  <c r="AJ3" i="1" s="1" a="1"/>
  <c r="AJ3" i="1" s="1"/>
  <c r="J62" i="3"/>
  <c r="J14" i="3"/>
  <c r="O83" i="3"/>
  <c r="O62" i="3"/>
  <c r="O43" i="3"/>
  <c r="O20" i="3"/>
  <c r="J61" i="3"/>
  <c r="J12" i="3"/>
  <c r="O82" i="3"/>
  <c r="O61" i="3"/>
  <c r="O38" i="3"/>
  <c r="O19" i="3"/>
  <c r="T94" i="3"/>
  <c r="T71" i="3"/>
  <c r="T49" i="3"/>
  <c r="T31" i="3"/>
  <c r="T8" i="3"/>
  <c r="Y81" i="3"/>
  <c r="Y56" i="3"/>
  <c r="Y24" i="3"/>
  <c r="AI80" i="3"/>
  <c r="AI51" i="3"/>
  <c r="AI21" i="3"/>
  <c r="AN85" i="3"/>
  <c r="AN55" i="3"/>
  <c r="AN22" i="3"/>
  <c r="J98" i="3"/>
  <c r="J50" i="3"/>
  <c r="O98" i="3"/>
  <c r="O80" i="3"/>
  <c r="O58" i="3"/>
  <c r="O35" i="3"/>
  <c r="O14" i="3"/>
  <c r="T91" i="3"/>
  <c r="T68" i="3"/>
  <c r="T47" i="3"/>
  <c r="T25" i="3"/>
  <c r="J97" i="3"/>
  <c r="J48" i="3"/>
  <c r="O97" i="3"/>
  <c r="O79" i="3"/>
  <c r="O56" i="3"/>
  <c r="O34" i="3"/>
  <c r="O13" i="3"/>
  <c r="T86" i="3"/>
  <c r="T67" i="3"/>
  <c r="T46" i="3"/>
  <c r="Y98" i="3"/>
  <c r="Y73" i="3"/>
  <c r="Y46" i="3"/>
  <c r="Y20" i="3"/>
  <c r="AI96" i="3"/>
  <c r="AI75" i="3"/>
  <c r="AI48" i="3"/>
  <c r="AI15" i="3"/>
  <c r="AN82" i="3"/>
  <c r="AN49" i="3"/>
  <c r="AN19" i="3"/>
  <c r="J59" i="3"/>
  <c r="O36" i="3"/>
  <c r="T3" i="3"/>
  <c r="T7" i="3"/>
  <c r="T22" i="3"/>
  <c r="T37" i="3"/>
  <c r="T55" i="3"/>
  <c r="T70" i="3"/>
  <c r="T85" i="3"/>
  <c r="T9" i="3"/>
  <c r="T24" i="3"/>
  <c r="T42" i="3"/>
  <c r="T57" i="3"/>
  <c r="T72" i="3"/>
  <c r="T90" i="3"/>
  <c r="T12" i="3"/>
  <c r="T30" i="3"/>
  <c r="T45" i="3"/>
  <c r="T60" i="3"/>
  <c r="T78" i="3"/>
  <c r="T93" i="3"/>
  <c r="Y74" i="3"/>
  <c r="Y48" i="3"/>
  <c r="Y21" i="3"/>
  <c r="AI98" i="3"/>
  <c r="AI76" i="3"/>
  <c r="AI49" i="3"/>
  <c r="AI16" i="3"/>
  <c r="AN83" i="3"/>
  <c r="AN50" i="3"/>
  <c r="AN20" i="3"/>
  <c r="J95" i="3"/>
  <c r="O96" i="3"/>
  <c r="O74" i="3"/>
  <c r="O54" i="3"/>
  <c r="O33" i="3"/>
  <c r="O11" i="3"/>
  <c r="T84" i="3"/>
  <c r="T66" i="3"/>
  <c r="T44" i="3"/>
  <c r="T21" i="3"/>
  <c r="Y97" i="3"/>
  <c r="Y71" i="3"/>
  <c r="Y44" i="3"/>
  <c r="Y14" i="3"/>
  <c r="J3" i="3"/>
  <c r="J11" i="3"/>
  <c r="J47" i="3"/>
  <c r="J83" i="3"/>
  <c r="J13" i="3"/>
  <c r="J49" i="3"/>
  <c r="J85" i="3"/>
  <c r="J24" i="3"/>
  <c r="J60" i="3"/>
  <c r="J96" i="3"/>
  <c r="O81" i="3"/>
  <c r="O59" i="3"/>
  <c r="O18" i="3"/>
  <c r="AI95" i="3"/>
  <c r="AI70" i="3"/>
  <c r="AI47" i="3"/>
  <c r="AI14" i="3"/>
  <c r="AN81" i="3"/>
  <c r="AN48" i="3"/>
  <c r="AN14" i="3"/>
  <c r="J86" i="3"/>
  <c r="J37" i="3"/>
  <c r="O95" i="3"/>
  <c r="O73" i="3"/>
  <c r="O50" i="3"/>
  <c r="O32" i="3"/>
  <c r="T83" i="3"/>
  <c r="T62" i="3"/>
  <c r="T43" i="3"/>
  <c r="T20" i="3"/>
  <c r="Y96" i="3"/>
  <c r="Y70" i="3"/>
  <c r="Y38" i="3"/>
  <c r="Y13" i="3"/>
  <c r="AI94" i="3"/>
  <c r="AI68" i="3"/>
  <c r="AI46" i="3"/>
  <c r="AN80" i="3"/>
  <c r="AN47" i="3"/>
  <c r="AN3" i="3"/>
  <c r="AN7" i="3"/>
  <c r="AN23" i="3"/>
  <c r="AN38" i="3"/>
  <c r="AN56" i="3"/>
  <c r="AN71" i="3"/>
  <c r="AN86" i="3"/>
  <c r="AN8" i="3"/>
  <c r="AN24" i="3"/>
  <c r="AN42" i="3"/>
  <c r="AN57" i="3"/>
  <c r="AN72" i="3"/>
  <c r="AN90" i="3"/>
  <c r="AN9" i="3"/>
  <c r="AN25" i="3"/>
  <c r="AN43" i="3"/>
  <c r="AN58" i="3"/>
  <c r="AN73" i="3"/>
  <c r="AN91" i="3"/>
  <c r="AN10" i="3"/>
  <c r="AN26" i="3"/>
  <c r="AN44" i="3"/>
  <c r="AN59" i="3"/>
  <c r="AN74" i="3"/>
  <c r="AN92" i="3"/>
  <c r="AN11" i="3"/>
  <c r="AN30" i="3"/>
  <c r="AN45" i="3"/>
  <c r="AN60" i="3"/>
  <c r="AN78" i="3"/>
  <c r="AN93" i="3"/>
  <c r="AN12" i="3"/>
  <c r="AN31" i="3"/>
  <c r="AN46" i="3"/>
  <c r="AN61" i="3"/>
  <c r="AN79" i="3"/>
  <c r="AN94" i="3"/>
  <c r="O3" i="3"/>
  <c r="O7" i="3"/>
  <c r="O22" i="3"/>
  <c r="O37" i="3"/>
  <c r="O55" i="3"/>
  <c r="O70" i="3"/>
  <c r="O85" i="3"/>
  <c r="O9" i="3"/>
  <c r="O24" i="3"/>
  <c r="O42" i="3"/>
  <c r="O57" i="3"/>
  <c r="O72" i="3"/>
  <c r="O90" i="3"/>
  <c r="O12" i="3"/>
  <c r="O30" i="3"/>
  <c r="O45" i="3"/>
  <c r="O60" i="3"/>
  <c r="O78" i="3"/>
  <c r="O93" i="3"/>
  <c r="AI5" i="3"/>
  <c r="AI4" i="3"/>
  <c r="AI22" i="3"/>
  <c r="AI37" i="3"/>
  <c r="AI52" i="3"/>
  <c r="AI69" i="3"/>
  <c r="AI83" i="3"/>
  <c r="AI97" i="3"/>
  <c r="AI8" i="3"/>
  <c r="AI23" i="3"/>
  <c r="AI38" i="3"/>
  <c r="AI9" i="3"/>
  <c r="AI24" i="3"/>
  <c r="AI39" i="3"/>
  <c r="AI57" i="3"/>
  <c r="AI71" i="3"/>
  <c r="AI85" i="3"/>
  <c r="AI99" i="3"/>
  <c r="AI10" i="3"/>
  <c r="AI25" i="3"/>
  <c r="AI40" i="3"/>
  <c r="AI58" i="3"/>
  <c r="AI72" i="3"/>
  <c r="AI86" i="3"/>
  <c r="AI100" i="3"/>
  <c r="AI11" i="3"/>
  <c r="AI26" i="3"/>
  <c r="AI44" i="3"/>
  <c r="AI59" i="3"/>
  <c r="AI73" i="3"/>
  <c r="AI87" i="3"/>
  <c r="AI12" i="3"/>
  <c r="AI27" i="3"/>
  <c r="AI45" i="3"/>
  <c r="AI60" i="3"/>
  <c r="AI74" i="3"/>
  <c r="AI88" i="3"/>
  <c r="AN69" i="3"/>
  <c r="AN36" i="3"/>
  <c r="AI92" i="3"/>
  <c r="AI64" i="3"/>
  <c r="AI35" i="3"/>
  <c r="J73" i="3"/>
  <c r="J26" i="3"/>
  <c r="O91" i="3"/>
  <c r="O68" i="3"/>
  <c r="O47" i="3"/>
  <c r="O25" i="3"/>
  <c r="T98" i="3"/>
  <c r="T80" i="3"/>
  <c r="T58" i="3"/>
  <c r="T35" i="3"/>
  <c r="T14" i="3"/>
  <c r="Y92" i="3"/>
  <c r="Y60" i="3"/>
  <c r="Y35" i="3"/>
  <c r="AI90" i="3"/>
  <c r="AI63" i="3"/>
  <c r="AI34" i="3"/>
  <c r="AN98" i="3"/>
  <c r="AN68" i="3"/>
  <c r="AN35" i="3"/>
  <c r="Y3" i="3"/>
  <c r="Y23" i="3"/>
  <c r="Y45" i="3"/>
  <c r="Y62" i="3"/>
  <c r="Y84" i="3"/>
  <c r="Y8" i="3"/>
  <c r="Y25" i="3"/>
  <c r="Y47" i="3"/>
  <c r="Y69" i="3"/>
  <c r="Y86" i="3"/>
  <c r="Y11" i="3"/>
  <c r="Y33" i="3"/>
  <c r="Y50" i="3"/>
  <c r="Y72" i="3"/>
  <c r="Y94" i="3"/>
  <c r="AI84" i="3"/>
  <c r="AI62" i="3"/>
  <c r="AI33" i="3"/>
  <c r="AN97" i="3"/>
  <c r="AN67" i="3"/>
  <c r="AN34" i="3"/>
  <c r="Y82" i="3"/>
  <c r="Y57" i="3"/>
  <c r="Y26" i="3"/>
  <c r="AI81" i="3"/>
  <c r="AI56" i="3"/>
  <c r="AI28" i="3"/>
  <c r="AN95" i="3"/>
  <c r="AN62" i="3"/>
  <c r="AN32" i="3"/>
  <c r="BC93" i="3"/>
  <c r="BC78" i="3"/>
  <c r="BC60" i="3"/>
  <c r="BC45" i="3"/>
  <c r="BC26" i="3"/>
  <c r="BC10" i="3"/>
  <c r="AX83" i="3"/>
  <c r="AX67" i="3"/>
  <c r="AX47" i="3"/>
  <c r="AX31" i="3"/>
  <c r="AX11" i="3"/>
  <c r="BC92" i="3"/>
  <c r="BC74" i="3"/>
  <c r="BC59" i="3"/>
  <c r="BC44" i="3"/>
  <c r="BC25" i="3"/>
  <c r="BC9" i="3"/>
  <c r="AD90" i="3"/>
  <c r="AD71" i="3"/>
  <c r="AD54" i="3"/>
  <c r="AD33" i="3"/>
  <c r="AD9" i="3"/>
  <c r="AS93" i="3"/>
  <c r="AS73" i="3"/>
  <c r="AS57" i="3"/>
  <c r="AS37" i="3"/>
  <c r="AS21" i="3"/>
  <c r="AX98" i="3"/>
  <c r="AX82" i="3"/>
  <c r="AX62" i="3"/>
  <c r="AX46" i="3"/>
  <c r="AX26" i="3"/>
  <c r="AX10" i="3"/>
  <c r="BC91" i="3"/>
  <c r="BC73" i="3"/>
  <c r="BC58" i="3"/>
  <c r="BC43" i="3"/>
  <c r="BC24" i="3"/>
  <c r="BC8" i="3"/>
  <c r="AS92" i="3"/>
  <c r="AS72" i="3"/>
  <c r="AS56" i="3"/>
  <c r="AS36" i="3"/>
  <c r="AS20" i="3"/>
  <c r="AX97" i="3"/>
  <c r="AX81" i="3"/>
  <c r="AX61" i="3"/>
  <c r="AX45" i="3"/>
  <c r="AX25" i="3"/>
  <c r="AX9" i="3"/>
  <c r="BC90" i="3"/>
  <c r="BC72" i="3"/>
  <c r="BC57" i="3"/>
  <c r="BC42" i="3"/>
  <c r="BC23" i="3"/>
  <c r="BC7" i="3"/>
  <c r="AD69" i="3"/>
  <c r="AD49" i="3"/>
  <c r="AD25" i="3"/>
  <c r="AS91" i="3"/>
  <c r="AS71" i="3"/>
  <c r="AS55" i="3"/>
  <c r="AS35" i="3"/>
  <c r="AS19" i="3"/>
  <c r="AX96" i="3"/>
  <c r="AX80" i="3"/>
  <c r="AX60" i="3"/>
  <c r="AX44" i="3"/>
  <c r="AX24" i="3"/>
  <c r="AX8" i="3"/>
  <c r="BC86" i="3"/>
  <c r="BC71" i="3"/>
  <c r="BC56" i="3"/>
  <c r="BC38" i="3"/>
  <c r="BC22" i="3"/>
  <c r="AD84" i="3"/>
  <c r="AD68" i="3"/>
  <c r="AD48" i="3"/>
  <c r="AD24" i="3"/>
  <c r="AS86" i="3"/>
  <c r="AS70" i="3"/>
  <c r="AS50" i="3"/>
  <c r="AS34" i="3"/>
  <c r="AS14" i="3"/>
  <c r="AX95" i="3"/>
  <c r="AX79" i="3"/>
  <c r="AX59" i="3"/>
  <c r="AX43" i="3"/>
  <c r="AX23" i="3"/>
  <c r="AX7" i="3"/>
  <c r="BC85" i="3"/>
  <c r="BC70" i="3"/>
  <c r="BC55" i="3"/>
  <c r="BC37" i="3"/>
  <c r="BC21" i="3"/>
  <c r="BC84" i="3"/>
  <c r="BC69" i="3"/>
  <c r="BC54" i="3"/>
  <c r="BC36" i="3"/>
  <c r="BC20" i="3"/>
  <c r="AS85" i="3"/>
  <c r="AS69" i="3"/>
  <c r="AS49" i="3"/>
  <c r="AS33" i="3"/>
  <c r="AS13" i="3"/>
  <c r="AX94" i="3"/>
  <c r="AX74" i="3"/>
  <c r="AX58" i="3"/>
  <c r="AX38" i="3"/>
  <c r="AX22" i="3"/>
  <c r="AD98" i="3"/>
  <c r="AD82" i="3"/>
  <c r="AD62" i="3"/>
  <c r="AD46" i="3"/>
  <c r="AD22" i="3"/>
  <c r="AS84" i="3"/>
  <c r="AS68" i="3"/>
  <c r="AS48" i="3"/>
  <c r="AS32" i="3"/>
  <c r="AS12" i="3"/>
  <c r="AX93" i="3"/>
  <c r="AX73" i="3"/>
  <c r="AX57" i="3"/>
  <c r="AX37" i="3"/>
  <c r="AX21" i="3"/>
  <c r="BC98" i="3"/>
  <c r="BC83" i="3"/>
  <c r="BC68" i="3"/>
  <c r="BC50" i="3"/>
  <c r="BC35" i="3"/>
  <c r="BC19" i="3"/>
  <c r="BC30" i="3"/>
  <c r="BC18" i="3"/>
  <c r="BC6" i="3"/>
  <c r="BC89" i="3"/>
  <c r="BC77" i="3"/>
  <c r="BC65" i="3"/>
  <c r="BC53" i="3"/>
  <c r="BC41" i="3"/>
  <c r="BC29" i="3"/>
  <c r="BC17" i="3"/>
  <c r="BC5" i="3"/>
  <c r="BD5" i="3" s="1"/>
  <c r="BC100" i="3"/>
  <c r="BC88" i="3"/>
  <c r="BC76" i="3"/>
  <c r="BC64" i="3"/>
  <c r="BC52" i="3"/>
  <c r="BC40" i="3"/>
  <c r="BC28" i="3"/>
  <c r="BC16" i="3"/>
  <c r="BC4" i="3"/>
  <c r="BC99" i="3"/>
  <c r="BC87" i="3"/>
  <c r="BC75" i="3"/>
  <c r="BC63" i="3"/>
  <c r="BC51" i="3"/>
  <c r="BC39" i="3"/>
  <c r="BC27" i="3"/>
  <c r="BC15" i="3"/>
  <c r="AX90" i="3"/>
  <c r="AX78" i="3"/>
  <c r="AX66" i="3"/>
  <c r="AX54" i="3"/>
  <c r="AX42" i="3"/>
  <c r="AX30" i="3"/>
  <c r="AX18" i="3"/>
  <c r="AX6" i="3"/>
  <c r="AX89" i="3"/>
  <c r="AX77" i="3"/>
  <c r="AX65" i="3"/>
  <c r="AX53" i="3"/>
  <c r="AX41" i="3"/>
  <c r="AX29" i="3"/>
  <c r="AX17" i="3"/>
  <c r="AX5" i="3"/>
  <c r="AX100" i="3"/>
  <c r="AX88" i="3"/>
  <c r="AX76" i="3"/>
  <c r="AX64" i="3"/>
  <c r="AX52" i="3"/>
  <c r="AX40" i="3"/>
  <c r="AX28" i="3"/>
  <c r="AX16" i="3"/>
  <c r="AX4" i="3"/>
  <c r="AX99" i="3"/>
  <c r="AX87" i="3"/>
  <c r="AX75" i="3"/>
  <c r="AX63" i="3"/>
  <c r="AX51" i="3"/>
  <c r="AX39" i="3"/>
  <c r="AX27" i="3"/>
  <c r="AX15" i="3"/>
  <c r="AS90" i="3"/>
  <c r="AS78" i="3"/>
  <c r="AS66" i="3"/>
  <c r="AS54" i="3"/>
  <c r="AS42" i="3"/>
  <c r="AS30" i="3"/>
  <c r="AS18" i="3"/>
  <c r="AS6" i="3"/>
  <c r="AS89" i="3"/>
  <c r="AS77" i="3"/>
  <c r="AS65" i="3"/>
  <c r="AS53" i="3"/>
  <c r="AS41" i="3"/>
  <c r="AS29" i="3"/>
  <c r="AS17" i="3"/>
  <c r="AS5" i="3"/>
  <c r="AS100" i="3"/>
  <c r="AS88" i="3"/>
  <c r="AS76" i="3"/>
  <c r="AS64" i="3"/>
  <c r="AS52" i="3"/>
  <c r="AS40" i="3"/>
  <c r="AS28" i="3"/>
  <c r="AS16" i="3"/>
  <c r="AS4" i="3"/>
  <c r="AS99" i="3"/>
  <c r="AS87" i="3"/>
  <c r="AS75" i="3"/>
  <c r="AS63" i="3"/>
  <c r="AS51" i="3"/>
  <c r="AS39" i="3"/>
  <c r="AS27" i="3"/>
  <c r="AS15" i="3"/>
  <c r="AN18" i="3"/>
  <c r="AN6" i="3"/>
  <c r="AN89" i="3"/>
  <c r="AN77" i="3"/>
  <c r="AN65" i="3"/>
  <c r="AN53" i="3"/>
  <c r="AN41" i="3"/>
  <c r="AN29" i="3"/>
  <c r="AN17" i="3"/>
  <c r="AN5" i="3"/>
  <c r="AN100" i="3"/>
  <c r="AN88" i="3"/>
  <c r="AN76" i="3"/>
  <c r="AN64" i="3"/>
  <c r="AN52" i="3"/>
  <c r="AN40" i="3"/>
  <c r="AN28" i="3"/>
  <c r="AN16" i="3"/>
  <c r="AN4" i="3"/>
  <c r="AN99" i="3"/>
  <c r="AN87" i="3"/>
  <c r="AN75" i="3"/>
  <c r="AN63" i="3"/>
  <c r="AN51" i="3"/>
  <c r="AN39" i="3"/>
  <c r="AN27" i="3"/>
  <c r="AN15" i="3"/>
  <c r="AI91" i="3"/>
  <c r="AI79" i="3"/>
  <c r="AI67" i="3"/>
  <c r="AI55" i="3"/>
  <c r="AI43" i="3"/>
  <c r="AI31" i="3"/>
  <c r="AI19" i="3"/>
  <c r="AI7" i="3"/>
  <c r="AI54" i="3"/>
  <c r="AI42" i="3"/>
  <c r="AI30" i="3"/>
  <c r="AI18" i="3"/>
  <c r="AI6" i="3"/>
  <c r="AI89" i="3"/>
  <c r="AI77" i="3"/>
  <c r="AI65" i="3"/>
  <c r="AI53" i="3"/>
  <c r="AI41" i="3"/>
  <c r="AI29" i="3"/>
  <c r="AI17" i="3"/>
  <c r="AD44" i="3"/>
  <c r="AD32" i="3"/>
  <c r="AD20" i="3"/>
  <c r="AD8" i="3"/>
  <c r="AD91" i="3"/>
  <c r="AD79" i="3"/>
  <c r="AD67" i="3"/>
  <c r="AD55" i="3"/>
  <c r="AD43" i="3"/>
  <c r="AD31" i="3"/>
  <c r="AD19" i="3"/>
  <c r="AD7" i="3"/>
  <c r="AD42" i="3"/>
  <c r="AD30" i="3"/>
  <c r="AD18" i="3"/>
  <c r="AD6" i="3"/>
  <c r="AD89" i="3"/>
  <c r="AD77" i="3"/>
  <c r="AD65" i="3"/>
  <c r="AD53" i="3"/>
  <c r="AD41" i="3"/>
  <c r="AD29" i="3"/>
  <c r="AD17" i="3"/>
  <c r="AD5" i="3"/>
  <c r="AD100" i="3"/>
  <c r="AD88" i="3"/>
  <c r="AD76" i="3"/>
  <c r="AD64" i="3"/>
  <c r="AD52" i="3"/>
  <c r="AD40" i="3"/>
  <c r="AD28" i="3"/>
  <c r="AD16" i="3"/>
  <c r="AD4" i="3"/>
  <c r="AD99" i="3"/>
  <c r="AD87" i="3"/>
  <c r="AD75" i="3"/>
  <c r="AD63" i="3"/>
  <c r="AD51" i="3"/>
  <c r="AD39" i="3"/>
  <c r="AD27" i="3"/>
  <c r="AD15" i="3"/>
  <c r="Y91" i="3"/>
  <c r="Y79" i="3"/>
  <c r="Y67" i="3"/>
  <c r="Y55" i="3"/>
  <c r="Y43" i="3"/>
  <c r="Y31" i="3"/>
  <c r="Y19" i="3"/>
  <c r="Y7" i="3"/>
  <c r="Y90" i="3"/>
  <c r="Y78" i="3"/>
  <c r="Y66" i="3"/>
  <c r="Y54" i="3"/>
  <c r="Y42" i="3"/>
  <c r="Y30" i="3"/>
  <c r="Y18" i="3"/>
  <c r="Y6" i="3"/>
  <c r="Y89" i="3"/>
  <c r="Y77" i="3"/>
  <c r="Y65" i="3"/>
  <c r="Y53" i="3"/>
  <c r="Y41" i="3"/>
  <c r="Y29" i="3"/>
  <c r="Y17" i="3"/>
  <c r="Y5" i="3"/>
  <c r="Y100" i="3"/>
  <c r="Y88" i="3"/>
  <c r="Y76" i="3"/>
  <c r="Y64" i="3"/>
  <c r="Y52" i="3"/>
  <c r="Y40" i="3"/>
  <c r="Y28" i="3"/>
  <c r="Y16" i="3"/>
  <c r="Y4" i="3"/>
  <c r="Y99" i="3"/>
  <c r="Y87" i="3"/>
  <c r="Y75" i="3"/>
  <c r="Y63" i="3"/>
  <c r="Y51" i="3"/>
  <c r="Y39" i="3"/>
  <c r="Y27" i="3"/>
  <c r="Y15" i="3"/>
  <c r="T89" i="3"/>
  <c r="T77" i="3"/>
  <c r="T65" i="3"/>
  <c r="T53" i="3"/>
  <c r="T41" i="3"/>
  <c r="T29" i="3"/>
  <c r="T17" i="3"/>
  <c r="T5" i="3"/>
  <c r="T100" i="3"/>
  <c r="T88" i="3"/>
  <c r="T76" i="3"/>
  <c r="T64" i="3"/>
  <c r="T52" i="3"/>
  <c r="T40" i="3"/>
  <c r="T28" i="3"/>
  <c r="T16" i="3"/>
  <c r="T4" i="3"/>
  <c r="T99" i="3"/>
  <c r="T87" i="3"/>
  <c r="T75" i="3"/>
  <c r="T63" i="3"/>
  <c r="T51" i="3"/>
  <c r="T39" i="3"/>
  <c r="T27" i="3"/>
  <c r="T15" i="3"/>
  <c r="O6" i="3"/>
  <c r="O89" i="3"/>
  <c r="O77" i="3"/>
  <c r="O65" i="3"/>
  <c r="O53" i="3"/>
  <c r="O41" i="3"/>
  <c r="O29" i="3"/>
  <c r="O17" i="3"/>
  <c r="O5" i="3"/>
  <c r="O100" i="3"/>
  <c r="O88" i="3"/>
  <c r="O76" i="3"/>
  <c r="O64" i="3"/>
  <c r="O52" i="3"/>
  <c r="O40" i="3"/>
  <c r="O28" i="3"/>
  <c r="O16" i="3"/>
  <c r="O4" i="3"/>
  <c r="O99" i="3"/>
  <c r="O87" i="3"/>
  <c r="O75" i="3"/>
  <c r="O63" i="3"/>
  <c r="O51" i="3"/>
  <c r="O39" i="3"/>
  <c r="O27" i="3"/>
  <c r="O15" i="3"/>
  <c r="J94" i="3"/>
  <c r="J82" i="3"/>
  <c r="J70" i="3"/>
  <c r="J58" i="3"/>
  <c r="J46" i="3"/>
  <c r="J34" i="3"/>
  <c r="J22" i="3"/>
  <c r="J10" i="3"/>
  <c r="J93" i="3"/>
  <c r="J81" i="3"/>
  <c r="J69" i="3"/>
  <c r="J57" i="3"/>
  <c r="J45" i="3"/>
  <c r="J33" i="3"/>
  <c r="J21" i="3"/>
  <c r="J9" i="3"/>
  <c r="J92" i="3"/>
  <c r="J80" i="3"/>
  <c r="J68" i="3"/>
  <c r="J56" i="3"/>
  <c r="J44" i="3"/>
  <c r="J32" i="3"/>
  <c r="J20" i="3"/>
  <c r="J8" i="3"/>
  <c r="J91" i="3"/>
  <c r="J79" i="3"/>
  <c r="J67" i="3"/>
  <c r="J55" i="3"/>
  <c r="J43" i="3"/>
  <c r="J31" i="3"/>
  <c r="J19" i="3"/>
  <c r="J7" i="3"/>
  <c r="J90" i="3"/>
  <c r="J78" i="3"/>
  <c r="J66" i="3"/>
  <c r="J54" i="3"/>
  <c r="J42" i="3"/>
  <c r="J30" i="3"/>
  <c r="J18" i="3"/>
  <c r="J6" i="3"/>
  <c r="J89" i="3"/>
  <c r="J77" i="3"/>
  <c r="J65" i="3"/>
  <c r="J53" i="3"/>
  <c r="J41" i="3"/>
  <c r="J29" i="3"/>
  <c r="J17" i="3"/>
  <c r="J5" i="3"/>
  <c r="J100" i="3"/>
  <c r="J88" i="3"/>
  <c r="J76" i="3"/>
  <c r="J64" i="3"/>
  <c r="J52" i="3"/>
  <c r="J40" i="3"/>
  <c r="J28" i="3"/>
  <c r="J16" i="3"/>
  <c r="J4" i="3"/>
  <c r="J99" i="3"/>
  <c r="J87" i="3"/>
  <c r="J75" i="3"/>
  <c r="J63" i="3"/>
  <c r="J51" i="3"/>
  <c r="J39" i="3"/>
  <c r="J27" i="3"/>
  <c r="J15" i="3"/>
  <c r="BD80" i="3"/>
  <c r="BD16" i="3"/>
  <c r="BD76" i="3"/>
  <c r="BD95" i="3"/>
  <c r="BD19" i="3"/>
  <c r="BD39" i="3"/>
  <c r="BD59" i="3"/>
  <c r="BD78" i="3"/>
  <c r="BD98" i="3"/>
  <c r="BD21" i="3"/>
  <c r="BD40" i="3"/>
  <c r="BD61" i="3"/>
  <c r="BD79" i="3"/>
  <c r="BD100" i="3"/>
  <c r="BD23" i="3"/>
  <c r="BD41" i="3"/>
  <c r="BD62" i="3"/>
  <c r="BD94" i="3"/>
  <c r="BD82" i="3"/>
  <c r="BD70" i="3"/>
  <c r="BD58" i="3"/>
  <c r="BD46" i="3"/>
  <c r="BD34" i="3"/>
  <c r="BD22" i="3"/>
  <c r="BD10" i="3"/>
  <c r="BD99" i="3"/>
  <c r="BD86" i="3"/>
  <c r="BD73" i="3"/>
  <c r="BD60" i="3"/>
  <c r="BD47" i="3"/>
  <c r="BD33" i="3"/>
  <c r="BD20" i="3"/>
  <c r="BD97" i="3"/>
  <c r="BD84" i="3"/>
  <c r="BD71" i="3"/>
  <c r="BD57" i="3"/>
  <c r="BD44" i="3"/>
  <c r="BD31" i="3"/>
  <c r="BD18" i="3"/>
  <c r="BD96" i="3"/>
  <c r="BD83" i="3"/>
  <c r="BD69" i="3"/>
  <c r="BD56" i="3"/>
  <c r="BD43" i="3"/>
  <c r="BD30" i="3"/>
  <c r="BD17" i="3"/>
  <c r="BD90" i="3"/>
  <c r="BD77" i="3"/>
  <c r="BD64" i="3"/>
  <c r="BD51" i="3"/>
  <c r="BD38" i="3"/>
  <c r="BD25" i="3"/>
  <c r="BD12" i="3"/>
  <c r="BD24" i="3"/>
  <c r="BD42" i="3"/>
  <c r="BD63" i="3"/>
  <c r="BD81" i="3"/>
  <c r="BD26" i="3"/>
  <c r="BD45" i="3"/>
  <c r="BD65" i="3"/>
  <c r="BD85" i="3"/>
  <c r="BD27" i="3"/>
  <c r="BD48" i="3"/>
  <c r="BD66" i="3"/>
  <c r="BD87" i="3"/>
  <c r="BD9" i="3"/>
  <c r="BD28" i="3"/>
  <c r="BD49" i="3"/>
  <c r="BD67" i="3"/>
  <c r="BD88" i="3"/>
  <c r="BD11" i="3"/>
  <c r="BD29" i="3"/>
  <c r="BD50" i="3"/>
  <c r="BD68" i="3"/>
  <c r="BD89" i="3"/>
  <c r="BD13" i="3"/>
  <c r="BD32" i="3"/>
  <c r="BD52" i="3"/>
  <c r="BD72" i="3"/>
  <c r="BD91" i="3"/>
  <c r="BD14" i="3"/>
  <c r="BD35" i="3"/>
  <c r="BD53" i="3"/>
  <c r="BD74" i="3"/>
  <c r="BD92" i="3"/>
  <c r="BD15" i="3"/>
  <c r="BD36" i="3"/>
  <c r="BD54" i="3"/>
  <c r="BD75" i="3"/>
  <c r="BD93" i="3"/>
  <c r="AN3" i="1" l="1" a="1"/>
  <c r="AN3" i="1" s="1"/>
  <c r="AM3" i="1" a="1"/>
  <c r="AM3" i="1" s="1"/>
  <c r="AL3" i="1" a="1"/>
  <c r="AL3" i="1" s="1"/>
  <c r="BD3" i="3"/>
  <c r="BD4" i="3"/>
  <c r="BD8" i="3"/>
  <c r="BD55" i="3"/>
  <c r="BD37" i="3"/>
  <c r="BD7" i="3"/>
  <c r="BE7" i="3" s="1"/>
  <c r="BD6" i="3"/>
  <c r="BE6" i="3" l="1"/>
  <c r="AV3" i="1" a="1"/>
  <c r="AV3" i="1" s="1"/>
  <c r="AY3" i="1" l="1" a="1"/>
  <c r="AY3" i="1" s="1"/>
  <c r="AX3" i="1" a="1"/>
  <c r="AX3" i="1" s="1"/>
  <c r="AW3" i="1" a="1"/>
  <c r="AW3" i="1" s="1"/>
  <c r="BB3" i="1" l="1" a="1"/>
  <c r="BB3" i="1" s="1"/>
  <c r="BA3" i="1" a="1"/>
  <c r="BA3" i="1" s="1"/>
  <c r="AZ3" i="1" a="1"/>
  <c r="AZ3" i="1" s="1"/>
  <c r="BC3" i="1" l="1" a="1"/>
  <c r="BC3" i="1" s="1"/>
  <c r="BG3" i="1" l="1" a="1"/>
  <c r="BG3" i="1" s="1"/>
  <c r="BF3" i="1" a="1"/>
  <c r="BF3" i="1" s="1"/>
  <c r="BE3" i="1" a="1"/>
  <c r="BE3" i="1" s="1"/>
  <c r="BV3" i="1" a="1"/>
  <c r="BV3" i="1" s="1"/>
  <c r="BW3" i="1" s="1" a="1"/>
  <c r="BW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100-000001000000}">
      <text>
        <r>
          <rPr>
            <sz val="11"/>
            <color theme="1"/>
            <rFont val="Calibri"/>
            <scheme val="minor"/>
          </rPr>
          <t>Metabolic Equivalent of Task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<sst xmlns="http://schemas.openxmlformats.org/spreadsheetml/2006/main" count="1146" uniqueCount="584">
  <si>
    <t>DATOS PERSONALES</t>
  </si>
  <si>
    <t>RESULTADOS BASE</t>
  </si>
  <si>
    <t>AJUSTES USUARIO</t>
  </si>
  <si>
    <t>RESULTADO AJUSTADO</t>
  </si>
  <si>
    <t>CONSUMO ACTIVIDAD</t>
  </si>
  <si>
    <t>OBJETIVOS DIARIOS</t>
  </si>
  <si>
    <t>APORTE ALIMENTACION</t>
  </si>
  <si>
    <t>RESULTADO</t>
  </si>
  <si>
    <t>case_id</t>
  </si>
  <si>
    <t>sex</t>
  </si>
  <si>
    <t>age</t>
  </si>
  <si>
    <t>height_cm</t>
  </si>
  <si>
    <t>weight_kg</t>
  </si>
  <si>
    <t>BMI</t>
  </si>
  <si>
    <t>BMR</t>
  </si>
  <si>
    <t>base_energy</t>
  </si>
  <si>
    <t>base_prote</t>
  </si>
  <si>
    <t>base_carboh</t>
  </si>
  <si>
    <t>base_fats</t>
  </si>
  <si>
    <t>base_calculated_energy</t>
  </si>
  <si>
    <t>base_salt</t>
  </si>
  <si>
    <t>base_fiber</t>
  </si>
  <si>
    <t>base_sugar</t>
  </si>
  <si>
    <t>base_satfats</t>
  </si>
  <si>
    <t>base_processed</t>
  </si>
  <si>
    <t>tuning_energy</t>
  </si>
  <si>
    <t>tuning_prote</t>
  </si>
  <si>
    <t>tuning_carboh</t>
  </si>
  <si>
    <t>tuning_fats</t>
  </si>
  <si>
    <t>tuning_salt</t>
  </si>
  <si>
    <t>tuning_fiber</t>
  </si>
  <si>
    <t>tuning_sugar</t>
  </si>
  <si>
    <t>tuning_satfats</t>
  </si>
  <si>
    <t>tuning_processed</t>
  </si>
  <si>
    <t>tuned_calculated_energy</t>
  </si>
  <si>
    <t>tuned_calculated_prote</t>
  </si>
  <si>
    <t>tuned_calculated_carboh</t>
  </si>
  <si>
    <t>tuned_calculated_fats</t>
  </si>
  <si>
    <t>tuned_prote</t>
  </si>
  <si>
    <t>tuned_carboh</t>
  </si>
  <si>
    <t>tuned_fats</t>
  </si>
  <si>
    <t>tuned_energy</t>
  </si>
  <si>
    <t>tuned_salt</t>
  </si>
  <si>
    <t>tuned_fiber</t>
  </si>
  <si>
    <t>tuned_sugar</t>
  </si>
  <si>
    <t>tuned_satfats</t>
  </si>
  <si>
    <t>tuned_processed</t>
  </si>
  <si>
    <t>steps_activity</t>
  </si>
  <si>
    <t>gym_activity</t>
  </si>
  <si>
    <t>steps_total_energy</t>
  </si>
  <si>
    <t>gym_total_energy</t>
  </si>
  <si>
    <t>daily_calculated_energy</t>
  </si>
  <si>
    <t>daily_calculated_prote</t>
  </si>
  <si>
    <t>daily_calculated_carboh</t>
  </si>
  <si>
    <t>daily_calculated_fats</t>
  </si>
  <si>
    <t>daily_prote</t>
  </si>
  <si>
    <t>daily_carboh</t>
  </si>
  <si>
    <t>daily_fats</t>
  </si>
  <si>
    <t>daily_energy</t>
  </si>
  <si>
    <t>daily_salt</t>
  </si>
  <si>
    <t>daily_fiber</t>
  </si>
  <si>
    <t>daily_sugar</t>
  </si>
  <si>
    <t>daily_satfats</t>
  </si>
  <si>
    <t>daily_processed</t>
  </si>
  <si>
    <t>menu_id</t>
  </si>
  <si>
    <t>day_week</t>
  </si>
  <si>
    <t>food_total_energy</t>
  </si>
  <si>
    <t>food_total_prote</t>
  </si>
  <si>
    <t>food_total_carboh</t>
  </si>
  <si>
    <t>food_total_fats</t>
  </si>
  <si>
    <t>food_total_satfats</t>
  </si>
  <si>
    <t>food_total_fiber</t>
  </si>
  <si>
    <t>food_total_sugar</t>
  </si>
  <si>
    <t>food_total_salt</t>
  </si>
  <si>
    <t>food_total_processed</t>
  </si>
  <si>
    <t>dif_target_active_kcals_food</t>
  </si>
  <si>
    <t>deficit_surplus</t>
  </si>
  <si>
    <t>TC01</t>
  </si>
  <si>
    <t>hombre</t>
  </si>
  <si>
    <t>Pasos</t>
  </si>
  <si>
    <t>fuerza_a</t>
  </si>
  <si>
    <t>menu</t>
  </si>
  <si>
    <t>TC02</t>
  </si>
  <si>
    <t>fuerza_b</t>
  </si>
  <si>
    <t>TC03</t>
  </si>
  <si>
    <t>mujer</t>
  </si>
  <si>
    <t>-0,10</t>
  </si>
  <si>
    <t>fuerza_c</t>
  </si>
  <si>
    <t>TC04</t>
  </si>
  <si>
    <t>descanso</t>
  </si>
  <si>
    <t>TC05</t>
  </si>
  <si>
    <t>TC06HM</t>
  </si>
  <si>
    <t>menu_1</t>
  </si>
  <si>
    <t>TC06HL</t>
  </si>
  <si>
    <t>TC06HX</t>
  </si>
  <si>
    <t>TC06HV</t>
  </si>
  <si>
    <t>TC06HD</t>
  </si>
  <si>
    <t>name</t>
  </si>
  <si>
    <t>unit</t>
  </si>
  <si>
    <t>met</t>
  </si>
  <si>
    <t>rep_time_seg</t>
  </si>
  <si>
    <t>rest_time_seg</t>
  </si>
  <si>
    <t>transit_time_seg</t>
  </si>
  <si>
    <t>Flexiones</t>
  </si>
  <si>
    <t>rep</t>
  </si>
  <si>
    <t>Press banca</t>
  </si>
  <si>
    <t>Press inclinado</t>
  </si>
  <si>
    <t>Aperturas con mancuernas</t>
  </si>
  <si>
    <t>Fondos en paralelas</t>
  </si>
  <si>
    <t>Dominadas</t>
  </si>
  <si>
    <t>Jalon al pecho</t>
  </si>
  <si>
    <t>Remo con barra</t>
  </si>
  <si>
    <t>Remo con mancuerna</t>
  </si>
  <si>
    <t>Face pull</t>
  </si>
  <si>
    <t>Press militar</t>
  </si>
  <si>
    <t>Elevaciones laterales</t>
  </si>
  <si>
    <t>Curl biceps</t>
  </si>
  <si>
    <t>Curl martillo</t>
  </si>
  <si>
    <t>Extension triceps</t>
  </si>
  <si>
    <t>Sentadilla</t>
  </si>
  <si>
    <t>Sentadilla goblet</t>
  </si>
  <si>
    <t>Peso muerto</t>
  </si>
  <si>
    <t>Peso muerto rumano</t>
  </si>
  <si>
    <t>Zancadas</t>
  </si>
  <si>
    <t>Prensa de piernas</t>
  </si>
  <si>
    <t>Hip thrust</t>
  </si>
  <si>
    <t>Elevacion de gemelos</t>
  </si>
  <si>
    <t>Step-up</t>
  </si>
  <si>
    <t>Plancha</t>
  </si>
  <si>
    <t>min</t>
  </si>
  <si>
    <t>Plancha lateral</t>
  </si>
  <si>
    <t>Crunch</t>
  </si>
  <si>
    <t>Elevaciones de piernas</t>
  </si>
  <si>
    <t>Russian twist</t>
  </si>
  <si>
    <t>Burpees</t>
  </si>
  <si>
    <t>Thrusters</t>
  </si>
  <si>
    <t>Clean and press</t>
  </si>
  <si>
    <t>Kettlebell swing</t>
  </si>
  <si>
    <t>Caminar</t>
  </si>
  <si>
    <t>Correr</t>
  </si>
  <si>
    <t>HIIT</t>
  </si>
  <si>
    <t>Saltar cuerda</t>
  </si>
  <si>
    <t>Jumping jacks</t>
  </si>
  <si>
    <t>Mountain climbers</t>
  </si>
  <si>
    <t>Bicicleta carretera</t>
  </si>
  <si>
    <t>Bicicleta montana</t>
  </si>
  <si>
    <t>Spinning</t>
  </si>
  <si>
    <t>Eliptica</t>
  </si>
  <si>
    <t>Escaladora</t>
  </si>
  <si>
    <t>Trekking</t>
  </si>
  <si>
    <t>Patinar</t>
  </si>
  <si>
    <t>Remo ergometro</t>
  </si>
  <si>
    <t>Boxeo en saco</t>
  </si>
  <si>
    <t>Natacion</t>
  </si>
  <si>
    <t>Estiramientos</t>
  </si>
  <si>
    <t>Yoga suave</t>
  </si>
  <si>
    <t>Movilidad articular</t>
  </si>
  <si>
    <t>Sauna</t>
  </si>
  <si>
    <t>EJERCICIO_1</t>
  </si>
  <si>
    <t>EJERCICIO_2</t>
  </si>
  <si>
    <t>EJERCICIO_3</t>
  </si>
  <si>
    <t>EJERCICIO_4</t>
  </si>
  <si>
    <t>EJERCICIO_5</t>
  </si>
  <si>
    <t>EJERCICIO_6</t>
  </si>
  <si>
    <t>EJERCICIO_7</t>
  </si>
  <si>
    <t>EJERCICIO_8</t>
  </si>
  <si>
    <t>EJERCICIO_9</t>
  </si>
  <si>
    <t>EJERCICIO_10</t>
  </si>
  <si>
    <t>activity_id</t>
  </si>
  <si>
    <t>per_prot</t>
  </si>
  <si>
    <t>per_carboh</t>
  </si>
  <si>
    <t>per_fats</t>
  </si>
  <si>
    <t>activity_name_1</t>
  </si>
  <si>
    <t>series_time_1</t>
  </si>
  <si>
    <t>rep_1</t>
  </si>
  <si>
    <t>weight_1</t>
  </si>
  <si>
    <t>energy_perkg_1</t>
  </si>
  <si>
    <t>activity_name_2</t>
  </si>
  <si>
    <t>series_time_2</t>
  </si>
  <si>
    <t>rep_2</t>
  </si>
  <si>
    <t>weight_2</t>
  </si>
  <si>
    <t>energy_perkg_2</t>
  </si>
  <si>
    <t>activity_name_3</t>
  </si>
  <si>
    <t>series_time_3</t>
  </si>
  <si>
    <t>rep_3</t>
  </si>
  <si>
    <t>weight_3</t>
  </si>
  <si>
    <t>energy_perkg_3</t>
  </si>
  <si>
    <t>activity_name_4</t>
  </si>
  <si>
    <t>series_time_4</t>
  </si>
  <si>
    <t>rep_4</t>
  </si>
  <si>
    <t>weight_4</t>
  </si>
  <si>
    <t>energy_perkg_4</t>
  </si>
  <si>
    <t>activity_name_5</t>
  </si>
  <si>
    <t>series_time_5</t>
  </si>
  <si>
    <t>rep_5</t>
  </si>
  <si>
    <t>weight_5</t>
  </si>
  <si>
    <t>energy_perkg_5</t>
  </si>
  <si>
    <t>activity_name_6</t>
  </si>
  <si>
    <t>series_time_6</t>
  </si>
  <si>
    <t>rep_6</t>
  </si>
  <si>
    <t>weight_6</t>
  </si>
  <si>
    <t>energy_perkg_6</t>
  </si>
  <si>
    <t>activity_name_7</t>
  </si>
  <si>
    <t>series_time_7</t>
  </si>
  <si>
    <t>rep_7</t>
  </si>
  <si>
    <t>weight_7</t>
  </si>
  <si>
    <t>energy_perkg_7</t>
  </si>
  <si>
    <t>activity_name_8</t>
  </si>
  <si>
    <t>series_time_8</t>
  </si>
  <si>
    <t>rep_8</t>
  </si>
  <si>
    <t>weight_8</t>
  </si>
  <si>
    <t>energy_perkg_8</t>
  </si>
  <si>
    <t>activity_name_9</t>
  </si>
  <si>
    <t>series_time_9</t>
  </si>
  <si>
    <t>rep_9</t>
  </si>
  <si>
    <t>weight_9</t>
  </si>
  <si>
    <t>energy_perkg_9</t>
  </si>
  <si>
    <t>activity_name_10</t>
  </si>
  <si>
    <t>series_time_10</t>
  </si>
  <si>
    <t>weight_10</t>
  </si>
  <si>
    <t>energy_perkg_10</t>
  </si>
  <si>
    <t>activity_total_energy_per_kg</t>
  </si>
  <si>
    <t>pasos</t>
  </si>
  <si>
    <t>id</t>
  </si>
  <si>
    <t>category</t>
  </si>
  <si>
    <t>nutrionPer100-unit</t>
  </si>
  <si>
    <t>kcal</t>
  </si>
  <si>
    <t>protein</t>
  </si>
  <si>
    <t>carbs</t>
  </si>
  <si>
    <t>fat</t>
  </si>
  <si>
    <t>satured_fat</t>
  </si>
  <si>
    <t>fiber</t>
  </si>
  <si>
    <t>sugar</t>
  </si>
  <si>
    <t>sodium</t>
  </si>
  <si>
    <t>processed</t>
  </si>
  <si>
    <t>acelga</t>
  </si>
  <si>
    <t>Acelga</t>
  </si>
  <si>
    <t>🥔 Verduras y hortalizas</t>
  </si>
  <si>
    <t>g</t>
  </si>
  <si>
    <t>nutritionPer100</t>
  </si>
  <si>
    <t>ajo</t>
  </si>
  <si>
    <t>Ajo</t>
  </si>
  <si>
    <t>alcachofa</t>
  </si>
  <si>
    <t>Alcachofa</t>
  </si>
  <si>
    <t>apio</t>
  </si>
  <si>
    <t>Apio</t>
  </si>
  <si>
    <t>berenjena</t>
  </si>
  <si>
    <t>Berenjena</t>
  </si>
  <si>
    <t>brocoli</t>
  </si>
  <si>
    <t>Brócoli</t>
  </si>
  <si>
    <t>calabacin</t>
  </si>
  <si>
    <t>Calabacín</t>
  </si>
  <si>
    <t>calabaza</t>
  </si>
  <si>
    <t>Calabaza</t>
  </si>
  <si>
    <t>cebolla</t>
  </si>
  <si>
    <t>Cebolla</t>
  </si>
  <si>
    <t>champinones</t>
  </si>
  <si>
    <t>Champiñones</t>
  </si>
  <si>
    <t>col</t>
  </si>
  <si>
    <t>Col</t>
  </si>
  <si>
    <t>col_rizada</t>
  </si>
  <si>
    <t>Col rizada (kale)</t>
  </si>
  <si>
    <t>coles_bruselas</t>
  </si>
  <si>
    <t>Coles de Bruselas</t>
  </si>
  <si>
    <t>coliflor</t>
  </si>
  <si>
    <t>Coliflor</t>
  </si>
  <si>
    <t>endibia</t>
  </si>
  <si>
    <t>Endibia</t>
  </si>
  <si>
    <t>esparragos</t>
  </si>
  <si>
    <t>Espárragos</t>
  </si>
  <si>
    <t>espinacas</t>
  </si>
  <si>
    <t>Espinacas</t>
  </si>
  <si>
    <t>guisantes</t>
  </si>
  <si>
    <t>Guisantes</t>
  </si>
  <si>
    <t>judias_verdes</t>
  </si>
  <si>
    <t>Judías verdes</t>
  </si>
  <si>
    <t>lechuga</t>
  </si>
  <si>
    <t>Lechuga</t>
  </si>
  <si>
    <t>maiz</t>
  </si>
  <si>
    <t>Maíz</t>
  </si>
  <si>
    <t>pepino</t>
  </si>
  <si>
    <t>Pepino</t>
  </si>
  <si>
    <t>pimiento</t>
  </si>
  <si>
    <t>Pimiento</t>
  </si>
  <si>
    <t>puerro</t>
  </si>
  <si>
    <t>Puerro</t>
  </si>
  <si>
    <t>rabano</t>
  </si>
  <si>
    <t>Rábano</t>
  </si>
  <si>
    <t>remolacha</t>
  </si>
  <si>
    <t>Remolacha cocida</t>
  </si>
  <si>
    <t>tomate</t>
  </si>
  <si>
    <t>Tomate</t>
  </si>
  <si>
    <t>zanahoria</t>
  </si>
  <si>
    <t>Zanahoria</t>
  </si>
  <si>
    <t>aguacate</t>
  </si>
  <si>
    <t>Aguacate</t>
  </si>
  <si>
    <t>🍎 Fruta</t>
  </si>
  <si>
    <t>albaricoque</t>
  </si>
  <si>
    <t>Albaricoque</t>
  </si>
  <si>
    <t>arandanos</t>
  </si>
  <si>
    <t>Arándanos</t>
  </si>
  <si>
    <t>ciruela</t>
  </si>
  <si>
    <t>Ciruela</t>
  </si>
  <si>
    <t>fresas</t>
  </si>
  <si>
    <t>Fresas</t>
  </si>
  <si>
    <t>frutos_rojos</t>
  </si>
  <si>
    <t>Frutos rojos</t>
  </si>
  <si>
    <t>granada</t>
  </si>
  <si>
    <t>Granada</t>
  </si>
  <si>
    <t>kiwi</t>
  </si>
  <si>
    <t>Kiwi</t>
  </si>
  <si>
    <t>limon</t>
  </si>
  <si>
    <t>Limón</t>
  </si>
  <si>
    <t>mandarina</t>
  </si>
  <si>
    <t>Mandarina</t>
  </si>
  <si>
    <t>manzana</t>
  </si>
  <si>
    <t>Manzana</t>
  </si>
  <si>
    <t>mango</t>
  </si>
  <si>
    <t>Mango</t>
  </si>
  <si>
    <t>melon</t>
  </si>
  <si>
    <t>Melón</t>
  </si>
  <si>
    <t>melocoton</t>
  </si>
  <si>
    <t>Melocotón</t>
  </si>
  <si>
    <t>naranja</t>
  </si>
  <si>
    <t>Naranja</t>
  </si>
  <si>
    <t>pera</t>
  </si>
  <si>
    <t>Pera</t>
  </si>
  <si>
    <t>pina</t>
  </si>
  <si>
    <t>Piña</t>
  </si>
  <si>
    <t>platano</t>
  </si>
  <si>
    <t>Plátano</t>
  </si>
  <si>
    <t>pomelo</t>
  </si>
  <si>
    <t>Pomelo</t>
  </si>
  <si>
    <t>sandia</t>
  </si>
  <si>
    <t>Sandía</t>
  </si>
  <si>
    <t>uvas</t>
  </si>
  <si>
    <t>Uvas</t>
  </si>
  <si>
    <t>alubias</t>
  </si>
  <si>
    <t>Alubias cocidas</t>
  </si>
  <si>
    <t>🍚 Cereales, legumbres y tubérculos</t>
  </si>
  <si>
    <t>edamame</t>
  </si>
  <si>
    <t>Edamame</t>
  </si>
  <si>
    <t>garbanzos</t>
  </si>
  <si>
    <t>Garbanzos cocidos</t>
  </si>
  <si>
    <t>hummus</t>
  </si>
  <si>
    <t>Hummus</t>
  </si>
  <si>
    <t>lentejas</t>
  </si>
  <si>
    <t>Lentejas cocidas</t>
  </si>
  <si>
    <t>arroz</t>
  </si>
  <si>
    <t>Arroz cocido</t>
  </si>
  <si>
    <t>arroz_integral</t>
  </si>
  <si>
    <t>Arroz integral cocido</t>
  </si>
  <si>
    <t>avena</t>
  </si>
  <si>
    <t>Avena</t>
  </si>
  <si>
    <t>batata</t>
  </si>
  <si>
    <t>Batata</t>
  </si>
  <si>
    <t>cuscus</t>
  </si>
  <si>
    <t>Cuscús cocido</t>
  </si>
  <si>
    <t>pan</t>
  </si>
  <si>
    <t>Pan</t>
  </si>
  <si>
    <t>pan_centeno</t>
  </si>
  <si>
    <t>Pan de centeno</t>
  </si>
  <si>
    <t>pan_integral</t>
  </si>
  <si>
    <t>Pan integral</t>
  </si>
  <si>
    <t>pasta_integral</t>
  </si>
  <si>
    <t>Pasta integral cocida</t>
  </si>
  <si>
    <t>patata</t>
  </si>
  <si>
    <t>Patata cocida</t>
  </si>
  <si>
    <t>quinoa</t>
  </si>
  <si>
    <t>Quinoa cocida</t>
  </si>
  <si>
    <t>atun</t>
  </si>
  <si>
    <t>Atún</t>
  </si>
  <si>
    <t>🥩 Proteínas</t>
  </si>
  <si>
    <t>atun_lata_natural</t>
  </si>
  <si>
    <t>Atún al natural (lata)</t>
  </si>
  <si>
    <t>bacalao</t>
  </si>
  <si>
    <t>Bacalao</t>
  </si>
  <si>
    <t>bonito</t>
  </si>
  <si>
    <t>Bonito</t>
  </si>
  <si>
    <t>calamar</t>
  </si>
  <si>
    <t>Calamar</t>
  </si>
  <si>
    <t>conejo</t>
  </si>
  <si>
    <t>Conejo</t>
  </si>
  <si>
    <t>cordero</t>
  </si>
  <si>
    <t>Cordero</t>
  </si>
  <si>
    <t>carne_magra</t>
  </si>
  <si>
    <t>Carne magra</t>
  </si>
  <si>
    <t>claras_huevo</t>
  </si>
  <si>
    <t>Claras de huevo</t>
  </si>
  <si>
    <t>gambas</t>
  </si>
  <si>
    <t>Gambas</t>
  </si>
  <si>
    <t>hamburguesa_magra</t>
  </si>
  <si>
    <t>Hamburguesa magra</t>
  </si>
  <si>
    <t>huevo</t>
  </si>
  <si>
    <t>Huevo</t>
  </si>
  <si>
    <t>ud</t>
  </si>
  <si>
    <t>nutritionPerUnit</t>
  </si>
  <si>
    <t>lomo_cerdo</t>
  </si>
  <si>
    <t>Lomo de cerdo</t>
  </si>
  <si>
    <t>mejillones</t>
  </si>
  <si>
    <t>Mejillones</t>
  </si>
  <si>
    <t>merluza</t>
  </si>
  <si>
    <t>Merluza</t>
  </si>
  <si>
    <t>pavo</t>
  </si>
  <si>
    <t>Pavo</t>
  </si>
  <si>
    <t>pechuga_pollo</t>
  </si>
  <si>
    <t>Pechuga de pollo</t>
  </si>
  <si>
    <t>pechuga_pavo</t>
  </si>
  <si>
    <t>Pechuga de pavo</t>
  </si>
  <si>
    <t>pescado_azul</t>
  </si>
  <si>
    <t>Pescado azul</t>
  </si>
  <si>
    <t>pescado_blanco</t>
  </si>
  <si>
    <t>Pescado blanco</t>
  </si>
  <si>
    <t>pollo</t>
  </si>
  <si>
    <t>Pollo</t>
  </si>
  <si>
    <t>pulpo</t>
  </si>
  <si>
    <t>Pulpo</t>
  </si>
  <si>
    <t>salmon</t>
  </si>
  <si>
    <t>Salmón</t>
  </si>
  <si>
    <t>sardinas</t>
  </si>
  <si>
    <t>Sardinas</t>
  </si>
  <si>
    <t>tempeh</t>
  </si>
  <si>
    <t>Tempeh</t>
  </si>
  <si>
    <t>ternera</t>
  </si>
  <si>
    <t>Ternera</t>
  </si>
  <si>
    <t>tofu</t>
  </si>
  <si>
    <t>Tofu</t>
  </si>
  <si>
    <t>kefir</t>
  </si>
  <si>
    <t>Kéfir</t>
  </si>
  <si>
    <t>🥛 Lácteos</t>
  </si>
  <si>
    <t>leche</t>
  </si>
  <si>
    <t>Leche</t>
  </si>
  <si>
    <t>mozzarella</t>
  </si>
  <si>
    <t>Mozzarella</t>
  </si>
  <si>
    <t>queso_emmental</t>
  </si>
  <si>
    <t>Queso emmental</t>
  </si>
  <si>
    <t>queso_fresco</t>
  </si>
  <si>
    <t>Queso fresco</t>
  </si>
  <si>
    <t>yogur_griego</t>
  </si>
  <si>
    <t>Yogur griego</t>
  </si>
  <si>
    <t>yogur_natural</t>
  </si>
  <si>
    <t>Yogur natural</t>
  </si>
  <si>
    <t>aceite_oliva</t>
  </si>
  <si>
    <t>Aceite de oliva</t>
  </si>
  <si>
    <t>🥑 Grasas, frutos secos y semillas</t>
  </si>
  <si>
    <t>aceitunas</t>
  </si>
  <si>
    <t>Aceitunas</t>
  </si>
  <si>
    <t>almendras</t>
  </si>
  <si>
    <t>Almendras</t>
  </si>
  <si>
    <t>cacahuetes</t>
  </si>
  <si>
    <t>Cacahuetes</t>
  </si>
  <si>
    <t>frutos_secos</t>
  </si>
  <si>
    <t>Frutos secos</t>
  </si>
  <si>
    <t>mantequilla</t>
  </si>
  <si>
    <t>Mantequilla</t>
  </si>
  <si>
    <t>nueces</t>
  </si>
  <si>
    <t>Nueces</t>
  </si>
  <si>
    <t>semillas_chia</t>
  </si>
  <si>
    <t>Semillas de chía</t>
  </si>
  <si>
    <t>canela</t>
  </si>
  <si>
    <t>Canela</t>
  </si>
  <si>
    <t>🧂 Condimentos y especias</t>
  </si>
  <si>
    <t>comino</t>
  </si>
  <si>
    <t>Comino</t>
  </si>
  <si>
    <t>curry</t>
  </si>
  <si>
    <t>Curry en polvo</t>
  </si>
  <si>
    <t>mostaza</t>
  </si>
  <si>
    <t>Mostaza</t>
  </si>
  <si>
    <t>oregano</t>
  </si>
  <si>
    <t>Orégano</t>
  </si>
  <si>
    <t>pimenton</t>
  </si>
  <si>
    <t>Pimentón</t>
  </si>
  <si>
    <t>pimienta_negra</t>
  </si>
  <si>
    <t>Pimienta negra</t>
  </si>
  <si>
    <t>sal</t>
  </si>
  <si>
    <t>Sal</t>
  </si>
  <si>
    <t>vinagre</t>
  </si>
  <si>
    <t>Vinagre</t>
  </si>
  <si>
    <t>vinagre_balsamico</t>
  </si>
  <si>
    <t>Vinagre balsámico</t>
  </si>
  <si>
    <t>miel</t>
  </si>
  <si>
    <t>Miel</t>
  </si>
  <si>
    <t>cafe</t>
  </si>
  <si>
    <t>Café</t>
  </si>
  <si>
    <t>☕ Bebidas</t>
  </si>
  <si>
    <t>infusion</t>
  </si>
  <si>
    <t>Infusión</t>
  </si>
  <si>
    <t>ensalada</t>
  </si>
  <si>
    <t>Ensalada mix</t>
  </si>
  <si>
    <t>fruta</t>
  </si>
  <si>
    <t>Fruta variada</t>
  </si>
  <si>
    <t>verduras</t>
  </si>
  <si>
    <t>Verduras mix</t>
  </si>
  <si>
    <t>jamon_iberico</t>
  </si>
  <si>
    <t>Jamón ibérico</t>
  </si>
  <si>
    <t>jamon_york</t>
  </si>
  <si>
    <t>Jamón york</t>
  </si>
  <si>
    <t>patatas_fritas</t>
  </si>
  <si>
    <t>Patatas fritas</t>
  </si>
  <si>
    <t>📦 Otros / Procesados</t>
  </si>
  <si>
    <t>pepinillos_encurtidos</t>
  </si>
  <si>
    <t>Pepinillos encurtidos</t>
  </si>
  <si>
    <t>salmon_ahumado</t>
  </si>
  <si>
    <t>Salmón ahumado</t>
  </si>
  <si>
    <t>surimi</t>
  </si>
  <si>
    <t>Surimi (cangrejo)</t>
  </si>
  <si>
    <t>suplemento_proteina</t>
  </si>
  <si>
    <t>Suplemento de proteína</t>
  </si>
  <si>
    <t>💊 Suplementos</t>
  </si>
  <si>
    <t>DESAYUNO</t>
  </si>
  <si>
    <t>COMIDA</t>
  </si>
  <si>
    <t>CENA</t>
  </si>
  <si>
    <t>TOTALES</t>
  </si>
  <si>
    <t>breakfast_name_1</t>
  </si>
  <si>
    <t>breakfast_quantity_1</t>
  </si>
  <si>
    <t>breakfast_name_2</t>
  </si>
  <si>
    <t>breakfast_quantity_2</t>
  </si>
  <si>
    <t>breakfast_name_3</t>
  </si>
  <si>
    <t>breakfast_quantity_3</t>
  </si>
  <si>
    <t>breakfast_name_4</t>
  </si>
  <si>
    <t>breakfast_quantity_4</t>
  </si>
  <si>
    <t>breakfast_name_5</t>
  </si>
  <si>
    <t>breakfast_quantity_5</t>
  </si>
  <si>
    <t>breakfast_energy</t>
  </si>
  <si>
    <t>breakfast_prote</t>
  </si>
  <si>
    <t>breakfast_carboh</t>
  </si>
  <si>
    <t>breakfast_fats</t>
  </si>
  <si>
    <t>breakfast_satfats</t>
  </si>
  <si>
    <t>breakfast_fiber</t>
  </si>
  <si>
    <t>breakfast_sugar</t>
  </si>
  <si>
    <t>breakfast_salt</t>
  </si>
  <si>
    <t>lunch_name_1</t>
  </si>
  <si>
    <t>lunch_quantity_1</t>
  </si>
  <si>
    <t>lunch_name_2</t>
  </si>
  <si>
    <t>lunch_quantity_2</t>
  </si>
  <si>
    <t>lunch_name_3</t>
  </si>
  <si>
    <t>lunch_quantity_3</t>
  </si>
  <si>
    <t>lunch_name_4</t>
  </si>
  <si>
    <t>lunch_quantity_4</t>
  </si>
  <si>
    <t>lunch_name_5</t>
  </si>
  <si>
    <t>lunch_quantity_5</t>
  </si>
  <si>
    <t>lunch_energy</t>
  </si>
  <si>
    <t>lunch_prote</t>
  </si>
  <si>
    <t>lunch_carboh</t>
  </si>
  <si>
    <t>lunch_fats</t>
  </si>
  <si>
    <t>lunch_satfats</t>
  </si>
  <si>
    <t>lunch_fiber</t>
  </si>
  <si>
    <t>lunch_sugar</t>
  </si>
  <si>
    <t>lunch_salt</t>
  </si>
  <si>
    <t>dinner_name_1</t>
  </si>
  <si>
    <t>dinner_quantity_1</t>
  </si>
  <si>
    <t>dinner_name_2</t>
  </si>
  <si>
    <t>dinner_quantity_2</t>
  </si>
  <si>
    <t>dinner_name_3</t>
  </si>
  <si>
    <t>dinner_quantity_3</t>
  </si>
  <si>
    <t>dinner_name_4</t>
  </si>
  <si>
    <t>dinner_quantity_4</t>
  </si>
  <si>
    <t>dinner_name_5</t>
  </si>
  <si>
    <t>dinner_quantity_5</t>
  </si>
  <si>
    <t>dinner_energy</t>
  </si>
  <si>
    <t>dinner_prote</t>
  </si>
  <si>
    <t>dinner_carboh</t>
  </si>
  <si>
    <t>dinner_fats</t>
  </si>
  <si>
    <t>dinner_satfats</t>
  </si>
  <si>
    <t>dinner_fiber</t>
  </si>
  <si>
    <t>dinner_sugar</t>
  </si>
  <si>
    <t>dinner_salt</t>
  </si>
  <si>
    <t>foot_total_energy</t>
  </si>
  <si>
    <t>recuperacion</t>
  </si>
  <si>
    <t>Lunes</t>
  </si>
  <si>
    <t>Martes</t>
  </si>
  <si>
    <t>Miércoles</t>
  </si>
  <si>
    <t>Jueves</t>
  </si>
  <si>
    <t>Viernes</t>
  </si>
  <si>
    <t>Sábado</t>
  </si>
  <si>
    <t>Domingo</t>
  </si>
  <si>
    <t>breakfast_processed_ratio</t>
  </si>
  <si>
    <t>breakfast_processed_ratio_energy</t>
  </si>
  <si>
    <t>lunch_processed_ratio_energy</t>
  </si>
  <si>
    <t>lunch_processed_ratio</t>
  </si>
  <si>
    <t>dinner_processed_ratio_energy</t>
  </si>
  <si>
    <t>dinner_processed_ratio</t>
  </si>
  <si>
    <t>food_total_processed_ratio_energy</t>
  </si>
  <si>
    <t>food_total_processed_ratio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</si>
</sst>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scheme val="minor"/>
    </font>
    <font>
      <b/>
      <sz val="11"/>
      <color rgb="FF666666"/>
      <name val="Calibri"/>
    </font>
    <font>
      <b/>
      <sz val="11"/>
      <color theme="1"/>
      <name val="Calibri"/>
    </font>
    <font>
      <b/>
      <sz val="11"/>
      <color theme="1"/>
      <name val="Calibri"/>
      <scheme val="minor"/>
    </font>
    <font>
      <sz val="11"/>
      <color rgb="FF999999"/>
      <name val="Calibri"/>
      <scheme val="minor"/>
    </font>
    <font>
      <b/>
      <sz val="11"/>
      <color rgb="FF999999"/>
      <name val="Calibri"/>
      <scheme val="minor"/>
    </font>
    <font>
      <b/>
      <sz val="11"/>
      <color rgb="FFFF9900"/>
      <name val="Calibri"/>
      <scheme val="minor"/>
    </font>
    <font>
      <sz val="11"/>
      <color rgb="FF666666"/>
      <name val="Calibri"/>
      <scheme val="minor"/>
    </font>
    <font>
      <sz val="11"/>
      <color rgb="FFF3F3F3"/>
      <name val="Calibri"/>
      <scheme val="minor"/>
    </font>
    <font>
      <sz val="11"/>
      <color theme="1"/>
      <name val="Calibri"/>
      <scheme val="minor"/>
    </font>
    <font>
      <sz val="11"/>
      <color rgb="FFFF9900"/>
      <name val="Calibri"/>
      <scheme val="minor"/>
    </font>
    <font>
      <sz val="11"/>
      <color rgb="FFFFFFFF"/>
      <name val="Calibri"/>
      <scheme val="minor"/>
    </font>
    <font>
      <sz val="11"/>
      <color rgb="FF000000"/>
      <name val="Calibri"/>
    </font>
    <font>
      <sz val="11"/>
      <color theme="1"/>
      <name val="Arial"/>
    </font>
    <font>
      <b/>
      <sz val="11"/>
      <color rgb="FF666666"/>
      <name val="Calibri"/>
      <scheme val="minor"/>
    </font>
    <font>
      <sz val="11"/>
      <color rgb="FF999999"/>
      <name val="Calibri"/>
    </font>
    <font>
      <b/>
      <sz val="11"/>
      <color rgb="FFFF9900"/>
      <name val="Calibri"/>
    </font>
    <font>
      <sz val="11"/>
      <color rgb="FFF3F3F3"/>
      <name val="Calibri"/>
    </font>
    <font>
      <sz val="11"/>
      <color rgb="FFFF9900"/>
      <name val="Calibri"/>
    </font>
    <font>
      <sz val="11"/>
      <color theme="1"/>
      <name val="Calibri"/>
    </font>
    <font>
      <b/>
      <sz val="11"/>
      <color rgb="FFF3F3F3"/>
      <name val="Calibri"/>
      <scheme val="minor"/>
    </font>
    <font>
      <sz val="11"/>
      <color rgb="FF000000"/>
      <name val="&quot;Aptos Narrow&quot;"/>
    </font>
  </fonts>
  <fills count="8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F3F3F3"/>
        <bgColor rgb="FFF3F3F3"/>
      </patternFill>
    </fill>
    <fill>
      <patternFill patternType="solid">
        <fgColor rgb="FFDD7E6B"/>
        <bgColor rgb="FFDD7E6B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F3F3F3"/>
        <bgColor indexed="64"/>
      </patternFill>
    </fill>
  </fills>
  <borders count="21">
    <border>
      <left/>
      <right/>
      <top/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medium">
        <color rgb="FF9FC5E8"/>
      </left>
      <right/>
      <top/>
      <bottom/>
      <diagonal/>
    </border>
    <border>
      <left/>
      <right style="medium">
        <color rgb="FF9FC5E8"/>
      </right>
      <top/>
      <bottom/>
      <diagonal/>
    </border>
    <border>
      <left style="medium">
        <color rgb="FFDD7E6B"/>
      </left>
      <right/>
      <top/>
      <bottom/>
      <diagonal/>
    </border>
    <border>
      <left/>
      <right style="medium">
        <color rgb="FFDD7E6B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999999"/>
      </right>
      <top/>
      <bottom/>
      <diagonal/>
    </border>
    <border>
      <left style="medium">
        <color rgb="FFB6D7A8"/>
      </left>
      <right/>
      <top/>
      <bottom/>
      <diagonal/>
    </border>
    <border>
      <left/>
      <right style="medium">
        <color rgb="FFB6D7A8"/>
      </right>
      <top/>
      <bottom/>
      <diagonal/>
    </border>
    <border>
      <left style="medium">
        <color rgb="FFF9CB9C"/>
      </left>
      <right/>
      <top/>
      <bottom/>
      <diagonal/>
    </border>
    <border>
      <left/>
      <right style="medium">
        <color rgb="FFFFE599"/>
      </right>
      <top/>
      <bottom/>
      <diagonal/>
    </border>
    <border>
      <left/>
      <right/>
      <top/>
      <bottom/>
      <diagonal/>
    </border>
    <border>
      <left style="thin">
        <color rgb="FF999999"/>
      </left>
      <right/>
      <top/>
      <bottom/>
      <diagonal/>
    </border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FF9900"/>
      </left>
      <right style="medium">
        <color rgb="FFFF9900"/>
      </right>
      <top/>
      <bottom/>
      <diagonal/>
    </border>
    <border>
      <left style="medium">
        <color rgb="FFFF9900"/>
      </left>
      <right/>
      <top/>
      <bottom/>
      <diagonal/>
    </border>
    <border>
      <left/>
      <right style="medium">
        <color rgb="FFFF9900"/>
      </right>
      <top/>
      <bottom/>
      <diagonal/>
    </border>
    <border>
      <left/>
      <right/>
      <top/>
      <bottom style="thin">
        <color rgb="FFB6D7A8"/>
      </bottom>
      <diagonal/>
    </border>
  </borders>
  <cellStyleXfs count="1">
    <xf numFmtId="0" fontId="0" fillId="0" borderId="0"/>
  </cellStyleXfs>
  <cellXfs count="177">
    <xf numFmtId="0" fontId="0" fillId="0" borderId="0" xfId="0" applyFont="1" applyAlignment="1"/>
    <xf numFmtId="0" fontId="1" fillId="0" borderId="0" xfId="0" applyFont="1" applyAlignment="1"/>
    <xf numFmtId="0" fontId="2" fillId="0" borderId="1" xfId="0" applyFont="1" applyBorder="1" applyAlignment="1"/>
    <xf numFmtId="0" fontId="2" fillId="0" borderId="0" xfId="0" applyFont="1" applyAlignment="1">
      <alignment horizontal="center"/>
    </xf>
    <xf numFmtId="0" fontId="3" fillId="0" borderId="2" xfId="0" applyFont="1" applyBorder="1" applyAlignment="1"/>
    <xf numFmtId="0" fontId="3" fillId="0" borderId="0" xfId="0" applyFont="1" applyAlignment="1"/>
    <xf numFmtId="0" fontId="3" fillId="0" borderId="0" xfId="0" applyFont="1" applyAlignment="1"/>
    <xf numFmtId="0" fontId="3" fillId="0" borderId="2" xfId="0" applyFont="1" applyBorder="1" applyAlignment="1"/>
    <xf numFmtId="0" fontId="4" fillId="0" borderId="0" xfId="0" applyFont="1" applyAlignment="1">
      <alignment horizontal="center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3" fillId="0" borderId="4" xfId="0" applyFont="1" applyBorder="1" applyAlignment="1">
      <alignment horizontal="right"/>
    </xf>
    <xf numFmtId="0" fontId="5" fillId="0" borderId="0" xfId="0" applyFont="1" applyAlignment="1"/>
    <xf numFmtId="0" fontId="3" fillId="0" borderId="1" xfId="0" applyFont="1" applyBorder="1" applyAlignment="1">
      <alignment horizontal="left"/>
    </xf>
    <xf numFmtId="0" fontId="6" fillId="0" borderId="0" xfId="0" applyFont="1" applyAlignment="1"/>
    <xf numFmtId="0" fontId="3" fillId="0" borderId="5" xfId="0" applyFont="1" applyBorder="1" applyAlignment="1"/>
    <xf numFmtId="0" fontId="3" fillId="0" borderId="6" xfId="0" applyFont="1" applyBorder="1" applyAlignment="1"/>
    <xf numFmtId="0" fontId="3" fillId="0" borderId="7" xfId="0" applyFont="1" applyBorder="1" applyAlignment="1"/>
    <xf numFmtId="0" fontId="5" fillId="0" borderId="1" xfId="0" applyFont="1" applyBorder="1" applyAlignment="1"/>
    <xf numFmtId="0" fontId="4" fillId="0" borderId="8" xfId="0" applyFont="1" applyBorder="1" applyAlignment="1">
      <alignment horizontal="center"/>
    </xf>
    <xf numFmtId="0" fontId="3" fillId="0" borderId="9" xfId="0" applyFont="1" applyBorder="1" applyAlignment="1"/>
    <xf numFmtId="0" fontId="3" fillId="0" borderId="0" xfId="0" applyFont="1" applyAlignment="1">
      <alignment horizontal="left"/>
    </xf>
    <xf numFmtId="0" fontId="3" fillId="0" borderId="10" xfId="0" applyFont="1" applyBorder="1" applyAlignment="1">
      <alignment horizontal="left"/>
    </xf>
    <xf numFmtId="0" fontId="3" fillId="0" borderId="11" xfId="0" applyFont="1" applyBorder="1" applyAlignment="1"/>
    <xf numFmtId="0" fontId="3" fillId="0" borderId="12" xfId="0" applyFont="1" applyBorder="1" applyAlignment="1"/>
    <xf numFmtId="0" fontId="1" fillId="0" borderId="13" xfId="0" applyFon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2" fillId="0" borderId="15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7" fillId="0" borderId="0" xfId="0" applyFont="1"/>
    <xf numFmtId="0" fontId="8" fillId="2" borderId="1" xfId="0" applyFont="1" applyFill="1" applyBorder="1" applyAlignment="1"/>
    <xf numFmtId="0" fontId="8" fillId="2" borderId="0" xfId="0" applyFont="1" applyFill="1" applyAlignment="1">
      <alignment horizontal="center"/>
    </xf>
    <xf numFmtId="0" fontId="9" fillId="0" borderId="2" xfId="0" applyFont="1" applyBorder="1"/>
    <xf numFmtId="0" fontId="9" fillId="3" borderId="0" xfId="0" applyFont="1" applyFill="1"/>
    <xf numFmtId="0" fontId="4" fillId="3" borderId="0" xfId="0" applyFont="1" applyFill="1"/>
    <xf numFmtId="0" fontId="8" fillId="2" borderId="3" xfId="0" applyFont="1" applyFill="1" applyBorder="1" applyAlignment="1">
      <alignment horizontal="right"/>
    </xf>
    <xf numFmtId="0" fontId="8" fillId="2" borderId="0" xfId="0" applyFont="1" applyFill="1" applyAlignment="1">
      <alignment horizontal="right"/>
    </xf>
    <xf numFmtId="0" fontId="8" fillId="2" borderId="4" xfId="0" applyFont="1" applyFill="1" applyBorder="1" applyAlignment="1">
      <alignment horizontal="right"/>
    </xf>
    <xf numFmtId="0" fontId="8" fillId="2" borderId="0" xfId="0" applyFont="1" applyFill="1" applyAlignment="1">
      <alignment horizontal="right"/>
    </xf>
    <xf numFmtId="0" fontId="8" fillId="2" borderId="4" xfId="0" applyFont="1" applyFill="1" applyBorder="1" applyAlignment="1">
      <alignment horizontal="right"/>
    </xf>
    <xf numFmtId="0" fontId="9" fillId="3" borderId="1" xfId="0" applyFont="1" applyFill="1" applyBorder="1"/>
    <xf numFmtId="0" fontId="10" fillId="3" borderId="0" xfId="0" applyFont="1" applyFill="1"/>
    <xf numFmtId="0" fontId="8" fillId="4" borderId="5" xfId="0" applyFont="1" applyFill="1" applyBorder="1" applyAlignment="1"/>
    <xf numFmtId="0" fontId="8" fillId="4" borderId="0" xfId="0" applyFont="1" applyFill="1" applyAlignment="1"/>
    <xf numFmtId="0" fontId="8" fillId="4" borderId="6" xfId="0" applyFont="1" applyFill="1" applyBorder="1" applyAlignment="1"/>
    <xf numFmtId="0" fontId="8" fillId="0" borderId="2" xfId="0" applyFont="1" applyBorder="1" applyAlignment="1"/>
    <xf numFmtId="0" fontId="4" fillId="3" borderId="1" xfId="0" applyFont="1" applyFill="1" applyBorder="1"/>
    <xf numFmtId="0" fontId="4" fillId="3" borderId="8" xfId="0" applyFont="1" applyFill="1" applyBorder="1"/>
    <xf numFmtId="0" fontId="11" fillId="5" borderId="9" xfId="0" applyFont="1" applyFill="1" applyBorder="1" applyAlignment="1"/>
    <xf numFmtId="0" fontId="11" fillId="5" borderId="0" xfId="0" applyFont="1" applyFill="1" applyAlignment="1"/>
    <xf numFmtId="0" fontId="11" fillId="5" borderId="0" xfId="0" applyFont="1" applyFill="1"/>
    <xf numFmtId="0" fontId="9" fillId="6" borderId="11" xfId="0" applyFont="1" applyFill="1" applyBorder="1"/>
    <xf numFmtId="0" fontId="9" fillId="6" borderId="12" xfId="0" applyFont="1" applyFill="1" applyBorder="1"/>
    <xf numFmtId="0" fontId="9" fillId="0" borderId="0" xfId="0" applyFont="1"/>
    <xf numFmtId="0" fontId="4" fillId="0" borderId="0" xfId="0" applyFont="1"/>
    <xf numFmtId="0" fontId="9" fillId="0" borderId="1" xfId="0" applyFont="1" applyBorder="1"/>
    <xf numFmtId="0" fontId="10" fillId="0" borderId="0" xfId="0" applyFont="1"/>
    <xf numFmtId="0" fontId="4" fillId="0" borderId="1" xfId="0" applyFont="1" applyBorder="1"/>
    <xf numFmtId="0" fontId="4" fillId="0" borderId="8" xfId="0" applyFont="1" applyBorder="1"/>
    <xf numFmtId="0" fontId="11" fillId="5" borderId="9" xfId="0" applyFont="1" applyFill="1" applyBorder="1"/>
    <xf numFmtId="0" fontId="11" fillId="5" borderId="10" xfId="0" applyFont="1" applyFill="1" applyBorder="1"/>
    <xf numFmtId="0" fontId="7" fillId="0" borderId="0" xfId="0" applyFont="1" applyAlignment="1"/>
    <xf numFmtId="0" fontId="8" fillId="2" borderId="0" xfId="0" applyFont="1" applyFill="1" applyAlignment="1">
      <alignment horizontal="center"/>
    </xf>
    <xf numFmtId="0" fontId="8" fillId="2" borderId="3" xfId="0" applyFont="1" applyFill="1" applyBorder="1" applyAlignment="1">
      <alignment horizontal="right"/>
    </xf>
    <xf numFmtId="0" fontId="8" fillId="4" borderId="6" xfId="0" applyFont="1" applyFill="1" applyBorder="1"/>
    <xf numFmtId="0" fontId="8" fillId="0" borderId="2" xfId="0" applyFont="1" applyBorder="1"/>
    <xf numFmtId="0" fontId="8" fillId="4" borderId="0" xfId="0" applyFont="1" applyFill="1"/>
    <xf numFmtId="0" fontId="8" fillId="2" borderId="1" xfId="0" applyFont="1" applyFill="1" applyBorder="1"/>
    <xf numFmtId="0" fontId="8" fillId="4" borderId="5" xfId="0" applyFont="1" applyFill="1" applyBorder="1"/>
    <xf numFmtId="0" fontId="12" fillId="0" borderId="0" xfId="0" applyFont="1" applyAlignment="1"/>
    <xf numFmtId="0" fontId="12" fillId="0" borderId="0" xfId="0" applyFont="1" applyAlignment="1">
      <alignment horizontal="right"/>
    </xf>
    <xf numFmtId="0" fontId="12" fillId="0" borderId="0" xfId="0" applyFont="1" applyAlignment="1"/>
    <xf numFmtId="0" fontId="13" fillId="0" borderId="0" xfId="0" applyFont="1" applyAlignment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right"/>
    </xf>
    <xf numFmtId="0" fontId="5" fillId="0" borderId="5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6" xfId="0" applyFont="1" applyBorder="1" applyAlignment="1">
      <alignment horizontal="center"/>
    </xf>
    <xf numFmtId="0" fontId="3" fillId="0" borderId="16" xfId="0" applyFont="1" applyBorder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6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0" xfId="0" applyFont="1" applyAlignment="1">
      <alignment horizontal="right"/>
    </xf>
    <xf numFmtId="0" fontId="2" fillId="0" borderId="17" xfId="0" applyFont="1" applyBorder="1" applyAlignment="1">
      <alignment horizontal="right"/>
    </xf>
    <xf numFmtId="0" fontId="15" fillId="0" borderId="0" xfId="0" applyFont="1" applyAlignment="1"/>
    <xf numFmtId="0" fontId="14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6" xfId="0" applyFont="1" applyBorder="1" applyAlignment="1">
      <alignment horizontal="left"/>
    </xf>
    <xf numFmtId="0" fontId="3" fillId="0" borderId="16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6" xfId="0" applyFont="1" applyBorder="1" applyAlignment="1"/>
    <xf numFmtId="0" fontId="2" fillId="0" borderId="6" xfId="0" applyFont="1" applyBorder="1" applyAlignment="1">
      <alignment horizontal="left"/>
    </xf>
    <xf numFmtId="0" fontId="16" fillId="0" borderId="17" xfId="0" applyFont="1" applyBorder="1" applyAlignment="1">
      <alignment horizontal="left"/>
    </xf>
    <xf numFmtId="0" fontId="8" fillId="4" borderId="5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9" fillId="0" borderId="16" xfId="0" applyFont="1" applyBorder="1"/>
    <xf numFmtId="0" fontId="8" fillId="4" borderId="5" xfId="0" applyFont="1" applyFill="1" applyBorder="1" applyAlignment="1">
      <alignment horizontal="left"/>
    </xf>
    <xf numFmtId="0" fontId="8" fillId="4" borderId="0" xfId="0" applyFont="1" applyFill="1" applyAlignment="1">
      <alignment horizontal="left"/>
    </xf>
    <xf numFmtId="0" fontId="8" fillId="4" borderId="6" xfId="0" applyFont="1" applyFill="1" applyBorder="1" applyAlignment="1">
      <alignment horizontal="left"/>
    </xf>
    <xf numFmtId="0" fontId="9" fillId="3" borderId="0" xfId="0" applyFont="1" applyFill="1" applyAlignment="1">
      <alignment horizontal="left"/>
    </xf>
    <xf numFmtId="0" fontId="17" fillId="4" borderId="5" xfId="0" applyFont="1" applyFill="1" applyBorder="1" applyAlignment="1">
      <alignment horizontal="left"/>
    </xf>
    <xf numFmtId="0" fontId="17" fillId="4" borderId="0" xfId="0" applyFont="1" applyFill="1" applyAlignment="1">
      <alignment horizontal="left"/>
    </xf>
    <xf numFmtId="0" fontId="17" fillId="4" borderId="6" xfId="0" applyFont="1" applyFill="1" applyBorder="1" applyAlignment="1">
      <alignment horizontal="left"/>
    </xf>
    <xf numFmtId="0" fontId="18" fillId="3" borderId="17" xfId="0" applyFont="1" applyFill="1" applyBorder="1" applyAlignment="1"/>
    <xf numFmtId="0" fontId="15" fillId="0" borderId="0" xfId="0" applyFont="1" applyAlignment="1"/>
    <xf numFmtId="0" fontId="8" fillId="4" borderId="5" xfId="0" applyFont="1" applyFill="1" applyBorder="1" applyAlignment="1">
      <alignment horizontal="left"/>
    </xf>
    <xf numFmtId="0" fontId="8" fillId="4" borderId="0" xfId="0" applyFont="1" applyFill="1" applyAlignment="1">
      <alignment horizontal="left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8" fillId="0" borderId="17" xfId="0" applyFont="1" applyBorder="1" applyAlignment="1"/>
    <xf numFmtId="0" fontId="8" fillId="4" borderId="6" xfId="0" applyFont="1" applyFill="1" applyBorder="1" applyAlignment="1">
      <alignment horizontal="left"/>
    </xf>
    <xf numFmtId="0" fontId="17" fillId="4" borderId="5" xfId="0" applyFont="1" applyFill="1" applyBorder="1" applyAlignment="1">
      <alignment horizontal="left"/>
    </xf>
    <xf numFmtId="0" fontId="17" fillId="4" borderId="0" xfId="0" applyFont="1" applyFill="1" applyAlignment="1">
      <alignment horizontal="left"/>
    </xf>
    <xf numFmtId="0" fontId="17" fillId="4" borderId="6" xfId="0" applyFont="1" applyFill="1" applyBorder="1" applyAlignment="1">
      <alignment horizontal="left"/>
    </xf>
    <xf numFmtId="0" fontId="17" fillId="4" borderId="0" xfId="0" applyFont="1" applyFill="1" applyAlignment="1">
      <alignment horizontal="left"/>
    </xf>
    <xf numFmtId="0" fontId="17" fillId="4" borderId="6" xfId="0" applyFont="1" applyFill="1" applyBorder="1" applyAlignment="1">
      <alignment horizontal="left"/>
    </xf>
    <xf numFmtId="0" fontId="18" fillId="0" borderId="17" xfId="0" applyFont="1" applyBorder="1" applyAlignment="1"/>
    <xf numFmtId="0" fontId="8" fillId="4" borderId="5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20" fillId="4" borderId="6" xfId="0" applyFont="1" applyFill="1" applyBorder="1" applyAlignment="1">
      <alignment horizontal="center"/>
    </xf>
    <xf numFmtId="0" fontId="21" fillId="0" borderId="0" xfId="0" applyFont="1" applyAlignment="1"/>
    <xf numFmtId="0" fontId="2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3" fillId="0" borderId="9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18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11" fillId="5" borderId="9" xfId="0" applyFont="1" applyFill="1" applyBorder="1" applyAlignment="1">
      <alignment horizontal="left"/>
    </xf>
    <xf numFmtId="0" fontId="11" fillId="5" borderId="0" xfId="0" applyFont="1" applyFill="1" applyAlignment="1">
      <alignment horizontal="left"/>
    </xf>
    <xf numFmtId="0" fontId="11" fillId="5" borderId="1" xfId="0" applyFont="1" applyFill="1" applyBorder="1" applyAlignment="1">
      <alignment horizontal="left"/>
    </xf>
    <xf numFmtId="0" fontId="11" fillId="5" borderId="1" xfId="0" applyFont="1" applyFill="1" applyBorder="1" applyAlignment="1">
      <alignment horizontal="left"/>
    </xf>
    <xf numFmtId="0" fontId="11" fillId="5" borderId="0" xfId="0" applyFont="1" applyFill="1" applyAlignment="1">
      <alignment horizontal="left"/>
    </xf>
    <xf numFmtId="0" fontId="9" fillId="3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5" borderId="9" xfId="0" applyFont="1" applyFill="1" applyBorder="1" applyAlignment="1">
      <alignment horizontal="left"/>
    </xf>
    <xf numFmtId="0" fontId="10" fillId="0" borderId="1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9" fillId="3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0" fontId="9" fillId="0" borderId="0" xfId="0" applyFont="1" applyAlignment="1"/>
    <xf numFmtId="0" fontId="6" fillId="0" borderId="18" xfId="0" applyFont="1" applyBorder="1" applyAlignment="1"/>
    <xf numFmtId="0" fontId="4" fillId="3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3" fillId="0" borderId="19" xfId="0" applyFont="1" applyBorder="1" applyAlignment="1">
      <alignment horizontal="center"/>
    </xf>
    <xf numFmtId="0" fontId="9" fillId="7" borderId="19" xfId="0" applyFont="1" applyFill="1" applyBorder="1" applyAlignment="1">
      <alignment horizontal="center"/>
    </xf>
    <xf numFmtId="0" fontId="10" fillId="7" borderId="18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0" borderId="0" xfId="0" applyFont="1" applyAlignment="1">
      <alignment horizontal="right"/>
    </xf>
    <xf numFmtId="0" fontId="4" fillId="3" borderId="0" xfId="0" applyFont="1" applyFill="1" applyAlignment="1">
      <alignment horizontal="right"/>
    </xf>
    <xf numFmtId="0" fontId="0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3F3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FC5E8"/>
    <outlinePr summaryBelow="0" summaryRight="0"/>
  </sheetPr>
  <dimension ref="A1:BZ100"/>
  <sheetViews>
    <sheetView tabSelected="1" workbookViewId="0">
      <pane xSplit="1" ySplit="2" topLeftCell="BD3" activePane="bottomRight" state="frozen"/>
      <selection pane="topRight" activeCell="B1" sqref="B1"/>
      <selection pane="bottomLeft" activeCell="A3" sqref="A3"/>
      <selection pane="bottomRight" activeCell="BT3" sqref="BT3"/>
    </sheetView>
  </sheetViews>
  <sheetFormatPr defaultColWidth="14.42578125" defaultRowHeight="15" customHeight="1" outlineLevelCol="1"/>
  <cols>
    <col min="6" max="6" width="3" customWidth="1"/>
    <col min="9" max="9" width="3" customWidth="1"/>
    <col min="14" max="14" width="14.42578125" outlineLevel="1"/>
    <col min="29" max="32" width="14.42578125" outlineLevel="1"/>
    <col min="42" max="42" width="3" customWidth="1"/>
    <col min="47" max="47" width="3" customWidth="1"/>
    <col min="48" max="51" width="14.42578125" customWidth="1" outlineLevel="1"/>
    <col min="61" max="61" width="3" customWidth="1"/>
    <col min="73" max="73" width="3" customWidth="1"/>
    <col min="76" max="76" width="3" customWidth="1"/>
  </cols>
  <sheetData>
    <row r="1" spans="1:78">
      <c r="A1" s="1"/>
      <c r="B1" s="2" t="s">
        <v>0</v>
      </c>
      <c r="C1" s="3"/>
      <c r="D1" s="3"/>
      <c r="E1" s="3"/>
      <c r="F1" s="4"/>
      <c r="G1" s="5" t="s">
        <v>1</v>
      </c>
      <c r="H1" s="6"/>
      <c r="I1" s="7"/>
      <c r="J1" s="8">
        <v>1.2</v>
      </c>
      <c r="K1" s="8">
        <v>0.3</v>
      </c>
      <c r="L1" s="8">
        <v>0.25</v>
      </c>
      <c r="M1" s="8">
        <v>0.45</v>
      </c>
      <c r="N1" s="8"/>
      <c r="O1" s="8">
        <v>5</v>
      </c>
      <c r="P1" s="8">
        <v>14</v>
      </c>
      <c r="Q1" s="8">
        <v>0.1</v>
      </c>
      <c r="R1" s="8">
        <v>0.1</v>
      </c>
      <c r="S1" s="8">
        <v>3.5</v>
      </c>
      <c r="T1" s="9" t="s">
        <v>2</v>
      </c>
      <c r="U1" s="10"/>
      <c r="V1" s="11"/>
      <c r="W1" s="11"/>
      <c r="X1" s="11"/>
      <c r="Y1" s="11"/>
      <c r="Z1" s="11"/>
      <c r="AA1" s="11"/>
      <c r="AB1" s="12"/>
      <c r="AC1" s="13"/>
      <c r="AD1" s="8">
        <v>0.3</v>
      </c>
      <c r="AE1" s="8">
        <v>0.25</v>
      </c>
      <c r="AF1" s="8">
        <v>0.45</v>
      </c>
      <c r="AG1" s="14" t="s">
        <v>3</v>
      </c>
      <c r="AH1" s="8"/>
      <c r="AI1" s="8"/>
      <c r="AJ1" s="15"/>
      <c r="AK1" s="8">
        <v>5</v>
      </c>
      <c r="AL1" s="8">
        <v>14</v>
      </c>
      <c r="AM1" s="8">
        <v>0.1</v>
      </c>
      <c r="AN1" s="8">
        <v>0.1</v>
      </c>
      <c r="AO1" s="8">
        <v>3.5</v>
      </c>
      <c r="AP1" s="7"/>
      <c r="AQ1" s="16" t="s">
        <v>4</v>
      </c>
      <c r="AR1" s="6"/>
      <c r="AS1" s="6"/>
      <c r="AT1" s="17"/>
      <c r="AU1" s="18"/>
      <c r="AV1" s="19"/>
      <c r="AW1" s="8"/>
      <c r="AX1" s="8"/>
      <c r="AY1" s="20"/>
      <c r="AZ1" s="5" t="s">
        <v>5</v>
      </c>
      <c r="BA1" s="6"/>
      <c r="BB1" s="6"/>
      <c r="BC1" s="15"/>
      <c r="BD1" s="8">
        <v>5</v>
      </c>
      <c r="BE1" s="8">
        <v>14</v>
      </c>
      <c r="BF1" s="8">
        <v>0.1</v>
      </c>
      <c r="BG1" s="8">
        <v>0.1</v>
      </c>
      <c r="BH1" s="8">
        <v>3.5</v>
      </c>
      <c r="BI1" s="7"/>
      <c r="BJ1" s="21" t="s">
        <v>6</v>
      </c>
      <c r="BK1" s="6"/>
      <c r="BL1" s="6"/>
      <c r="BM1" s="22"/>
      <c r="BN1" s="22"/>
      <c r="BO1" s="22"/>
      <c r="BQ1" s="22"/>
      <c r="BR1" s="22"/>
      <c r="BS1" s="22"/>
      <c r="BT1" s="23"/>
      <c r="BU1" s="7"/>
      <c r="BV1" s="24" t="s">
        <v>7</v>
      </c>
      <c r="BW1" s="25"/>
      <c r="BX1" s="7"/>
      <c r="BY1" s="6"/>
      <c r="BZ1" s="6"/>
    </row>
    <row r="2" spans="1:78">
      <c r="A2" s="26" t="s">
        <v>8</v>
      </c>
      <c r="B2" s="27" t="s">
        <v>9</v>
      </c>
      <c r="C2" s="28" t="s">
        <v>10</v>
      </c>
      <c r="D2" s="28" t="s">
        <v>11</v>
      </c>
      <c r="E2" s="28" t="s">
        <v>12</v>
      </c>
      <c r="F2" s="29"/>
      <c r="G2" s="22" t="s">
        <v>13</v>
      </c>
      <c r="H2" s="22" t="s">
        <v>14</v>
      </c>
      <c r="I2" s="29"/>
      <c r="J2" s="22" t="s">
        <v>15</v>
      </c>
      <c r="K2" s="22" t="s">
        <v>16</v>
      </c>
      <c r="L2" s="22" t="s">
        <v>17</v>
      </c>
      <c r="M2" s="22" t="s">
        <v>18</v>
      </c>
      <c r="N2" s="30" t="s">
        <v>19</v>
      </c>
      <c r="O2" s="22" t="s">
        <v>20</v>
      </c>
      <c r="P2" s="22" t="s">
        <v>21</v>
      </c>
      <c r="Q2" s="22" t="s">
        <v>22</v>
      </c>
      <c r="R2" s="22" t="s">
        <v>23</v>
      </c>
      <c r="S2" s="22" t="s">
        <v>24</v>
      </c>
      <c r="T2" s="31" t="s">
        <v>25</v>
      </c>
      <c r="U2" s="22" t="s">
        <v>26</v>
      </c>
      <c r="V2" s="22" t="s">
        <v>27</v>
      </c>
      <c r="W2" s="22" t="s">
        <v>28</v>
      </c>
      <c r="X2" s="22" t="s">
        <v>29</v>
      </c>
      <c r="Y2" s="22" t="s">
        <v>30</v>
      </c>
      <c r="Z2" s="22" t="s">
        <v>31</v>
      </c>
      <c r="AA2" s="22" t="s">
        <v>32</v>
      </c>
      <c r="AB2" s="32" t="s">
        <v>33</v>
      </c>
      <c r="AC2" s="30" t="s">
        <v>34</v>
      </c>
      <c r="AD2" s="30" t="s">
        <v>35</v>
      </c>
      <c r="AE2" s="30" t="s">
        <v>36</v>
      </c>
      <c r="AF2" s="30" t="s">
        <v>37</v>
      </c>
      <c r="AG2" s="33" t="s">
        <v>38</v>
      </c>
      <c r="AH2" s="22" t="s">
        <v>39</v>
      </c>
      <c r="AI2" s="22" t="s">
        <v>40</v>
      </c>
      <c r="AJ2" s="34" t="s">
        <v>41</v>
      </c>
      <c r="AK2" s="22" t="s">
        <v>42</v>
      </c>
      <c r="AL2" s="22" t="s">
        <v>43</v>
      </c>
      <c r="AM2" s="22" t="s">
        <v>44</v>
      </c>
      <c r="AN2" s="22" t="s">
        <v>45</v>
      </c>
      <c r="AO2" s="22" t="s">
        <v>46</v>
      </c>
      <c r="AP2" s="35"/>
      <c r="AQ2" s="36" t="s">
        <v>47</v>
      </c>
      <c r="AR2" s="22" t="s">
        <v>48</v>
      </c>
      <c r="AS2" s="22" t="s">
        <v>49</v>
      </c>
      <c r="AT2" s="37" t="s">
        <v>50</v>
      </c>
      <c r="AU2" s="29"/>
      <c r="AV2" s="38" t="s">
        <v>51</v>
      </c>
      <c r="AW2" s="30" t="s">
        <v>52</v>
      </c>
      <c r="AX2" s="30" t="s">
        <v>53</v>
      </c>
      <c r="AY2" s="39" t="s">
        <v>54</v>
      </c>
      <c r="AZ2" s="22" t="s">
        <v>55</v>
      </c>
      <c r="BA2" s="22" t="s">
        <v>56</v>
      </c>
      <c r="BB2" s="22" t="s">
        <v>57</v>
      </c>
      <c r="BC2" s="34" t="s">
        <v>58</v>
      </c>
      <c r="BD2" s="22" t="s">
        <v>59</v>
      </c>
      <c r="BE2" s="22" t="s">
        <v>60</v>
      </c>
      <c r="BF2" s="22" t="s">
        <v>61</v>
      </c>
      <c r="BG2" s="22" t="s">
        <v>62</v>
      </c>
      <c r="BH2" s="22" t="s">
        <v>63</v>
      </c>
      <c r="BI2" s="29"/>
      <c r="BJ2" s="40" t="s">
        <v>64</v>
      </c>
      <c r="BK2" s="22" t="s">
        <v>65</v>
      </c>
      <c r="BL2" s="22" t="s">
        <v>66</v>
      </c>
      <c r="BM2" s="22" t="s">
        <v>67</v>
      </c>
      <c r="BN2" s="22" t="s">
        <v>68</v>
      </c>
      <c r="BO2" s="22" t="s">
        <v>69</v>
      </c>
      <c r="BP2" s="22" t="s">
        <v>70</v>
      </c>
      <c r="BQ2" s="22" t="s">
        <v>71</v>
      </c>
      <c r="BR2" s="22" t="s">
        <v>72</v>
      </c>
      <c r="BS2" s="22" t="s">
        <v>73</v>
      </c>
      <c r="BT2" s="22" t="s">
        <v>74</v>
      </c>
      <c r="BU2" s="29"/>
      <c r="BV2" s="41" t="s">
        <v>75</v>
      </c>
      <c r="BW2" s="42" t="s">
        <v>76</v>
      </c>
      <c r="BX2" s="29"/>
      <c r="BY2" s="22"/>
      <c r="BZ2" s="22"/>
    </row>
    <row r="3" spans="1:78">
      <c r="A3" s="43" t="s">
        <v>77</v>
      </c>
      <c r="B3" s="44" t="s">
        <v>78</v>
      </c>
      <c r="C3" s="45">
        <v>30</v>
      </c>
      <c r="D3" s="45">
        <v>175</v>
      </c>
      <c r="E3" s="45">
        <v>75</v>
      </c>
      <c r="F3" s="46"/>
      <c r="G3" s="47" cm="1">
        <f t="array" ref="G3:G100">IF(ISBLANK($A3:$A100),"", ROUND(E3:E100 / ((D3:D100 / 100) ^2),1))</f>
        <v>24.5</v>
      </c>
      <c r="H3" s="47" cm="1">
        <f t="array" ref="H3:H100">IF(ISBLANK($A3:$A100),"", ROUND(10*E3:E100 + 6.25*D3:D100 - 5*C3:C100 + IF(B3:B100="hombre", 5, -161),0))</f>
        <v>1699</v>
      </c>
      <c r="I3" s="46"/>
      <c r="J3" s="47" cm="1">
        <f t="array" ref="J3:J100">IF(ISBLANK(A3:A100),"", ROUND(H3:H100 * $J$1,0))</f>
        <v>2039</v>
      </c>
      <c r="K3" s="47" cm="1">
        <f t="array" ref="K3:K100">IF(ISBLANK($A3:$A100),"", ROUND($J3:J100 * K$1 / 4,0))</f>
        <v>153</v>
      </c>
      <c r="L3" s="47" cm="1">
        <f t="array" ref="L3:L100">IF(ISBLANK($A3:$A100),"", ROUND($J3:J100 * L$1 / 4,0))</f>
        <v>127</v>
      </c>
      <c r="M3" s="47" cm="1">
        <f t="array" ref="M3:M100">IF(ISBLANK($A3:$A100),"", ROUND($J3:J100 * M$1 / 9,0))</f>
        <v>102</v>
      </c>
      <c r="N3" s="48" cm="1">
        <f t="array" ref="N3:N100">IF(ISBLANK($A3:$A100),"", $K3:K100*4 + $L3:L100*4 + $M3:M100*9)</f>
        <v>2038</v>
      </c>
      <c r="O3" s="47" cm="1">
        <f t="array" ref="O3:O100">IF(ISBLANK($A3:$A100),"", $O$1)</f>
        <v>5</v>
      </c>
      <c r="P3" s="47" cm="1">
        <f t="array" ref="P3:P100">IF(ISBLANK($A3:$A100),"", ROUND($P$1 * $N3:$N100/1000,0))</f>
        <v>29</v>
      </c>
      <c r="Q3" s="47" cm="1">
        <f t="array" ref="Q3:Q100">IF(ISBLANK($A3:$A100),"", ROUND($N3:$N100 * Q$1 / 4,0))</f>
        <v>51</v>
      </c>
      <c r="R3" s="47" cm="1">
        <f t="array" ref="R3:R100">IF(ISBLANK($A3:$A100),"", ROUND($N3:$N100 * R$1 / 9,0))</f>
        <v>23</v>
      </c>
      <c r="S3" s="47" cm="1">
        <f t="array" ref="S3:S100">IF(ISBLANK($A3:$A100),"", $S$1)</f>
        <v>3.5</v>
      </c>
      <c r="T3" s="49">
        <v>0</v>
      </c>
      <c r="U3" s="50">
        <v>0</v>
      </c>
      <c r="V3" s="50">
        <v>0</v>
      </c>
      <c r="W3" s="51">
        <v>0</v>
      </c>
      <c r="X3" s="52">
        <v>0.05</v>
      </c>
      <c r="Y3" s="52">
        <v>0</v>
      </c>
      <c r="Z3" s="52">
        <v>0</v>
      </c>
      <c r="AA3" s="52">
        <v>0</v>
      </c>
      <c r="AB3" s="53">
        <v>0</v>
      </c>
      <c r="AC3" s="48" cm="1">
        <f t="array" ref="AC3:AC100">IF(ISBLANK($A3:$A100),"", J3:J100 * (1 + T3:T100))</f>
        <v>2039</v>
      </c>
      <c r="AD3" s="48" cm="1">
        <f t="array" ref="AD3:AD100">IF(ISBLANK($A3:$A100),"", ROUND($AC3:AC100 * AD$1 / 4,0))</f>
        <v>153</v>
      </c>
      <c r="AE3" s="48" cm="1">
        <f t="array" ref="AE3:AE100">IF(ISBLANK($A3:$A100),"", ROUND($AC3:AC100 * AE$1 / 4,0))</f>
        <v>127</v>
      </c>
      <c r="AF3" s="48" cm="1">
        <f t="array" ref="AF3:AF100">IF(ISBLANK($A3:$A100),"", ROUND($AC3:AC100 * AF$1 / 9,0))</f>
        <v>102</v>
      </c>
      <c r="AG3" s="54" cm="1">
        <f t="array" ref="AG3:AG100">IF(ISBLANK($A3:$A100),"", ROUND($AD3:AD100 * (1 + U3:U100),0))</f>
        <v>153</v>
      </c>
      <c r="AH3" s="47" cm="1">
        <f t="array" ref="AH3:AH100">IF(ISBLANK($A3:$A100),"", ROUND($AE3:AE100 * (1 + V3:V100),0))</f>
        <v>127</v>
      </c>
      <c r="AI3" s="47" cm="1">
        <f t="array" ref="AI3:AI100">IF(ISBLANK($A3:$A100),"", ROUND($AF3:AF100 * (1 + W3:W100),0))</f>
        <v>102</v>
      </c>
      <c r="AJ3" s="55" cm="1">
        <f t="array" ref="AJ3:AJ100">IF(ISBLANK($A3:$A100),"", $AG3:AG100*4 + $AH3:AH100*4 + $AI3:AI100*9)</f>
        <v>2038</v>
      </c>
      <c r="AK3" s="47" cm="1">
        <f t="array" ref="AK3:AK100">IF(ISBLANK($A3:$A100),"", ROUND($AK$1 * (1 + X3:X100),2))</f>
        <v>5.25</v>
      </c>
      <c r="AL3" s="47" cm="1">
        <f t="array" ref="AL3:AL100">IF(ISBLANK($A3:$A100),"", ROUND($AL$1 * $AJ3:$AJ100/1000 * (1 + Y3:Y100),1))</f>
        <v>28.5</v>
      </c>
      <c r="AM3" s="47" cm="1">
        <f t="array" ref="AM3:AM100">IF(ISBLANK($A3:$A100),"", ROUND($AJ3:$AJ100 * $AM$1 / 4 * (1 + Z3:Z100),1))</f>
        <v>51</v>
      </c>
      <c r="AN3" s="47" cm="1">
        <f t="array" ref="AN3:AN100">IF(ISBLANK($A3:$A100),"", ROUND($AJ3:$AJ100 * $AN$1 / 9 * (1 + AA3:AA100),1))</f>
        <v>22.6</v>
      </c>
      <c r="AO3" s="47" cm="1">
        <f t="array" ref="AO3:AO100">IF(ISBLANK($A3:$A100),"", $AO$1 * (1 + AB3:AB100))</f>
        <v>3.5</v>
      </c>
      <c r="AP3" s="46"/>
      <c r="AQ3" s="56" t="s">
        <v>79</v>
      </c>
      <c r="AR3" s="57" t="s">
        <v>80</v>
      </c>
      <c r="AS3" s="57" cm="1">
        <f t="array" ref="AS3:AS100">IF(ISBLANK(A3:A100),"", ROUND(_xlfn.XLOOKUP($AQ3:AQ100, Actividad_calc!$A$3:$A$30, Actividad_calc!BD$3:BD$30, "") * $E3:E100,2))</f>
        <v>350</v>
      </c>
      <c r="AT3" s="58" cm="1">
        <f t="array" ref="AT3:AT100">IF(ISBLANK(A3:A100),"", ROUND(_xlfn.XLOOKUP($AR3:AR100, Actividad_calc!$A$3:$A$30, Actividad_calc!BD$3:BD$30, "") * $E3:E100,2))</f>
        <v>206.69</v>
      </c>
      <c r="AU3" s="59"/>
      <c r="AV3" s="60" cm="1">
        <f t="array" ref="AV3:AV100">IF(ISBLANK(A3:A100),"", ROUND(($J3:J100 + $AS3:AS100 + $AT3:AT100) * (1 + T3:T100),0))</f>
        <v>2596</v>
      </c>
      <c r="AW3" s="48" cm="1">
        <f t="array" ref="AW3:AW100">IF(ISBLANK(A3:A100),"", ROUND($AV3:AV100 * _xlfn.XLOOKUP($AR3:AR100, Actividad_calc!$A$3:$A$30, Actividad_calc!B$3:B$30)/4,0))</f>
        <v>227</v>
      </c>
      <c r="AX3" s="48" cm="1">
        <f t="array" ref="AX3:AX100">IF(ISBLANK(A3:A100),"", ROUND($AV3:AV100 * _xlfn.XLOOKUP($AR3:AR100, Actividad_calc!$A$3:$A$30, Actividad_calc!C$3:C$30)/4,0))</f>
        <v>260</v>
      </c>
      <c r="AY3" s="61" cm="1">
        <f t="array" ref="AY3:AY100">IF(ISBLANK(A3:A100),"", ROUND($AV3:AV100 * _xlfn.XLOOKUP($AR3:AR100, Actividad_calc!$A$3:$A$30, Actividad_calc!D$3:D$30)/9,0))</f>
        <v>72</v>
      </c>
      <c r="AZ3" s="47" cm="1">
        <f t="array" ref="AZ3:AZ100">IF(ISBLANK(A3:A100),"", ROUND(AW3:AW100 * (1 + U3:U100),0))</f>
        <v>227</v>
      </c>
      <c r="BA3" s="47" cm="1">
        <f t="array" ref="BA3:BA100">IF(ISBLANK(A3:A100),"", ROUND(AX3:AX100 * (1 + V3:V100),0))</f>
        <v>260</v>
      </c>
      <c r="BB3" s="47" cm="1">
        <f t="array" ref="BB3:BB100">IF(ISBLANK(A3:A100),"", ROUND(AY3:AY100 * (1 + W3:W100),0))</f>
        <v>72</v>
      </c>
      <c r="BC3" s="55" cm="1">
        <f t="array" ref="BC3:BC100">IF(ISBLANK(A3:A100),"", $AZ3:AZ100*4 + $BA3:BA100*4 + $BB3:BB100*9)</f>
        <v>2596</v>
      </c>
      <c r="BD3" s="47" cm="1">
        <f t="array" ref="BD3:BD100">IF(ISBLANK($A3:$A100),"", ROUND($BD$1 * (1 + X3:X100),2))</f>
        <v>5.25</v>
      </c>
      <c r="BE3" s="47" cm="1">
        <f t="array" ref="BE3:BE100">IF(ISBLANK($A3:$A100),"", ROUND($BE$1 * $BC3:$BC100/1000 * (1 + Y3:Y100),1))</f>
        <v>36.299999999999997</v>
      </c>
      <c r="BF3" s="47" cm="1">
        <f t="array" ref="BF3:BF100">IF(ISBLANK($A3:$A100),"", ROUND($BC3:$BC100 * $BF$1 / 4 * (1 + Z3:Z100),1))</f>
        <v>64.900000000000006</v>
      </c>
      <c r="BG3" s="47" cm="1">
        <f t="array" ref="BG3:BG100">IF(ISBLANK($A3:$A100),"", ROUND($BC3:$BC100 * $BG$1 / 9 * (1 + AA3:AA100),1))</f>
        <v>28.8</v>
      </c>
      <c r="BH3" s="47" cm="1">
        <f t="array" ref="BH3:BH100">IF(ISBLANK($A3:$A100),"", $BH$1 * (1 + AB3:AB100))</f>
        <v>3.5</v>
      </c>
      <c r="BI3" s="46"/>
      <c r="BJ3" s="62" t="s">
        <v>81</v>
      </c>
      <c r="BK3" s="63" t="s">
        <v>569</v>
      </c>
      <c r="BL3" s="64" cm="1">
        <f t="array" ref="BL3:BL100">_xlfn.XLOOKUP($BJ3:$BJ100&amp;" | "&amp;$BK3:$BK100, Alimentacion_calc!$A3:$A100&amp;" | "&amp;Alimentacion_calc!$B3:$B100, Alimentacion_calc!BK3:BK100, "")</f>
        <v>1602</v>
      </c>
      <c r="BM3" s="64" cm="1">
        <f t="array" ref="BM3:BM100">_xlfn.XLOOKUP($BJ3:$BJ100&amp;" | "&amp;$BK3:$BK100, Alimentacion_calc!$A3:$A100&amp;" | "&amp;Alimentacion_calc!$B3:$B100, Alimentacion_calc!BL3:BL100, "")</f>
        <v>122</v>
      </c>
      <c r="BN3" s="64" cm="1">
        <f t="array" ref="BN3:BN100">_xlfn.XLOOKUP($BJ3:$BJ100&amp;" | "&amp;$BK3:$BK100, Alimentacion_calc!$A3:$A100&amp;" | "&amp;Alimentacion_calc!$B3:$B100, Alimentacion_calc!BM3:BM100, "")</f>
        <v>147</v>
      </c>
      <c r="BO3" s="64" cm="1">
        <f t="array" ref="BO3:BO100">_xlfn.XLOOKUP($BJ3:$BJ100&amp;" | "&amp;$BK3:$BK100, Alimentacion_calc!$A3:$A100&amp;" | "&amp;Alimentacion_calc!$B3:$B100, Alimentacion_calc!BN3:BN100, "")</f>
        <v>62</v>
      </c>
      <c r="BP3" s="64" cm="1">
        <f t="array" ref="BP3:BP100">_xlfn.XLOOKUP($BJ3:$BJ100&amp;" | "&amp;$BK3:$BK100, Alimentacion_calc!$A3:$A100&amp;" | "&amp;Alimentacion_calc!$B3:$B100, Alimentacion_calc!BO3:BO100, "")</f>
        <v>20</v>
      </c>
      <c r="BQ3" s="64" cm="1">
        <f t="array" ref="BQ3:BQ100">_xlfn.XLOOKUP($BJ3:$BJ100&amp;" | "&amp;$BK3:$BK100, Alimentacion_calc!$A3:$A100&amp;" | "&amp;Alimentacion_calc!$B3:$B100, Alimentacion_calc!BP3:BP100, "")</f>
        <v>27</v>
      </c>
      <c r="BR3" s="64" cm="1">
        <f t="array" ref="BR3:BR100">_xlfn.XLOOKUP($BJ3:$BJ100&amp;" | "&amp;$BK3:$BK100, Alimentacion_calc!$A3:$A100&amp;" | "&amp;Alimentacion_calc!$B3:$B100, Alimentacion_calc!BQ3:BQ100, "")</f>
        <v>56</v>
      </c>
      <c r="BS3" s="64" cm="1">
        <f t="array" ref="BS3:BS100">_xlfn.XLOOKUP($BJ3:$BJ100&amp;" | "&amp;$BK3:$BK100, Alimentacion_calc!$A3:$A100&amp;" | "&amp;Alimentacion_calc!$B3:$B100, Alimentacion_calc!BR3:BR100, "")</f>
        <v>2.14</v>
      </c>
      <c r="BT3" s="64" cm="1">
        <f t="array" ref="BT3:BT100">_xlfn.XLOOKUP($BJ3:$BJ100&amp;" | "&amp;$BK3:$BK100, Alimentacion_calc!$A3:$A100&amp;" | "&amp;Alimentacion_calc!$B3:$B100, Alimentacion_calc!BT3:BT100, "")</f>
        <v>2.21</v>
      </c>
      <c r="BU3" s="46"/>
      <c r="BV3" s="65" cm="1">
        <f t="array" ref="BV3:BV100">IF((BC3:BC100="") + (BL3:BL100=""), "", BL3:BL100 - BC3:BC100)</f>
        <v>-994</v>
      </c>
      <c r="BW3" s="66" t="str" cm="1">
        <f t="array" ref="BW3:BW100">IF(BV3:BV100="","",IF(BV3:BV100&gt;=0,"Superavit","Déficit"))</f>
        <v>Déficit</v>
      </c>
      <c r="BX3" s="46"/>
    </row>
    <row r="4" spans="1:78">
      <c r="A4" s="43" t="s">
        <v>82</v>
      </c>
      <c r="B4" s="44" t="s">
        <v>78</v>
      </c>
      <c r="C4" s="45">
        <v>30</v>
      </c>
      <c r="D4" s="45">
        <v>175</v>
      </c>
      <c r="E4" s="45">
        <v>75</v>
      </c>
      <c r="F4" s="46"/>
      <c r="G4" s="67">
        <v>24.5</v>
      </c>
      <c r="H4" s="67">
        <v>1699</v>
      </c>
      <c r="I4" s="46"/>
      <c r="J4" s="67">
        <v>2039</v>
      </c>
      <c r="K4" s="67">
        <v>153</v>
      </c>
      <c r="L4" s="67">
        <v>127</v>
      </c>
      <c r="M4" s="67">
        <v>102</v>
      </c>
      <c r="N4" s="68">
        <v>2038</v>
      </c>
      <c r="O4" s="67">
        <v>5</v>
      </c>
      <c r="P4" s="67">
        <v>29</v>
      </c>
      <c r="Q4" s="67">
        <v>51</v>
      </c>
      <c r="R4" s="67">
        <v>23</v>
      </c>
      <c r="S4" s="67">
        <v>3.5</v>
      </c>
      <c r="T4" s="53">
        <v>0.05</v>
      </c>
      <c r="U4" s="53">
        <v>0.05</v>
      </c>
      <c r="V4" s="50">
        <v>0</v>
      </c>
      <c r="W4" s="51">
        <v>0</v>
      </c>
      <c r="X4" s="52">
        <v>0</v>
      </c>
      <c r="Y4" s="52">
        <v>0</v>
      </c>
      <c r="Z4" s="52">
        <v>0</v>
      </c>
      <c r="AA4" s="52">
        <v>0</v>
      </c>
      <c r="AB4" s="53">
        <v>0</v>
      </c>
      <c r="AC4" s="68">
        <v>2140.9500000000003</v>
      </c>
      <c r="AD4" s="68">
        <v>161</v>
      </c>
      <c r="AE4" s="68">
        <v>134</v>
      </c>
      <c r="AF4" s="68">
        <v>107</v>
      </c>
      <c r="AG4" s="69">
        <v>169</v>
      </c>
      <c r="AH4" s="67">
        <v>134</v>
      </c>
      <c r="AI4" s="67">
        <v>107</v>
      </c>
      <c r="AJ4" s="70">
        <v>2175</v>
      </c>
      <c r="AK4" s="67">
        <v>5</v>
      </c>
      <c r="AL4" s="67">
        <v>30.5</v>
      </c>
      <c r="AM4" s="67">
        <v>54.4</v>
      </c>
      <c r="AN4" s="67">
        <v>24.2</v>
      </c>
      <c r="AO4" s="67">
        <v>3.5</v>
      </c>
      <c r="AP4" s="46"/>
      <c r="AQ4" s="56" t="s">
        <v>79</v>
      </c>
      <c r="AR4" s="57" t="s">
        <v>83</v>
      </c>
      <c r="AS4" s="57">
        <v>350</v>
      </c>
      <c r="AT4" s="58">
        <v>194.1</v>
      </c>
      <c r="AU4" s="59"/>
      <c r="AV4" s="71">
        <v>2712</v>
      </c>
      <c r="AW4" s="68">
        <v>237</v>
      </c>
      <c r="AX4" s="68">
        <v>271</v>
      </c>
      <c r="AY4" s="72">
        <v>75</v>
      </c>
      <c r="AZ4" s="67">
        <v>249</v>
      </c>
      <c r="BA4" s="67">
        <v>271</v>
      </c>
      <c r="BB4" s="67">
        <v>75</v>
      </c>
      <c r="BC4" s="70">
        <v>2755</v>
      </c>
      <c r="BD4" s="67">
        <v>5</v>
      </c>
      <c r="BE4" s="67">
        <v>38.6</v>
      </c>
      <c r="BF4" s="67">
        <v>68.900000000000006</v>
      </c>
      <c r="BG4" s="67">
        <v>30.6</v>
      </c>
      <c r="BH4" s="67">
        <v>3.5</v>
      </c>
      <c r="BI4" s="46"/>
      <c r="BJ4" s="73"/>
      <c r="BK4" s="64"/>
      <c r="BL4" s="64" t="str">
        <v/>
      </c>
      <c r="BM4" s="64" t="str">
        <v/>
      </c>
      <c r="BN4" s="64" t="str">
        <v/>
      </c>
      <c r="BO4" s="64" t="str">
        <v/>
      </c>
      <c r="BP4" s="64" t="str">
        <v/>
      </c>
      <c r="BQ4" s="64" t="str">
        <v/>
      </c>
      <c r="BR4" s="64" t="str">
        <v/>
      </c>
      <c r="BS4" s="64" t="str">
        <v/>
      </c>
      <c r="BT4" s="74" t="str">
        <v/>
      </c>
      <c r="BU4" s="46"/>
      <c r="BV4" s="65" t="str">
        <v/>
      </c>
      <c r="BW4" s="66" t="str">
        <v/>
      </c>
      <c r="BX4" s="46"/>
    </row>
    <row r="5" spans="1:78">
      <c r="A5" s="43" t="s">
        <v>84</v>
      </c>
      <c r="B5" s="44" t="s">
        <v>85</v>
      </c>
      <c r="C5" s="45">
        <v>40</v>
      </c>
      <c r="D5" s="45">
        <v>165</v>
      </c>
      <c r="E5" s="45">
        <v>62</v>
      </c>
      <c r="F5" s="46"/>
      <c r="G5" s="67">
        <v>22.8</v>
      </c>
      <c r="H5" s="67">
        <v>1290</v>
      </c>
      <c r="I5" s="46"/>
      <c r="J5" s="67">
        <v>1548</v>
      </c>
      <c r="K5" s="67">
        <v>116</v>
      </c>
      <c r="L5" s="67">
        <v>97</v>
      </c>
      <c r="M5" s="67">
        <v>77</v>
      </c>
      <c r="N5" s="68">
        <v>1545</v>
      </c>
      <c r="O5" s="67">
        <v>5</v>
      </c>
      <c r="P5" s="67">
        <v>22</v>
      </c>
      <c r="Q5" s="67">
        <v>39</v>
      </c>
      <c r="R5" s="67">
        <v>17</v>
      </c>
      <c r="S5" s="67">
        <v>3.5</v>
      </c>
      <c r="T5" s="49" t="s">
        <v>86</v>
      </c>
      <c r="U5" s="50">
        <v>0</v>
      </c>
      <c r="V5" s="53">
        <v>0.05</v>
      </c>
      <c r="W5" s="53">
        <v>0.05</v>
      </c>
      <c r="X5" s="52">
        <v>0</v>
      </c>
      <c r="Y5" s="52">
        <v>0</v>
      </c>
      <c r="Z5" s="52">
        <v>0</v>
      </c>
      <c r="AA5" s="52">
        <v>0</v>
      </c>
      <c r="AB5" s="53">
        <v>0</v>
      </c>
      <c r="AC5" s="68">
        <v>1393.2</v>
      </c>
      <c r="AD5" s="68">
        <v>104</v>
      </c>
      <c r="AE5" s="68">
        <v>87</v>
      </c>
      <c r="AF5" s="68">
        <v>70</v>
      </c>
      <c r="AG5" s="69">
        <v>104</v>
      </c>
      <c r="AH5" s="67">
        <v>91</v>
      </c>
      <c r="AI5" s="67">
        <v>74</v>
      </c>
      <c r="AJ5" s="70">
        <v>1446</v>
      </c>
      <c r="AK5" s="67">
        <v>5</v>
      </c>
      <c r="AL5" s="67">
        <v>20.2</v>
      </c>
      <c r="AM5" s="67">
        <v>36.200000000000003</v>
      </c>
      <c r="AN5" s="67">
        <v>16.100000000000001</v>
      </c>
      <c r="AO5" s="67">
        <v>3.5</v>
      </c>
      <c r="AP5" s="46"/>
      <c r="AQ5" s="56" t="s">
        <v>79</v>
      </c>
      <c r="AR5" s="57" t="s">
        <v>87</v>
      </c>
      <c r="AS5" s="57">
        <v>289.33</v>
      </c>
      <c r="AT5" s="58">
        <v>169.85</v>
      </c>
      <c r="AU5" s="59"/>
      <c r="AV5" s="71">
        <v>1806</v>
      </c>
      <c r="AW5" s="68">
        <v>158</v>
      </c>
      <c r="AX5" s="68">
        <v>181</v>
      </c>
      <c r="AY5" s="72">
        <v>50</v>
      </c>
      <c r="AZ5" s="67">
        <v>158</v>
      </c>
      <c r="BA5" s="67">
        <v>190</v>
      </c>
      <c r="BB5" s="67">
        <v>53</v>
      </c>
      <c r="BC5" s="70">
        <v>1869</v>
      </c>
      <c r="BD5" s="67">
        <v>5</v>
      </c>
      <c r="BE5" s="67">
        <v>26.2</v>
      </c>
      <c r="BF5" s="67">
        <v>46.7</v>
      </c>
      <c r="BG5" s="67">
        <v>20.8</v>
      </c>
      <c r="BH5" s="67">
        <v>3.5</v>
      </c>
      <c r="BI5" s="46"/>
      <c r="BJ5" s="73"/>
      <c r="BK5" s="64"/>
      <c r="BL5" s="64" t="str">
        <v/>
      </c>
      <c r="BM5" s="64" t="str">
        <v/>
      </c>
      <c r="BN5" s="64" t="str">
        <v/>
      </c>
      <c r="BO5" s="64" t="str">
        <v/>
      </c>
      <c r="BP5" s="64" t="str">
        <v/>
      </c>
      <c r="BQ5" s="64" t="str">
        <v/>
      </c>
      <c r="BR5" s="64" t="str">
        <v/>
      </c>
      <c r="BS5" s="64" t="str">
        <v/>
      </c>
      <c r="BT5" s="74" t="str">
        <v/>
      </c>
      <c r="BU5" s="46"/>
      <c r="BV5" s="65" t="str">
        <v/>
      </c>
      <c r="BW5" s="66" t="str">
        <v/>
      </c>
      <c r="BX5" s="46"/>
    </row>
    <row r="6" spans="1:78">
      <c r="A6" s="43" t="s">
        <v>88</v>
      </c>
      <c r="B6" s="44" t="s">
        <v>78</v>
      </c>
      <c r="C6" s="45">
        <v>35</v>
      </c>
      <c r="D6" s="45">
        <v>180</v>
      </c>
      <c r="E6" s="45">
        <v>85</v>
      </c>
      <c r="F6" s="46"/>
      <c r="G6" s="67">
        <v>26.2</v>
      </c>
      <c r="H6" s="67">
        <v>1805</v>
      </c>
      <c r="I6" s="46"/>
      <c r="J6" s="67">
        <v>2166</v>
      </c>
      <c r="K6" s="67">
        <v>162</v>
      </c>
      <c r="L6" s="67">
        <v>135</v>
      </c>
      <c r="M6" s="67">
        <v>108</v>
      </c>
      <c r="N6" s="68">
        <v>2160</v>
      </c>
      <c r="O6" s="67">
        <v>5</v>
      </c>
      <c r="P6" s="67">
        <v>30</v>
      </c>
      <c r="Q6" s="67">
        <v>54</v>
      </c>
      <c r="R6" s="67">
        <v>24</v>
      </c>
      <c r="S6" s="67">
        <v>3.5</v>
      </c>
      <c r="T6" s="49">
        <v>0</v>
      </c>
      <c r="U6" s="50">
        <v>0</v>
      </c>
      <c r="V6" s="50">
        <v>0</v>
      </c>
      <c r="W6" s="51">
        <v>0</v>
      </c>
      <c r="X6" s="52">
        <v>0</v>
      </c>
      <c r="Y6" s="52">
        <v>0</v>
      </c>
      <c r="Z6" s="52">
        <v>0</v>
      </c>
      <c r="AA6" s="52">
        <v>0</v>
      </c>
      <c r="AB6" s="53">
        <v>0</v>
      </c>
      <c r="AC6" s="68">
        <v>2166</v>
      </c>
      <c r="AD6" s="68">
        <v>162</v>
      </c>
      <c r="AE6" s="68">
        <v>135</v>
      </c>
      <c r="AF6" s="68">
        <v>108</v>
      </c>
      <c r="AG6" s="69">
        <v>162</v>
      </c>
      <c r="AH6" s="67">
        <v>135</v>
      </c>
      <c r="AI6" s="67">
        <v>108</v>
      </c>
      <c r="AJ6" s="70">
        <v>2160</v>
      </c>
      <c r="AK6" s="67">
        <v>5</v>
      </c>
      <c r="AL6" s="67">
        <v>30.2</v>
      </c>
      <c r="AM6" s="67">
        <v>54</v>
      </c>
      <c r="AN6" s="67">
        <v>24</v>
      </c>
      <c r="AO6" s="67">
        <v>3.5</v>
      </c>
      <c r="AP6" s="46"/>
      <c r="AQ6" s="56" t="s">
        <v>79</v>
      </c>
      <c r="AR6" s="57" t="s">
        <v>89</v>
      </c>
      <c r="AS6" s="57">
        <v>396.67</v>
      </c>
      <c r="AT6" s="58">
        <v>0</v>
      </c>
      <c r="AU6" s="59"/>
      <c r="AV6" s="71">
        <v>2563</v>
      </c>
      <c r="AW6" s="68">
        <v>192</v>
      </c>
      <c r="AX6" s="68">
        <v>128</v>
      </c>
      <c r="AY6" s="72">
        <v>142</v>
      </c>
      <c r="AZ6" s="67">
        <v>192</v>
      </c>
      <c r="BA6" s="67">
        <v>128</v>
      </c>
      <c r="BB6" s="67">
        <v>142</v>
      </c>
      <c r="BC6" s="70">
        <v>2558</v>
      </c>
      <c r="BD6" s="67">
        <v>5</v>
      </c>
      <c r="BE6" s="67">
        <v>35.799999999999997</v>
      </c>
      <c r="BF6" s="67">
        <v>64</v>
      </c>
      <c r="BG6" s="67">
        <v>28.4</v>
      </c>
      <c r="BH6" s="67">
        <v>3.5</v>
      </c>
      <c r="BI6" s="46"/>
      <c r="BJ6" s="73"/>
      <c r="BK6" s="64"/>
      <c r="BL6" s="64" t="str">
        <v/>
      </c>
      <c r="BM6" s="64" t="str">
        <v/>
      </c>
      <c r="BN6" s="64" t="str">
        <v/>
      </c>
      <c r="BO6" s="64" t="str">
        <v/>
      </c>
      <c r="BP6" s="64" t="str">
        <v/>
      </c>
      <c r="BQ6" s="64" t="str">
        <v/>
      </c>
      <c r="BR6" s="64" t="str">
        <v/>
      </c>
      <c r="BS6" s="64" t="str">
        <v/>
      </c>
      <c r="BT6" s="74" t="str">
        <v/>
      </c>
      <c r="BU6" s="46"/>
      <c r="BV6" s="65" t="str">
        <v/>
      </c>
      <c r="BW6" s="66" t="str">
        <v/>
      </c>
      <c r="BX6" s="46"/>
    </row>
    <row r="7" spans="1:78">
      <c r="A7" s="43" t="s">
        <v>90</v>
      </c>
      <c r="B7" s="44" t="s">
        <v>78</v>
      </c>
      <c r="C7" s="45">
        <v>28</v>
      </c>
      <c r="D7" s="45">
        <v>172</v>
      </c>
      <c r="E7" s="45">
        <v>70</v>
      </c>
      <c r="F7" s="46"/>
      <c r="G7" s="67">
        <v>23.7</v>
      </c>
      <c r="H7" s="67">
        <v>1640</v>
      </c>
      <c r="I7" s="46"/>
      <c r="J7" s="67">
        <v>1968</v>
      </c>
      <c r="K7" s="67">
        <v>148</v>
      </c>
      <c r="L7" s="67">
        <v>123</v>
      </c>
      <c r="M7" s="67">
        <v>98</v>
      </c>
      <c r="N7" s="68">
        <v>1966</v>
      </c>
      <c r="O7" s="67">
        <v>5</v>
      </c>
      <c r="P7" s="67">
        <v>28</v>
      </c>
      <c r="Q7" s="67">
        <v>49</v>
      </c>
      <c r="R7" s="67">
        <v>22</v>
      </c>
      <c r="S7" s="67">
        <v>3.5</v>
      </c>
      <c r="T7" s="49">
        <v>0</v>
      </c>
      <c r="U7" s="50">
        <v>0</v>
      </c>
      <c r="V7" s="50">
        <v>0</v>
      </c>
      <c r="W7" s="51">
        <v>0</v>
      </c>
      <c r="X7" s="52">
        <v>0</v>
      </c>
      <c r="Y7" s="52">
        <v>0</v>
      </c>
      <c r="Z7" s="52">
        <v>0</v>
      </c>
      <c r="AA7" s="52">
        <v>0</v>
      </c>
      <c r="AB7" s="53">
        <v>0</v>
      </c>
      <c r="AC7" s="68">
        <v>1968</v>
      </c>
      <c r="AD7" s="68">
        <v>148</v>
      </c>
      <c r="AE7" s="68">
        <v>123</v>
      </c>
      <c r="AF7" s="68">
        <v>98</v>
      </c>
      <c r="AG7" s="69">
        <v>148</v>
      </c>
      <c r="AH7" s="67">
        <v>123</v>
      </c>
      <c r="AI7" s="67">
        <v>98</v>
      </c>
      <c r="AJ7" s="70">
        <v>1966</v>
      </c>
      <c r="AK7" s="67">
        <v>5</v>
      </c>
      <c r="AL7" s="67">
        <v>27.5</v>
      </c>
      <c r="AM7" s="67">
        <v>49.2</v>
      </c>
      <c r="AN7" s="67">
        <v>21.8</v>
      </c>
      <c r="AO7" s="67">
        <v>3.5</v>
      </c>
      <c r="AP7" s="46"/>
      <c r="AQ7" s="56" t="s">
        <v>79</v>
      </c>
      <c r="AR7" s="57" t="s">
        <v>568</v>
      </c>
      <c r="AS7" s="57">
        <v>326.67</v>
      </c>
      <c r="AT7" s="58">
        <v>35.47</v>
      </c>
      <c r="AU7" s="59"/>
      <c r="AV7" s="71">
        <v>2330</v>
      </c>
      <c r="AW7" s="68">
        <v>175</v>
      </c>
      <c r="AX7" s="68">
        <v>146</v>
      </c>
      <c r="AY7" s="72">
        <v>117</v>
      </c>
      <c r="AZ7" s="67">
        <v>175</v>
      </c>
      <c r="BA7" s="67">
        <v>146</v>
      </c>
      <c r="BB7" s="67">
        <v>117</v>
      </c>
      <c r="BC7" s="70">
        <v>2337</v>
      </c>
      <c r="BD7" s="67">
        <v>5</v>
      </c>
      <c r="BE7" s="67">
        <v>32.700000000000003</v>
      </c>
      <c r="BF7" s="67">
        <v>58.4</v>
      </c>
      <c r="BG7" s="67">
        <v>26</v>
      </c>
      <c r="BH7" s="67">
        <v>3.5</v>
      </c>
      <c r="BI7" s="46"/>
      <c r="BJ7" s="73"/>
      <c r="BK7" s="64"/>
      <c r="BL7" s="64" t="str">
        <v/>
      </c>
      <c r="BM7" s="64" t="str">
        <v/>
      </c>
      <c r="BN7" s="64" t="str">
        <v/>
      </c>
      <c r="BO7" s="64" t="str">
        <v/>
      </c>
      <c r="BP7" s="64" t="str">
        <v/>
      </c>
      <c r="BQ7" s="64" t="str">
        <v/>
      </c>
      <c r="BR7" s="64" t="str">
        <v/>
      </c>
      <c r="BS7" s="64" t="str">
        <v/>
      </c>
      <c r="BT7" s="74" t="str">
        <v/>
      </c>
      <c r="BU7" s="46"/>
      <c r="BV7" s="65" t="str">
        <v/>
      </c>
      <c r="BW7" s="66" t="str">
        <v/>
      </c>
      <c r="BX7" s="46"/>
    </row>
    <row r="8" spans="1:78">
      <c r="A8" s="75" t="s">
        <v>91</v>
      </c>
      <c r="B8" s="44" t="s">
        <v>78</v>
      </c>
      <c r="C8" s="76">
        <v>43</v>
      </c>
      <c r="D8" s="76">
        <v>173</v>
      </c>
      <c r="E8" s="76">
        <v>80</v>
      </c>
      <c r="F8" s="46"/>
      <c r="G8" s="67">
        <v>26.7</v>
      </c>
      <c r="H8" s="67">
        <v>1671</v>
      </c>
      <c r="I8" s="46"/>
      <c r="J8" s="67">
        <v>2005</v>
      </c>
      <c r="K8" s="67">
        <v>150</v>
      </c>
      <c r="L8" s="67">
        <v>125</v>
      </c>
      <c r="M8" s="67">
        <v>100</v>
      </c>
      <c r="N8" s="68">
        <v>2000</v>
      </c>
      <c r="O8" s="67">
        <v>5</v>
      </c>
      <c r="P8" s="67">
        <v>28</v>
      </c>
      <c r="Q8" s="67">
        <v>50</v>
      </c>
      <c r="R8" s="67">
        <v>22</v>
      </c>
      <c r="S8" s="67">
        <v>3.5</v>
      </c>
      <c r="T8" s="77">
        <v>-0.05</v>
      </c>
      <c r="U8" s="52">
        <v>0.05</v>
      </c>
      <c r="V8" s="52">
        <v>0</v>
      </c>
      <c r="W8" s="53">
        <v>-0.05</v>
      </c>
      <c r="X8" s="52">
        <v>0</v>
      </c>
      <c r="Y8" s="52">
        <v>0</v>
      </c>
      <c r="Z8" s="52">
        <v>0</v>
      </c>
      <c r="AA8" s="52">
        <v>0</v>
      </c>
      <c r="AB8" s="53">
        <v>0</v>
      </c>
      <c r="AC8" s="68">
        <v>1904.75</v>
      </c>
      <c r="AD8" s="68">
        <v>143</v>
      </c>
      <c r="AE8" s="68">
        <v>119</v>
      </c>
      <c r="AF8" s="68">
        <v>95</v>
      </c>
      <c r="AG8" s="69">
        <v>150</v>
      </c>
      <c r="AH8" s="67">
        <v>119</v>
      </c>
      <c r="AI8" s="67">
        <v>90</v>
      </c>
      <c r="AJ8" s="70">
        <v>1886</v>
      </c>
      <c r="AK8" s="67">
        <v>5</v>
      </c>
      <c r="AL8" s="67">
        <v>26.4</v>
      </c>
      <c r="AM8" s="67">
        <v>47.2</v>
      </c>
      <c r="AN8" s="67">
        <v>21</v>
      </c>
      <c r="AO8" s="67">
        <v>3.5</v>
      </c>
      <c r="AP8" s="46"/>
      <c r="AQ8" s="56" t="s">
        <v>79</v>
      </c>
      <c r="AR8" s="57" t="s">
        <v>568</v>
      </c>
      <c r="AS8" s="57">
        <v>373.33</v>
      </c>
      <c r="AT8" s="58">
        <v>40.53</v>
      </c>
      <c r="AU8" s="59"/>
      <c r="AV8" s="71">
        <v>2298</v>
      </c>
      <c r="AW8" s="68">
        <v>172</v>
      </c>
      <c r="AX8" s="68">
        <v>144</v>
      </c>
      <c r="AY8" s="72">
        <v>115</v>
      </c>
      <c r="AZ8" s="67">
        <v>181</v>
      </c>
      <c r="BA8" s="67">
        <v>144</v>
      </c>
      <c r="BB8" s="67">
        <v>109</v>
      </c>
      <c r="BC8" s="70">
        <v>2281</v>
      </c>
      <c r="BD8" s="67">
        <v>5</v>
      </c>
      <c r="BE8" s="67">
        <v>31.9</v>
      </c>
      <c r="BF8" s="67">
        <v>57</v>
      </c>
      <c r="BG8" s="67">
        <v>25.3</v>
      </c>
      <c r="BH8" s="67">
        <v>3.5</v>
      </c>
      <c r="BI8" s="46"/>
      <c r="BJ8" s="62" t="s">
        <v>92</v>
      </c>
      <c r="BK8" s="63" t="s">
        <v>570</v>
      </c>
      <c r="BL8" s="64" t="str">
        <v/>
      </c>
      <c r="BM8" s="64" t="str">
        <v/>
      </c>
      <c r="BN8" s="64" t="str">
        <v/>
      </c>
      <c r="BO8" s="64" t="str">
        <v/>
      </c>
      <c r="BP8" s="64" t="str">
        <v/>
      </c>
      <c r="BQ8" s="64" t="str">
        <v/>
      </c>
      <c r="BR8" s="64" t="str">
        <v/>
      </c>
      <c r="BS8" s="64" t="str">
        <v/>
      </c>
      <c r="BT8" s="74" t="str">
        <v/>
      </c>
      <c r="BU8" s="46"/>
      <c r="BV8" s="65" t="str">
        <v/>
      </c>
      <c r="BW8" s="66" t="str">
        <v/>
      </c>
      <c r="BX8" s="46"/>
    </row>
    <row r="9" spans="1:78">
      <c r="A9" s="75" t="s">
        <v>93</v>
      </c>
      <c r="B9" s="44" t="s">
        <v>78</v>
      </c>
      <c r="C9" s="76">
        <v>43</v>
      </c>
      <c r="D9" s="76">
        <v>173</v>
      </c>
      <c r="E9" s="76">
        <v>80</v>
      </c>
      <c r="F9" s="46"/>
      <c r="G9" s="67">
        <v>26.7</v>
      </c>
      <c r="H9" s="67">
        <v>1671</v>
      </c>
      <c r="I9" s="46"/>
      <c r="J9" s="67">
        <v>2005</v>
      </c>
      <c r="K9" s="67">
        <v>150</v>
      </c>
      <c r="L9" s="67">
        <v>125</v>
      </c>
      <c r="M9" s="67">
        <v>100</v>
      </c>
      <c r="N9" s="68">
        <v>2000</v>
      </c>
      <c r="O9" s="67">
        <v>5</v>
      </c>
      <c r="P9" s="67">
        <v>28</v>
      </c>
      <c r="Q9" s="67">
        <v>50</v>
      </c>
      <c r="R9" s="67">
        <v>22</v>
      </c>
      <c r="S9" s="67">
        <v>3.5</v>
      </c>
      <c r="T9" s="77">
        <v>-0.05</v>
      </c>
      <c r="U9" s="52">
        <v>0.05</v>
      </c>
      <c r="V9" s="52">
        <v>0</v>
      </c>
      <c r="W9" s="53">
        <v>-0.05</v>
      </c>
      <c r="X9" s="52">
        <v>0</v>
      </c>
      <c r="Y9" s="52">
        <v>0</v>
      </c>
      <c r="Z9" s="52">
        <v>0</v>
      </c>
      <c r="AA9" s="52">
        <v>0</v>
      </c>
      <c r="AB9" s="53">
        <v>0</v>
      </c>
      <c r="AC9" s="68">
        <v>1904.75</v>
      </c>
      <c r="AD9" s="68">
        <v>143</v>
      </c>
      <c r="AE9" s="68">
        <v>119</v>
      </c>
      <c r="AF9" s="68">
        <v>95</v>
      </c>
      <c r="AG9" s="69">
        <v>150</v>
      </c>
      <c r="AH9" s="67">
        <v>119</v>
      </c>
      <c r="AI9" s="67">
        <v>90</v>
      </c>
      <c r="AJ9" s="70">
        <v>1886</v>
      </c>
      <c r="AK9" s="67">
        <v>5</v>
      </c>
      <c r="AL9" s="67">
        <v>26.4</v>
      </c>
      <c r="AM9" s="67">
        <v>47.2</v>
      </c>
      <c r="AN9" s="67">
        <v>21</v>
      </c>
      <c r="AO9" s="67">
        <v>3.5</v>
      </c>
      <c r="AP9" s="46"/>
      <c r="AQ9" s="56" t="s">
        <v>79</v>
      </c>
      <c r="AR9" s="57" t="s">
        <v>80</v>
      </c>
      <c r="AS9" s="57">
        <v>373.33</v>
      </c>
      <c r="AT9" s="58">
        <v>220.47</v>
      </c>
      <c r="AU9" s="59"/>
      <c r="AV9" s="71">
        <v>2469</v>
      </c>
      <c r="AW9" s="68">
        <v>216</v>
      </c>
      <c r="AX9" s="68">
        <v>247</v>
      </c>
      <c r="AY9" s="72">
        <v>69</v>
      </c>
      <c r="AZ9" s="67">
        <v>227</v>
      </c>
      <c r="BA9" s="67">
        <v>247</v>
      </c>
      <c r="BB9" s="67">
        <v>66</v>
      </c>
      <c r="BC9" s="70">
        <v>2490</v>
      </c>
      <c r="BD9" s="67">
        <v>5</v>
      </c>
      <c r="BE9" s="67">
        <v>34.9</v>
      </c>
      <c r="BF9" s="67">
        <v>62.3</v>
      </c>
      <c r="BG9" s="67">
        <v>27.7</v>
      </c>
      <c r="BH9" s="67">
        <v>3.5</v>
      </c>
      <c r="BI9" s="46"/>
      <c r="BJ9" s="62" t="s">
        <v>92</v>
      </c>
      <c r="BK9" s="63" t="s">
        <v>569</v>
      </c>
      <c r="BL9" s="64">
        <v>1466</v>
      </c>
      <c r="BM9" s="64">
        <v>140</v>
      </c>
      <c r="BN9" s="64">
        <v>128</v>
      </c>
      <c r="BO9" s="64">
        <v>48</v>
      </c>
      <c r="BP9" s="64">
        <v>14</v>
      </c>
      <c r="BQ9" s="64">
        <v>22</v>
      </c>
      <c r="BR9" s="64">
        <v>36</v>
      </c>
      <c r="BS9" s="64">
        <v>1.54</v>
      </c>
      <c r="BT9" s="74">
        <v>1.83</v>
      </c>
      <c r="BU9" s="46"/>
      <c r="BV9" s="65">
        <v>-1024</v>
      </c>
      <c r="BW9" s="66" t="str">
        <v>Déficit</v>
      </c>
      <c r="BX9" s="46"/>
    </row>
    <row r="10" spans="1:78">
      <c r="A10" s="75" t="s">
        <v>94</v>
      </c>
      <c r="B10" s="44" t="s">
        <v>78</v>
      </c>
      <c r="C10" s="76">
        <v>43</v>
      </c>
      <c r="D10" s="76">
        <v>173</v>
      </c>
      <c r="E10" s="76">
        <v>80</v>
      </c>
      <c r="F10" s="46"/>
      <c r="G10" s="67">
        <v>26.7</v>
      </c>
      <c r="H10" s="67">
        <v>1671</v>
      </c>
      <c r="I10" s="46"/>
      <c r="J10" s="67">
        <v>2005</v>
      </c>
      <c r="K10" s="67">
        <v>150</v>
      </c>
      <c r="L10" s="67">
        <v>125</v>
      </c>
      <c r="M10" s="67">
        <v>100</v>
      </c>
      <c r="N10" s="68">
        <v>2000</v>
      </c>
      <c r="O10" s="67">
        <v>5</v>
      </c>
      <c r="P10" s="67">
        <v>28</v>
      </c>
      <c r="Q10" s="67">
        <v>50</v>
      </c>
      <c r="R10" s="67">
        <v>22</v>
      </c>
      <c r="S10" s="67">
        <v>3.5</v>
      </c>
      <c r="T10" s="77">
        <v>-0.05</v>
      </c>
      <c r="U10" s="52">
        <v>0.05</v>
      </c>
      <c r="V10" s="52">
        <v>0</v>
      </c>
      <c r="W10" s="53">
        <v>-0.05</v>
      </c>
      <c r="X10" s="52">
        <v>0</v>
      </c>
      <c r="Y10" s="52">
        <v>0</v>
      </c>
      <c r="Z10" s="52">
        <v>0</v>
      </c>
      <c r="AA10" s="52">
        <v>0</v>
      </c>
      <c r="AB10" s="53">
        <v>0</v>
      </c>
      <c r="AC10" s="68">
        <v>1904.75</v>
      </c>
      <c r="AD10" s="68">
        <v>143</v>
      </c>
      <c r="AE10" s="68">
        <v>119</v>
      </c>
      <c r="AF10" s="68">
        <v>95</v>
      </c>
      <c r="AG10" s="69">
        <v>150</v>
      </c>
      <c r="AH10" s="67">
        <v>119</v>
      </c>
      <c r="AI10" s="67">
        <v>90</v>
      </c>
      <c r="AJ10" s="70">
        <v>1886</v>
      </c>
      <c r="AK10" s="67">
        <v>5</v>
      </c>
      <c r="AL10" s="67">
        <v>26.4</v>
      </c>
      <c r="AM10" s="67">
        <v>47.2</v>
      </c>
      <c r="AN10" s="67">
        <v>21</v>
      </c>
      <c r="AO10" s="67">
        <v>3.5</v>
      </c>
      <c r="AP10" s="46"/>
      <c r="AQ10" s="56" t="s">
        <v>79</v>
      </c>
      <c r="AR10" s="57" t="s">
        <v>83</v>
      </c>
      <c r="AS10" s="57">
        <v>373.33</v>
      </c>
      <c r="AT10" s="78">
        <v>207.04</v>
      </c>
      <c r="AU10" s="79"/>
      <c r="AV10" s="71">
        <v>2456</v>
      </c>
      <c r="AW10" s="68">
        <v>215</v>
      </c>
      <c r="AX10" s="68">
        <v>246</v>
      </c>
      <c r="AY10" s="72">
        <v>68</v>
      </c>
      <c r="AZ10" s="67">
        <v>226</v>
      </c>
      <c r="BA10" s="67">
        <v>246</v>
      </c>
      <c r="BB10" s="67">
        <v>65</v>
      </c>
      <c r="BC10" s="70">
        <v>2473</v>
      </c>
      <c r="BD10" s="67">
        <v>5</v>
      </c>
      <c r="BE10" s="67">
        <v>34.6</v>
      </c>
      <c r="BF10" s="67">
        <v>61.8</v>
      </c>
      <c r="BG10" s="67">
        <v>27.5</v>
      </c>
      <c r="BH10" s="67">
        <v>3.5</v>
      </c>
      <c r="BI10" s="46"/>
      <c r="BJ10" s="62" t="s">
        <v>92</v>
      </c>
      <c r="BK10" s="63" t="s">
        <v>571</v>
      </c>
      <c r="BL10" s="64" t="str">
        <v/>
      </c>
      <c r="BM10" s="64" t="str">
        <v/>
      </c>
      <c r="BN10" s="64" t="str">
        <v/>
      </c>
      <c r="BO10" s="64" t="str">
        <v/>
      </c>
      <c r="BP10" s="64" t="str">
        <v/>
      </c>
      <c r="BQ10" s="64" t="str">
        <v/>
      </c>
      <c r="BR10" s="64" t="str">
        <v/>
      </c>
      <c r="BS10" s="64" t="str">
        <v/>
      </c>
      <c r="BT10" s="74" t="str">
        <v/>
      </c>
      <c r="BU10" s="46"/>
      <c r="BV10" s="65" t="str">
        <v/>
      </c>
      <c r="BW10" s="66" t="str">
        <v/>
      </c>
      <c r="BX10" s="46"/>
    </row>
    <row r="11" spans="1:78">
      <c r="A11" s="75" t="s">
        <v>95</v>
      </c>
      <c r="B11" s="44" t="s">
        <v>78</v>
      </c>
      <c r="C11" s="76">
        <v>43</v>
      </c>
      <c r="D11" s="76">
        <v>173</v>
      </c>
      <c r="E11" s="76">
        <v>80</v>
      </c>
      <c r="F11" s="46"/>
      <c r="G11" s="67">
        <v>26.7</v>
      </c>
      <c r="H11" s="67">
        <v>1671</v>
      </c>
      <c r="I11" s="46"/>
      <c r="J11" s="67">
        <v>2005</v>
      </c>
      <c r="K11" s="67">
        <v>150</v>
      </c>
      <c r="L11" s="67">
        <v>125</v>
      </c>
      <c r="M11" s="67">
        <v>100</v>
      </c>
      <c r="N11" s="68">
        <v>2000</v>
      </c>
      <c r="O11" s="67">
        <v>5</v>
      </c>
      <c r="P11" s="67">
        <v>28</v>
      </c>
      <c r="Q11" s="67">
        <v>50</v>
      </c>
      <c r="R11" s="67">
        <v>22</v>
      </c>
      <c r="S11" s="67">
        <v>3.5</v>
      </c>
      <c r="T11" s="77">
        <v>-0.05</v>
      </c>
      <c r="U11" s="52">
        <v>0.05</v>
      </c>
      <c r="V11" s="52">
        <v>0</v>
      </c>
      <c r="W11" s="53">
        <v>-0.05</v>
      </c>
      <c r="X11" s="52">
        <v>0</v>
      </c>
      <c r="Y11" s="52">
        <v>0</v>
      </c>
      <c r="Z11" s="52">
        <v>0</v>
      </c>
      <c r="AA11" s="52">
        <v>0</v>
      </c>
      <c r="AB11" s="53">
        <v>0</v>
      </c>
      <c r="AC11" s="68">
        <v>1904.75</v>
      </c>
      <c r="AD11" s="68">
        <v>143</v>
      </c>
      <c r="AE11" s="68">
        <v>119</v>
      </c>
      <c r="AF11" s="68">
        <v>95</v>
      </c>
      <c r="AG11" s="69">
        <v>150</v>
      </c>
      <c r="AH11" s="67">
        <v>119</v>
      </c>
      <c r="AI11" s="67">
        <v>90</v>
      </c>
      <c r="AJ11" s="70">
        <v>1886</v>
      </c>
      <c r="AK11" s="67">
        <v>5</v>
      </c>
      <c r="AL11" s="67">
        <v>26.4</v>
      </c>
      <c r="AM11" s="67">
        <v>47.2</v>
      </c>
      <c r="AN11" s="67">
        <v>21</v>
      </c>
      <c r="AO11" s="67">
        <v>3.5</v>
      </c>
      <c r="AP11" s="46"/>
      <c r="AQ11" s="56" t="s">
        <v>79</v>
      </c>
      <c r="AR11" s="57" t="s">
        <v>87</v>
      </c>
      <c r="AS11" s="57">
        <v>373.33</v>
      </c>
      <c r="AT11" s="78">
        <v>219.16</v>
      </c>
      <c r="AU11" s="79"/>
      <c r="AV11" s="71">
        <v>2468</v>
      </c>
      <c r="AW11" s="68">
        <v>216</v>
      </c>
      <c r="AX11" s="68">
        <v>247</v>
      </c>
      <c r="AY11" s="72">
        <v>69</v>
      </c>
      <c r="AZ11" s="67">
        <v>227</v>
      </c>
      <c r="BA11" s="67">
        <v>247</v>
      </c>
      <c r="BB11" s="67">
        <v>66</v>
      </c>
      <c r="BC11" s="70">
        <v>2490</v>
      </c>
      <c r="BD11" s="67">
        <v>5</v>
      </c>
      <c r="BE11" s="67">
        <v>34.9</v>
      </c>
      <c r="BF11" s="67">
        <v>62.3</v>
      </c>
      <c r="BG11" s="67">
        <v>27.7</v>
      </c>
      <c r="BH11" s="67">
        <v>3.5</v>
      </c>
      <c r="BI11" s="46"/>
      <c r="BJ11" s="62" t="s">
        <v>92</v>
      </c>
      <c r="BK11" s="63" t="s">
        <v>573</v>
      </c>
      <c r="BL11" s="64">
        <v>404</v>
      </c>
      <c r="BM11" s="64">
        <v>29</v>
      </c>
      <c r="BN11" s="64">
        <v>26</v>
      </c>
      <c r="BO11" s="64">
        <v>22</v>
      </c>
      <c r="BP11" s="64">
        <v>6</v>
      </c>
      <c r="BQ11" s="64">
        <v>4</v>
      </c>
      <c r="BR11" s="64">
        <v>8</v>
      </c>
      <c r="BS11" s="64">
        <v>0.51</v>
      </c>
      <c r="BT11" s="74">
        <v>0.8</v>
      </c>
      <c r="BU11" s="46"/>
      <c r="BV11" s="65">
        <v>-2086</v>
      </c>
      <c r="BW11" s="66" t="str">
        <v>Déficit</v>
      </c>
      <c r="BX11" s="46"/>
    </row>
    <row r="12" spans="1:78">
      <c r="A12" s="75" t="s">
        <v>96</v>
      </c>
      <c r="B12" s="44" t="s">
        <v>78</v>
      </c>
      <c r="C12" s="76">
        <v>43</v>
      </c>
      <c r="D12" s="76">
        <v>173</v>
      </c>
      <c r="E12" s="76">
        <v>80</v>
      </c>
      <c r="F12" s="46"/>
      <c r="G12" s="67">
        <v>26.7</v>
      </c>
      <c r="H12" s="67">
        <v>1671</v>
      </c>
      <c r="I12" s="46"/>
      <c r="J12" s="67">
        <v>2005</v>
      </c>
      <c r="K12" s="67">
        <v>150</v>
      </c>
      <c r="L12" s="67">
        <v>125</v>
      </c>
      <c r="M12" s="67">
        <v>100</v>
      </c>
      <c r="N12" s="68">
        <v>2000</v>
      </c>
      <c r="O12" s="67">
        <v>5</v>
      </c>
      <c r="P12" s="67">
        <v>28</v>
      </c>
      <c r="Q12" s="67">
        <v>50</v>
      </c>
      <c r="R12" s="67">
        <v>22</v>
      </c>
      <c r="S12" s="67">
        <v>3.5</v>
      </c>
      <c r="T12" s="77">
        <v>-0.05</v>
      </c>
      <c r="U12" s="52">
        <v>0.05</v>
      </c>
      <c r="V12" s="52">
        <v>0</v>
      </c>
      <c r="W12" s="53">
        <v>-0.05</v>
      </c>
      <c r="X12" s="52">
        <v>0</v>
      </c>
      <c r="Y12" s="52">
        <v>0</v>
      </c>
      <c r="Z12" s="52">
        <v>0</v>
      </c>
      <c r="AA12" s="52">
        <v>0</v>
      </c>
      <c r="AB12" s="53">
        <v>0</v>
      </c>
      <c r="AC12" s="68">
        <v>1904.75</v>
      </c>
      <c r="AD12" s="68">
        <v>143</v>
      </c>
      <c r="AE12" s="68">
        <v>119</v>
      </c>
      <c r="AF12" s="68">
        <v>95</v>
      </c>
      <c r="AG12" s="69">
        <v>150</v>
      </c>
      <c r="AH12" s="67">
        <v>119</v>
      </c>
      <c r="AI12" s="67">
        <v>90</v>
      </c>
      <c r="AJ12" s="70">
        <v>1886</v>
      </c>
      <c r="AK12" s="67">
        <v>5</v>
      </c>
      <c r="AL12" s="67">
        <v>26.4</v>
      </c>
      <c r="AM12" s="67">
        <v>47.2</v>
      </c>
      <c r="AN12" s="67">
        <v>21</v>
      </c>
      <c r="AO12" s="67">
        <v>3.5</v>
      </c>
      <c r="AP12" s="46"/>
      <c r="AQ12" s="56" t="s">
        <v>79</v>
      </c>
      <c r="AR12" s="57" t="s">
        <v>89</v>
      </c>
      <c r="AS12" s="80">
        <v>373.33</v>
      </c>
      <c r="AT12" s="78">
        <v>0</v>
      </c>
      <c r="AU12" s="79"/>
      <c r="AV12" s="71">
        <v>2259</v>
      </c>
      <c r="AW12" s="68">
        <v>169</v>
      </c>
      <c r="AX12" s="68">
        <v>113</v>
      </c>
      <c r="AY12" s="72">
        <v>126</v>
      </c>
      <c r="AZ12" s="67">
        <v>177</v>
      </c>
      <c r="BA12" s="67">
        <v>113</v>
      </c>
      <c r="BB12" s="67">
        <v>120</v>
      </c>
      <c r="BC12" s="70">
        <v>2240</v>
      </c>
      <c r="BD12" s="67">
        <v>5</v>
      </c>
      <c r="BE12" s="67">
        <v>31.4</v>
      </c>
      <c r="BF12" s="67">
        <v>56</v>
      </c>
      <c r="BG12" s="67">
        <v>24.9</v>
      </c>
      <c r="BH12" s="67">
        <v>3.5</v>
      </c>
      <c r="BI12" s="46"/>
      <c r="BJ12" s="62" t="s">
        <v>92</v>
      </c>
      <c r="BK12" s="63" t="s">
        <v>575</v>
      </c>
      <c r="BL12" s="64" t="str">
        <v/>
      </c>
      <c r="BM12" s="64" t="str">
        <v/>
      </c>
      <c r="BN12" s="64" t="str">
        <v/>
      </c>
      <c r="BO12" s="64" t="str">
        <v/>
      </c>
      <c r="BP12" s="64" t="str">
        <v/>
      </c>
      <c r="BQ12" s="64" t="str">
        <v/>
      </c>
      <c r="BR12" s="64" t="str">
        <v/>
      </c>
      <c r="BS12" s="64" t="str">
        <v/>
      </c>
      <c r="BT12" s="74" t="str">
        <v/>
      </c>
      <c r="BU12" s="46"/>
      <c r="BV12" s="65" t="str">
        <v/>
      </c>
      <c r="BW12" s="66" t="str">
        <v/>
      </c>
      <c r="BX12" s="46"/>
    </row>
    <row r="13" spans="1:78">
      <c r="A13" s="43"/>
      <c r="B13" s="81"/>
      <c r="C13" s="45"/>
      <c r="D13" s="45"/>
      <c r="E13" s="45"/>
      <c r="F13" s="46"/>
      <c r="G13" s="67" t="str">
        <v/>
      </c>
      <c r="H13" s="67" t="str">
        <v/>
      </c>
      <c r="I13" s="46"/>
      <c r="J13" s="67" t="str">
        <v/>
      </c>
      <c r="K13" s="67" t="str">
        <v/>
      </c>
      <c r="L13" s="67" t="str">
        <v/>
      </c>
      <c r="M13" s="67" t="str">
        <v/>
      </c>
      <c r="N13" s="68" t="str">
        <v/>
      </c>
      <c r="O13" s="67" t="str">
        <v/>
      </c>
      <c r="P13" s="67" t="str">
        <v/>
      </c>
      <c r="Q13" s="67" t="str">
        <v/>
      </c>
      <c r="R13" s="67" t="str">
        <v/>
      </c>
      <c r="S13" s="67" t="str">
        <v/>
      </c>
      <c r="T13" s="49"/>
      <c r="U13" s="50"/>
      <c r="V13" s="50"/>
      <c r="W13" s="51"/>
      <c r="X13" s="50"/>
      <c r="Y13" s="50"/>
      <c r="Z13" s="50"/>
      <c r="AA13" s="50"/>
      <c r="AB13" s="51"/>
      <c r="AC13" s="68" t="str">
        <v/>
      </c>
      <c r="AD13" s="68" t="str">
        <v/>
      </c>
      <c r="AE13" s="68" t="str">
        <v/>
      </c>
      <c r="AF13" s="68" t="str">
        <v/>
      </c>
      <c r="AG13" s="69" t="str">
        <v/>
      </c>
      <c r="AH13" s="67" t="str">
        <v/>
      </c>
      <c r="AI13" s="67" t="str">
        <v/>
      </c>
      <c r="AJ13" s="70" t="str">
        <v/>
      </c>
      <c r="AK13" s="67" t="str">
        <v/>
      </c>
      <c r="AL13" s="67" t="str">
        <v/>
      </c>
      <c r="AM13" s="67" t="str">
        <v/>
      </c>
      <c r="AN13" s="67" t="str">
        <v/>
      </c>
      <c r="AO13" s="67" t="str">
        <v/>
      </c>
      <c r="AP13" s="46"/>
      <c r="AQ13" s="82"/>
      <c r="AR13" s="80"/>
      <c r="AS13" s="80" t="str">
        <v/>
      </c>
      <c r="AT13" s="78" t="str">
        <v/>
      </c>
      <c r="AU13" s="79"/>
      <c r="AV13" s="71" t="str">
        <v/>
      </c>
      <c r="AW13" s="68" t="str">
        <v/>
      </c>
      <c r="AX13" s="68" t="str">
        <v/>
      </c>
      <c r="AY13" s="72" t="str">
        <v/>
      </c>
      <c r="AZ13" s="67" t="str">
        <v/>
      </c>
      <c r="BA13" s="67" t="str">
        <v/>
      </c>
      <c r="BB13" s="67" t="str">
        <v/>
      </c>
      <c r="BC13" s="70" t="str">
        <v/>
      </c>
      <c r="BD13" s="67" t="str">
        <v/>
      </c>
      <c r="BE13" s="67" t="str">
        <v/>
      </c>
      <c r="BF13" s="67" t="str">
        <v/>
      </c>
      <c r="BG13" s="67" t="str">
        <v/>
      </c>
      <c r="BH13" s="67" t="str">
        <v/>
      </c>
      <c r="BI13" s="46"/>
      <c r="BJ13" s="73"/>
      <c r="BK13" s="64"/>
      <c r="BL13" s="64" t="str">
        <v/>
      </c>
      <c r="BM13" s="64" t="str">
        <v/>
      </c>
      <c r="BN13" s="64" t="str">
        <v/>
      </c>
      <c r="BO13" s="64" t="str">
        <v/>
      </c>
      <c r="BP13" s="64" t="str">
        <v/>
      </c>
      <c r="BQ13" s="64" t="str">
        <v/>
      </c>
      <c r="BR13" s="64" t="str">
        <v/>
      </c>
      <c r="BS13" s="64" t="str">
        <v/>
      </c>
      <c r="BT13" s="74" t="str">
        <v/>
      </c>
      <c r="BU13" s="46"/>
      <c r="BV13" s="65" t="str">
        <v/>
      </c>
      <c r="BW13" s="66" t="str">
        <v/>
      </c>
      <c r="BX13" s="46"/>
    </row>
    <row r="14" spans="1:78">
      <c r="A14" s="43"/>
      <c r="B14" s="81"/>
      <c r="C14" s="45"/>
      <c r="D14" s="45"/>
      <c r="E14" s="45"/>
      <c r="F14" s="46"/>
      <c r="G14" s="67" t="str">
        <v/>
      </c>
      <c r="H14" s="67" t="str">
        <v/>
      </c>
      <c r="I14" s="46"/>
      <c r="J14" s="67" t="str">
        <v/>
      </c>
      <c r="K14" s="67" t="str">
        <v/>
      </c>
      <c r="L14" s="67" t="str">
        <v/>
      </c>
      <c r="M14" s="67" t="str">
        <v/>
      </c>
      <c r="N14" s="68" t="str">
        <v/>
      </c>
      <c r="O14" s="67" t="str">
        <v/>
      </c>
      <c r="P14" s="67" t="str">
        <v/>
      </c>
      <c r="Q14" s="67" t="str">
        <v/>
      </c>
      <c r="R14" s="67" t="str">
        <v/>
      </c>
      <c r="S14" s="67" t="str">
        <v/>
      </c>
      <c r="T14" s="49"/>
      <c r="U14" s="50"/>
      <c r="V14" s="50"/>
      <c r="W14" s="51"/>
      <c r="X14" s="50"/>
      <c r="Y14" s="50"/>
      <c r="Z14" s="50"/>
      <c r="AA14" s="50"/>
      <c r="AB14" s="51"/>
      <c r="AC14" s="68" t="str">
        <v/>
      </c>
      <c r="AD14" s="68" t="str">
        <v/>
      </c>
      <c r="AE14" s="68" t="str">
        <v/>
      </c>
      <c r="AF14" s="68" t="str">
        <v/>
      </c>
      <c r="AG14" s="69" t="str">
        <v/>
      </c>
      <c r="AH14" s="67" t="str">
        <v/>
      </c>
      <c r="AI14" s="67" t="str">
        <v/>
      </c>
      <c r="AJ14" s="70" t="str">
        <v/>
      </c>
      <c r="AK14" s="67" t="str">
        <v/>
      </c>
      <c r="AL14" s="67" t="str">
        <v/>
      </c>
      <c r="AM14" s="67" t="str">
        <v/>
      </c>
      <c r="AN14" s="67" t="str">
        <v/>
      </c>
      <c r="AO14" s="67" t="str">
        <v/>
      </c>
      <c r="AP14" s="46"/>
      <c r="AQ14" s="82"/>
      <c r="AR14" s="80"/>
      <c r="AS14" s="80" t="str">
        <v/>
      </c>
      <c r="AT14" s="78" t="str">
        <v/>
      </c>
      <c r="AU14" s="79"/>
      <c r="AV14" s="71" t="str">
        <v/>
      </c>
      <c r="AW14" s="68" t="str">
        <v/>
      </c>
      <c r="AX14" s="68" t="str">
        <v/>
      </c>
      <c r="AY14" s="72" t="str">
        <v/>
      </c>
      <c r="AZ14" s="67" t="str">
        <v/>
      </c>
      <c r="BA14" s="67" t="str">
        <v/>
      </c>
      <c r="BB14" s="67" t="str">
        <v/>
      </c>
      <c r="BC14" s="70" t="str">
        <v/>
      </c>
      <c r="BD14" s="67" t="str">
        <v/>
      </c>
      <c r="BE14" s="67" t="str">
        <v/>
      </c>
      <c r="BF14" s="67" t="str">
        <v/>
      </c>
      <c r="BG14" s="67" t="str">
        <v/>
      </c>
      <c r="BH14" s="67" t="str">
        <v/>
      </c>
      <c r="BI14" s="46"/>
      <c r="BJ14" s="73"/>
      <c r="BK14" s="64"/>
      <c r="BL14" s="64" t="str">
        <v/>
      </c>
      <c r="BM14" s="64" t="str">
        <v/>
      </c>
      <c r="BN14" s="64" t="str">
        <v/>
      </c>
      <c r="BO14" s="64" t="str">
        <v/>
      </c>
      <c r="BP14" s="64" t="str">
        <v/>
      </c>
      <c r="BQ14" s="64" t="str">
        <v/>
      </c>
      <c r="BR14" s="64" t="str">
        <v/>
      </c>
      <c r="BS14" s="64" t="str">
        <v/>
      </c>
      <c r="BT14" s="74" t="str">
        <v/>
      </c>
      <c r="BU14" s="46"/>
      <c r="BV14" s="65" t="str">
        <v/>
      </c>
      <c r="BW14" s="66" t="str">
        <v/>
      </c>
      <c r="BX14" s="46"/>
    </row>
    <row r="15" spans="1:78">
      <c r="A15" s="43"/>
      <c r="B15" s="81"/>
      <c r="C15" s="45"/>
      <c r="D15" s="45"/>
      <c r="E15" s="45"/>
      <c r="F15" s="46"/>
      <c r="G15" s="67" t="str">
        <v/>
      </c>
      <c r="H15" s="67" t="str">
        <v/>
      </c>
      <c r="I15" s="46"/>
      <c r="J15" s="67" t="str">
        <v/>
      </c>
      <c r="K15" s="67" t="str">
        <v/>
      </c>
      <c r="L15" s="67" t="str">
        <v/>
      </c>
      <c r="M15" s="67" t="str">
        <v/>
      </c>
      <c r="N15" s="68" t="str">
        <v/>
      </c>
      <c r="O15" s="67" t="str">
        <v/>
      </c>
      <c r="P15" s="67" t="str">
        <v/>
      </c>
      <c r="Q15" s="67" t="str">
        <v/>
      </c>
      <c r="R15" s="67" t="str">
        <v/>
      </c>
      <c r="S15" s="67" t="str">
        <v/>
      </c>
      <c r="T15" s="49"/>
      <c r="U15" s="50"/>
      <c r="V15" s="50"/>
      <c r="W15" s="51"/>
      <c r="X15" s="50"/>
      <c r="Y15" s="50"/>
      <c r="Z15" s="50"/>
      <c r="AA15" s="50"/>
      <c r="AB15" s="51"/>
      <c r="AC15" s="68" t="str">
        <v/>
      </c>
      <c r="AD15" s="68" t="str">
        <v/>
      </c>
      <c r="AE15" s="68" t="str">
        <v/>
      </c>
      <c r="AF15" s="68" t="str">
        <v/>
      </c>
      <c r="AG15" s="69" t="str">
        <v/>
      </c>
      <c r="AH15" s="67" t="str">
        <v/>
      </c>
      <c r="AI15" s="67" t="str">
        <v/>
      </c>
      <c r="AJ15" s="70" t="str">
        <v/>
      </c>
      <c r="AK15" s="67" t="str">
        <v/>
      </c>
      <c r="AL15" s="67" t="str">
        <v/>
      </c>
      <c r="AM15" s="67" t="str">
        <v/>
      </c>
      <c r="AN15" s="67" t="str">
        <v/>
      </c>
      <c r="AO15" s="67" t="str">
        <v/>
      </c>
      <c r="AP15" s="46"/>
      <c r="AQ15" s="82"/>
      <c r="AR15" s="80"/>
      <c r="AS15" s="80" t="str">
        <v/>
      </c>
      <c r="AT15" s="78" t="str">
        <v/>
      </c>
      <c r="AU15" s="79"/>
      <c r="AV15" s="71" t="str">
        <v/>
      </c>
      <c r="AW15" s="68" t="str">
        <v/>
      </c>
      <c r="AX15" s="68" t="str">
        <v/>
      </c>
      <c r="AY15" s="72" t="str">
        <v/>
      </c>
      <c r="AZ15" s="67" t="str">
        <v/>
      </c>
      <c r="BA15" s="67" t="str">
        <v/>
      </c>
      <c r="BB15" s="67" t="str">
        <v/>
      </c>
      <c r="BC15" s="70" t="str">
        <v/>
      </c>
      <c r="BD15" s="67" t="str">
        <v/>
      </c>
      <c r="BE15" s="67" t="str">
        <v/>
      </c>
      <c r="BF15" s="67" t="str">
        <v/>
      </c>
      <c r="BG15" s="67" t="str">
        <v/>
      </c>
      <c r="BH15" s="67" t="str">
        <v/>
      </c>
      <c r="BI15" s="46"/>
      <c r="BJ15" s="73"/>
      <c r="BK15" s="64"/>
      <c r="BL15" s="64" t="str">
        <v/>
      </c>
      <c r="BM15" s="64" t="str">
        <v/>
      </c>
      <c r="BN15" s="64" t="str">
        <v/>
      </c>
      <c r="BO15" s="64" t="str">
        <v/>
      </c>
      <c r="BP15" s="64" t="str">
        <v/>
      </c>
      <c r="BQ15" s="64" t="str">
        <v/>
      </c>
      <c r="BR15" s="64" t="str">
        <v/>
      </c>
      <c r="BS15" s="64" t="str">
        <v/>
      </c>
      <c r="BT15" s="74" t="str">
        <v/>
      </c>
      <c r="BU15" s="46"/>
      <c r="BV15" s="65" t="str">
        <v/>
      </c>
      <c r="BW15" s="66" t="str">
        <v/>
      </c>
      <c r="BX15" s="46"/>
    </row>
    <row r="16" spans="1:78">
      <c r="A16" s="43"/>
      <c r="B16" s="81"/>
      <c r="C16" s="45"/>
      <c r="D16" s="45"/>
      <c r="E16" s="45"/>
      <c r="F16" s="46"/>
      <c r="G16" s="67" t="str">
        <v/>
      </c>
      <c r="H16" s="67" t="str">
        <v/>
      </c>
      <c r="I16" s="46"/>
      <c r="J16" s="67" t="str">
        <v/>
      </c>
      <c r="K16" s="67" t="str">
        <v/>
      </c>
      <c r="L16" s="67" t="str">
        <v/>
      </c>
      <c r="M16" s="67" t="str">
        <v/>
      </c>
      <c r="N16" s="68" t="str">
        <v/>
      </c>
      <c r="O16" s="67" t="str">
        <v/>
      </c>
      <c r="P16" s="67" t="str">
        <v/>
      </c>
      <c r="Q16" s="67" t="str">
        <v/>
      </c>
      <c r="R16" s="67" t="str">
        <v/>
      </c>
      <c r="S16" s="67" t="str">
        <v/>
      </c>
      <c r="T16" s="49"/>
      <c r="U16" s="50"/>
      <c r="V16" s="50"/>
      <c r="W16" s="51"/>
      <c r="X16" s="50"/>
      <c r="Y16" s="50"/>
      <c r="Z16" s="50"/>
      <c r="AA16" s="50"/>
      <c r="AB16" s="51"/>
      <c r="AC16" s="68" t="str">
        <v/>
      </c>
      <c r="AD16" s="68" t="str">
        <v/>
      </c>
      <c r="AE16" s="68" t="str">
        <v/>
      </c>
      <c r="AF16" s="68" t="str">
        <v/>
      </c>
      <c r="AG16" s="69" t="str">
        <v/>
      </c>
      <c r="AH16" s="67" t="str">
        <v/>
      </c>
      <c r="AI16" s="67" t="str">
        <v/>
      </c>
      <c r="AJ16" s="70" t="str">
        <v/>
      </c>
      <c r="AK16" s="67" t="str">
        <v/>
      </c>
      <c r="AL16" s="67" t="str">
        <v/>
      </c>
      <c r="AM16" s="67" t="str">
        <v/>
      </c>
      <c r="AN16" s="67" t="str">
        <v/>
      </c>
      <c r="AO16" s="67" t="str">
        <v/>
      </c>
      <c r="AP16" s="46"/>
      <c r="AQ16" s="82"/>
      <c r="AR16" s="80"/>
      <c r="AS16" s="80" t="str">
        <v/>
      </c>
      <c r="AT16" s="78" t="str">
        <v/>
      </c>
      <c r="AU16" s="79"/>
      <c r="AV16" s="71" t="str">
        <v/>
      </c>
      <c r="AW16" s="68" t="str">
        <v/>
      </c>
      <c r="AX16" s="68" t="str">
        <v/>
      </c>
      <c r="AY16" s="72" t="str">
        <v/>
      </c>
      <c r="AZ16" s="67" t="str">
        <v/>
      </c>
      <c r="BA16" s="67" t="str">
        <v/>
      </c>
      <c r="BB16" s="67" t="str">
        <v/>
      </c>
      <c r="BC16" s="70" t="str">
        <v/>
      </c>
      <c r="BD16" s="67" t="str">
        <v/>
      </c>
      <c r="BE16" s="67" t="str">
        <v/>
      </c>
      <c r="BF16" s="67" t="str">
        <v/>
      </c>
      <c r="BG16" s="67" t="str">
        <v/>
      </c>
      <c r="BH16" s="67" t="str">
        <v/>
      </c>
      <c r="BI16" s="46"/>
      <c r="BJ16" s="73"/>
      <c r="BK16" s="64"/>
      <c r="BL16" s="64" t="str">
        <v/>
      </c>
      <c r="BM16" s="64" t="str">
        <v/>
      </c>
      <c r="BN16" s="64" t="str">
        <v/>
      </c>
      <c r="BO16" s="64" t="str">
        <v/>
      </c>
      <c r="BP16" s="64" t="str">
        <v/>
      </c>
      <c r="BQ16" s="64" t="str">
        <v/>
      </c>
      <c r="BR16" s="64" t="str">
        <v/>
      </c>
      <c r="BS16" s="64" t="str">
        <v/>
      </c>
      <c r="BT16" s="74" t="str">
        <v/>
      </c>
      <c r="BU16" s="46"/>
      <c r="BV16" s="65" t="str">
        <v/>
      </c>
      <c r="BW16" s="66" t="str">
        <v/>
      </c>
      <c r="BX16" s="46"/>
    </row>
    <row r="17" spans="1:76">
      <c r="A17" s="43"/>
      <c r="B17" s="81"/>
      <c r="C17" s="45"/>
      <c r="D17" s="45"/>
      <c r="E17" s="45"/>
      <c r="F17" s="46"/>
      <c r="G17" s="67" t="str">
        <v/>
      </c>
      <c r="H17" s="67" t="str">
        <v/>
      </c>
      <c r="I17" s="46"/>
      <c r="J17" s="67" t="str">
        <v/>
      </c>
      <c r="K17" s="67" t="str">
        <v/>
      </c>
      <c r="L17" s="67" t="str">
        <v/>
      </c>
      <c r="M17" s="67" t="str">
        <v/>
      </c>
      <c r="N17" s="68" t="str">
        <v/>
      </c>
      <c r="O17" s="67" t="str">
        <v/>
      </c>
      <c r="P17" s="67" t="str">
        <v/>
      </c>
      <c r="Q17" s="67" t="str">
        <v/>
      </c>
      <c r="R17" s="67" t="str">
        <v/>
      </c>
      <c r="S17" s="67" t="str">
        <v/>
      </c>
      <c r="T17" s="49"/>
      <c r="U17" s="50"/>
      <c r="V17" s="50"/>
      <c r="W17" s="51"/>
      <c r="X17" s="50"/>
      <c r="Y17" s="50"/>
      <c r="Z17" s="50"/>
      <c r="AA17" s="50"/>
      <c r="AB17" s="51"/>
      <c r="AC17" s="68" t="str">
        <v/>
      </c>
      <c r="AD17" s="68" t="str">
        <v/>
      </c>
      <c r="AE17" s="68" t="str">
        <v/>
      </c>
      <c r="AF17" s="68" t="str">
        <v/>
      </c>
      <c r="AG17" s="69" t="str">
        <v/>
      </c>
      <c r="AH17" s="67" t="str">
        <v/>
      </c>
      <c r="AI17" s="67" t="str">
        <v/>
      </c>
      <c r="AJ17" s="70" t="str">
        <v/>
      </c>
      <c r="AK17" s="67" t="str">
        <v/>
      </c>
      <c r="AL17" s="67" t="str">
        <v/>
      </c>
      <c r="AM17" s="67" t="str">
        <v/>
      </c>
      <c r="AN17" s="67" t="str">
        <v/>
      </c>
      <c r="AO17" s="67" t="str">
        <v/>
      </c>
      <c r="AP17" s="46"/>
      <c r="AQ17" s="82"/>
      <c r="AR17" s="80"/>
      <c r="AS17" s="80" t="str">
        <v/>
      </c>
      <c r="AT17" s="78" t="str">
        <v/>
      </c>
      <c r="AU17" s="79"/>
      <c r="AV17" s="71" t="str">
        <v/>
      </c>
      <c r="AW17" s="68" t="str">
        <v/>
      </c>
      <c r="AX17" s="68" t="str">
        <v/>
      </c>
      <c r="AY17" s="72" t="str">
        <v/>
      </c>
      <c r="AZ17" s="67" t="str">
        <v/>
      </c>
      <c r="BA17" s="67" t="str">
        <v/>
      </c>
      <c r="BB17" s="67" t="str">
        <v/>
      </c>
      <c r="BC17" s="70" t="str">
        <v/>
      </c>
      <c r="BD17" s="67" t="str">
        <v/>
      </c>
      <c r="BE17" s="67" t="str">
        <v/>
      </c>
      <c r="BF17" s="67" t="str">
        <v/>
      </c>
      <c r="BG17" s="67" t="str">
        <v/>
      </c>
      <c r="BH17" s="67" t="str">
        <v/>
      </c>
      <c r="BI17" s="46"/>
      <c r="BJ17" s="73"/>
      <c r="BK17" s="64"/>
      <c r="BL17" s="64" t="str">
        <v/>
      </c>
      <c r="BM17" s="64" t="str">
        <v/>
      </c>
      <c r="BN17" s="64" t="str">
        <v/>
      </c>
      <c r="BO17" s="64" t="str">
        <v/>
      </c>
      <c r="BP17" s="64" t="str">
        <v/>
      </c>
      <c r="BQ17" s="64" t="str">
        <v/>
      </c>
      <c r="BR17" s="64" t="str">
        <v/>
      </c>
      <c r="BS17" s="64" t="str">
        <v/>
      </c>
      <c r="BT17" s="74" t="str">
        <v/>
      </c>
      <c r="BU17" s="46"/>
      <c r="BV17" s="65" t="str">
        <v/>
      </c>
      <c r="BW17" s="66" t="str">
        <v/>
      </c>
      <c r="BX17" s="46"/>
    </row>
    <row r="18" spans="1:76">
      <c r="A18" s="43"/>
      <c r="B18" s="81"/>
      <c r="C18" s="45"/>
      <c r="D18" s="45"/>
      <c r="E18" s="45"/>
      <c r="F18" s="46"/>
      <c r="G18" s="67" t="str">
        <v/>
      </c>
      <c r="H18" s="67" t="str">
        <v/>
      </c>
      <c r="I18" s="46"/>
      <c r="J18" s="67" t="str">
        <v/>
      </c>
      <c r="K18" s="67" t="str">
        <v/>
      </c>
      <c r="L18" s="67" t="str">
        <v/>
      </c>
      <c r="M18" s="67" t="str">
        <v/>
      </c>
      <c r="N18" s="68" t="str">
        <v/>
      </c>
      <c r="O18" s="67" t="str">
        <v/>
      </c>
      <c r="P18" s="67" t="str">
        <v/>
      </c>
      <c r="Q18" s="67" t="str">
        <v/>
      </c>
      <c r="R18" s="67" t="str">
        <v/>
      </c>
      <c r="S18" s="67" t="str">
        <v/>
      </c>
      <c r="T18" s="49"/>
      <c r="U18" s="50"/>
      <c r="V18" s="50"/>
      <c r="W18" s="51"/>
      <c r="X18" s="50"/>
      <c r="Y18" s="50"/>
      <c r="Z18" s="50"/>
      <c r="AA18" s="50"/>
      <c r="AB18" s="51"/>
      <c r="AC18" s="68" t="str">
        <v/>
      </c>
      <c r="AD18" s="68" t="str">
        <v/>
      </c>
      <c r="AE18" s="68" t="str">
        <v/>
      </c>
      <c r="AF18" s="68" t="str">
        <v/>
      </c>
      <c r="AG18" s="69" t="str">
        <v/>
      </c>
      <c r="AH18" s="67" t="str">
        <v/>
      </c>
      <c r="AI18" s="67" t="str">
        <v/>
      </c>
      <c r="AJ18" s="70" t="str">
        <v/>
      </c>
      <c r="AK18" s="67" t="str">
        <v/>
      </c>
      <c r="AL18" s="67" t="str">
        <v/>
      </c>
      <c r="AM18" s="67" t="str">
        <v/>
      </c>
      <c r="AN18" s="67" t="str">
        <v/>
      </c>
      <c r="AO18" s="67" t="str">
        <v/>
      </c>
      <c r="AP18" s="46"/>
      <c r="AQ18" s="82"/>
      <c r="AR18" s="80"/>
      <c r="AS18" s="80" t="str">
        <v/>
      </c>
      <c r="AT18" s="78" t="str">
        <v/>
      </c>
      <c r="AU18" s="79"/>
      <c r="AV18" s="71" t="str">
        <v/>
      </c>
      <c r="AW18" s="68" t="str">
        <v/>
      </c>
      <c r="AX18" s="68" t="str">
        <v/>
      </c>
      <c r="AY18" s="72" t="str">
        <v/>
      </c>
      <c r="AZ18" s="67" t="str">
        <v/>
      </c>
      <c r="BA18" s="67" t="str">
        <v/>
      </c>
      <c r="BB18" s="67" t="str">
        <v/>
      </c>
      <c r="BC18" s="70" t="str">
        <v/>
      </c>
      <c r="BD18" s="67" t="str">
        <v/>
      </c>
      <c r="BE18" s="67" t="str">
        <v/>
      </c>
      <c r="BF18" s="67" t="str">
        <v/>
      </c>
      <c r="BG18" s="67" t="str">
        <v/>
      </c>
      <c r="BH18" s="67" t="str">
        <v/>
      </c>
      <c r="BI18" s="46"/>
      <c r="BJ18" s="73"/>
      <c r="BK18" s="64"/>
      <c r="BL18" s="64" t="str">
        <v/>
      </c>
      <c r="BM18" s="64" t="str">
        <v/>
      </c>
      <c r="BN18" s="64" t="str">
        <v/>
      </c>
      <c r="BO18" s="64" t="str">
        <v/>
      </c>
      <c r="BP18" s="64" t="str">
        <v/>
      </c>
      <c r="BQ18" s="64" t="str">
        <v/>
      </c>
      <c r="BR18" s="64" t="str">
        <v/>
      </c>
      <c r="BS18" s="64" t="str">
        <v/>
      </c>
      <c r="BT18" s="74" t="str">
        <v/>
      </c>
      <c r="BU18" s="46"/>
      <c r="BV18" s="65" t="str">
        <v/>
      </c>
      <c r="BW18" s="66" t="str">
        <v/>
      </c>
      <c r="BX18" s="46"/>
    </row>
    <row r="19" spans="1:76">
      <c r="A19" s="43"/>
      <c r="B19" s="81"/>
      <c r="C19" s="45"/>
      <c r="D19" s="45"/>
      <c r="E19" s="45"/>
      <c r="F19" s="46"/>
      <c r="G19" s="67" t="str">
        <v/>
      </c>
      <c r="H19" s="67" t="str">
        <v/>
      </c>
      <c r="I19" s="46"/>
      <c r="J19" s="67" t="str">
        <v/>
      </c>
      <c r="K19" s="67" t="str">
        <v/>
      </c>
      <c r="L19" s="67" t="str">
        <v/>
      </c>
      <c r="M19" s="67" t="str">
        <v/>
      </c>
      <c r="N19" s="68" t="str">
        <v/>
      </c>
      <c r="O19" s="67" t="str">
        <v/>
      </c>
      <c r="P19" s="67" t="str">
        <v/>
      </c>
      <c r="Q19" s="67" t="str">
        <v/>
      </c>
      <c r="R19" s="67" t="str">
        <v/>
      </c>
      <c r="S19" s="67" t="str">
        <v/>
      </c>
      <c r="T19" s="49"/>
      <c r="U19" s="50"/>
      <c r="V19" s="50"/>
      <c r="W19" s="51"/>
      <c r="X19" s="50"/>
      <c r="Y19" s="50"/>
      <c r="Z19" s="50"/>
      <c r="AA19" s="50"/>
      <c r="AB19" s="51"/>
      <c r="AC19" s="68" t="str">
        <v/>
      </c>
      <c r="AD19" s="68" t="str">
        <v/>
      </c>
      <c r="AE19" s="68" t="str">
        <v/>
      </c>
      <c r="AF19" s="68" t="str">
        <v/>
      </c>
      <c r="AG19" s="69" t="str">
        <v/>
      </c>
      <c r="AH19" s="67" t="str">
        <v/>
      </c>
      <c r="AI19" s="67" t="str">
        <v/>
      </c>
      <c r="AJ19" s="70" t="str">
        <v/>
      </c>
      <c r="AK19" s="67" t="str">
        <v/>
      </c>
      <c r="AL19" s="67" t="str">
        <v/>
      </c>
      <c r="AM19" s="67" t="str">
        <v/>
      </c>
      <c r="AN19" s="67" t="str">
        <v/>
      </c>
      <c r="AO19" s="67" t="str">
        <v/>
      </c>
      <c r="AP19" s="46"/>
      <c r="AQ19" s="82"/>
      <c r="AR19" s="80"/>
      <c r="AS19" s="80" t="str">
        <v/>
      </c>
      <c r="AT19" s="78" t="str">
        <v/>
      </c>
      <c r="AU19" s="79"/>
      <c r="AV19" s="71" t="str">
        <v/>
      </c>
      <c r="AW19" s="68" t="str">
        <v/>
      </c>
      <c r="AX19" s="68" t="str">
        <v/>
      </c>
      <c r="AY19" s="72" t="str">
        <v/>
      </c>
      <c r="AZ19" s="67" t="str">
        <v/>
      </c>
      <c r="BA19" s="67" t="str">
        <v/>
      </c>
      <c r="BB19" s="67" t="str">
        <v/>
      </c>
      <c r="BC19" s="70" t="str">
        <v/>
      </c>
      <c r="BD19" s="67" t="str">
        <v/>
      </c>
      <c r="BE19" s="67" t="str">
        <v/>
      </c>
      <c r="BF19" s="67" t="str">
        <v/>
      </c>
      <c r="BG19" s="67" t="str">
        <v/>
      </c>
      <c r="BH19" s="67" t="str">
        <v/>
      </c>
      <c r="BI19" s="46"/>
      <c r="BJ19" s="73"/>
      <c r="BK19" s="64"/>
      <c r="BL19" s="64" t="str">
        <v/>
      </c>
      <c r="BM19" s="64" t="str">
        <v/>
      </c>
      <c r="BN19" s="64" t="str">
        <v/>
      </c>
      <c r="BO19" s="64" t="str">
        <v/>
      </c>
      <c r="BP19" s="64" t="str">
        <v/>
      </c>
      <c r="BQ19" s="64" t="str">
        <v/>
      </c>
      <c r="BR19" s="64" t="str">
        <v/>
      </c>
      <c r="BS19" s="64" t="str">
        <v/>
      </c>
      <c r="BT19" s="74" t="str">
        <v/>
      </c>
      <c r="BU19" s="46"/>
      <c r="BV19" s="65" t="str">
        <v/>
      </c>
      <c r="BW19" s="66" t="str">
        <v/>
      </c>
      <c r="BX19" s="46"/>
    </row>
    <row r="20" spans="1:76">
      <c r="A20" s="43"/>
      <c r="B20" s="81"/>
      <c r="C20" s="45"/>
      <c r="D20" s="45"/>
      <c r="E20" s="45"/>
      <c r="F20" s="46"/>
      <c r="G20" s="67" t="str">
        <v/>
      </c>
      <c r="H20" s="67" t="str">
        <v/>
      </c>
      <c r="I20" s="46"/>
      <c r="J20" s="67" t="str">
        <v/>
      </c>
      <c r="K20" s="67" t="str">
        <v/>
      </c>
      <c r="L20" s="67" t="str">
        <v/>
      </c>
      <c r="M20" s="67" t="str">
        <v/>
      </c>
      <c r="N20" s="68" t="str">
        <v/>
      </c>
      <c r="O20" s="67" t="str">
        <v/>
      </c>
      <c r="P20" s="67" t="str">
        <v/>
      </c>
      <c r="Q20" s="67" t="str">
        <v/>
      </c>
      <c r="R20" s="67" t="str">
        <v/>
      </c>
      <c r="S20" s="67" t="str">
        <v/>
      </c>
      <c r="T20" s="49"/>
      <c r="U20" s="50"/>
      <c r="V20" s="50"/>
      <c r="W20" s="51"/>
      <c r="X20" s="50"/>
      <c r="Y20" s="50"/>
      <c r="Z20" s="50"/>
      <c r="AA20" s="50"/>
      <c r="AB20" s="51"/>
      <c r="AC20" s="68" t="str">
        <v/>
      </c>
      <c r="AD20" s="68" t="str">
        <v/>
      </c>
      <c r="AE20" s="68" t="str">
        <v/>
      </c>
      <c r="AF20" s="68" t="str">
        <v/>
      </c>
      <c r="AG20" s="69" t="str">
        <v/>
      </c>
      <c r="AH20" s="67" t="str">
        <v/>
      </c>
      <c r="AI20" s="67" t="str">
        <v/>
      </c>
      <c r="AJ20" s="70" t="str">
        <v/>
      </c>
      <c r="AK20" s="67" t="str">
        <v/>
      </c>
      <c r="AL20" s="67" t="str">
        <v/>
      </c>
      <c r="AM20" s="67" t="str">
        <v/>
      </c>
      <c r="AN20" s="67" t="str">
        <v/>
      </c>
      <c r="AO20" s="67" t="str">
        <v/>
      </c>
      <c r="AP20" s="46"/>
      <c r="AQ20" s="82"/>
      <c r="AR20" s="80"/>
      <c r="AS20" s="80" t="str">
        <v/>
      </c>
      <c r="AT20" s="78" t="str">
        <v/>
      </c>
      <c r="AU20" s="79"/>
      <c r="AV20" s="71" t="str">
        <v/>
      </c>
      <c r="AW20" s="68" t="str">
        <v/>
      </c>
      <c r="AX20" s="68" t="str">
        <v/>
      </c>
      <c r="AY20" s="72" t="str">
        <v/>
      </c>
      <c r="AZ20" s="67" t="str">
        <v/>
      </c>
      <c r="BA20" s="67" t="str">
        <v/>
      </c>
      <c r="BB20" s="67" t="str">
        <v/>
      </c>
      <c r="BC20" s="70" t="str">
        <v/>
      </c>
      <c r="BD20" s="67" t="str">
        <v/>
      </c>
      <c r="BE20" s="67" t="str">
        <v/>
      </c>
      <c r="BF20" s="67" t="str">
        <v/>
      </c>
      <c r="BG20" s="67" t="str">
        <v/>
      </c>
      <c r="BH20" s="67" t="str">
        <v/>
      </c>
      <c r="BI20" s="46"/>
      <c r="BJ20" s="73"/>
      <c r="BK20" s="64"/>
      <c r="BL20" s="64" t="str">
        <v/>
      </c>
      <c r="BM20" s="64" t="str">
        <v/>
      </c>
      <c r="BN20" s="64" t="str">
        <v/>
      </c>
      <c r="BO20" s="64" t="str">
        <v/>
      </c>
      <c r="BP20" s="64" t="str">
        <v/>
      </c>
      <c r="BQ20" s="64" t="str">
        <v/>
      </c>
      <c r="BR20" s="64" t="str">
        <v/>
      </c>
      <c r="BS20" s="64" t="str">
        <v/>
      </c>
      <c r="BT20" s="74" t="str">
        <v/>
      </c>
      <c r="BU20" s="46"/>
      <c r="BV20" s="65" t="str">
        <v/>
      </c>
      <c r="BW20" s="66" t="str">
        <v/>
      </c>
      <c r="BX20" s="46"/>
    </row>
    <row r="21" spans="1:76">
      <c r="A21" s="43"/>
      <c r="B21" s="81"/>
      <c r="C21" s="45"/>
      <c r="D21" s="45"/>
      <c r="E21" s="45"/>
      <c r="F21" s="46"/>
      <c r="G21" s="67" t="str">
        <v/>
      </c>
      <c r="H21" s="67" t="str">
        <v/>
      </c>
      <c r="I21" s="46"/>
      <c r="J21" s="67" t="str">
        <v/>
      </c>
      <c r="K21" s="67" t="str">
        <v/>
      </c>
      <c r="L21" s="67" t="str">
        <v/>
      </c>
      <c r="M21" s="67" t="str">
        <v/>
      </c>
      <c r="N21" s="68" t="str">
        <v/>
      </c>
      <c r="O21" s="67" t="str">
        <v/>
      </c>
      <c r="P21" s="67" t="str">
        <v/>
      </c>
      <c r="Q21" s="67" t="str">
        <v/>
      </c>
      <c r="R21" s="67" t="str">
        <v/>
      </c>
      <c r="S21" s="67" t="str">
        <v/>
      </c>
      <c r="T21" s="49"/>
      <c r="U21" s="50"/>
      <c r="V21" s="50"/>
      <c r="W21" s="51"/>
      <c r="X21" s="50"/>
      <c r="Y21" s="50"/>
      <c r="Z21" s="50"/>
      <c r="AA21" s="50"/>
      <c r="AB21" s="51"/>
      <c r="AC21" s="68" t="str">
        <v/>
      </c>
      <c r="AD21" s="68" t="str">
        <v/>
      </c>
      <c r="AE21" s="68" t="str">
        <v/>
      </c>
      <c r="AF21" s="68" t="str">
        <v/>
      </c>
      <c r="AG21" s="69" t="str">
        <v/>
      </c>
      <c r="AH21" s="67" t="str">
        <v/>
      </c>
      <c r="AI21" s="67" t="str">
        <v/>
      </c>
      <c r="AJ21" s="70" t="str">
        <v/>
      </c>
      <c r="AK21" s="67" t="str">
        <v/>
      </c>
      <c r="AL21" s="67" t="str">
        <v/>
      </c>
      <c r="AM21" s="67" t="str">
        <v/>
      </c>
      <c r="AN21" s="67" t="str">
        <v/>
      </c>
      <c r="AO21" s="67" t="str">
        <v/>
      </c>
      <c r="AP21" s="46"/>
      <c r="AQ21" s="82"/>
      <c r="AR21" s="80"/>
      <c r="AS21" s="80" t="str">
        <v/>
      </c>
      <c r="AT21" s="78" t="str">
        <v/>
      </c>
      <c r="AU21" s="79"/>
      <c r="AV21" s="71" t="str">
        <v/>
      </c>
      <c r="AW21" s="68" t="str">
        <v/>
      </c>
      <c r="AX21" s="68" t="str">
        <v/>
      </c>
      <c r="AY21" s="72" t="str">
        <v/>
      </c>
      <c r="AZ21" s="67" t="str">
        <v/>
      </c>
      <c r="BA21" s="67" t="str">
        <v/>
      </c>
      <c r="BB21" s="67" t="str">
        <v/>
      </c>
      <c r="BC21" s="70" t="str">
        <v/>
      </c>
      <c r="BD21" s="67" t="str">
        <v/>
      </c>
      <c r="BE21" s="67" t="str">
        <v/>
      </c>
      <c r="BF21" s="67" t="str">
        <v/>
      </c>
      <c r="BG21" s="67" t="str">
        <v/>
      </c>
      <c r="BH21" s="67" t="str">
        <v/>
      </c>
      <c r="BI21" s="46"/>
      <c r="BJ21" s="73"/>
      <c r="BK21" s="64"/>
      <c r="BL21" s="64" t="str">
        <v/>
      </c>
      <c r="BM21" s="64" t="str">
        <v/>
      </c>
      <c r="BN21" s="64" t="str">
        <v/>
      </c>
      <c r="BO21" s="64" t="str">
        <v/>
      </c>
      <c r="BP21" s="64" t="str">
        <v/>
      </c>
      <c r="BQ21" s="64" t="str">
        <v/>
      </c>
      <c r="BR21" s="64" t="str">
        <v/>
      </c>
      <c r="BS21" s="64" t="str">
        <v/>
      </c>
      <c r="BT21" s="74" t="str">
        <v/>
      </c>
      <c r="BU21" s="46"/>
      <c r="BV21" s="65" t="str">
        <v/>
      </c>
      <c r="BW21" s="66" t="str">
        <v/>
      </c>
      <c r="BX21" s="46"/>
    </row>
    <row r="22" spans="1:76">
      <c r="A22" s="43"/>
      <c r="B22" s="81"/>
      <c r="C22" s="45"/>
      <c r="D22" s="45"/>
      <c r="E22" s="45"/>
      <c r="F22" s="46"/>
      <c r="G22" s="67" t="str">
        <v/>
      </c>
      <c r="H22" s="67" t="str">
        <v/>
      </c>
      <c r="I22" s="46"/>
      <c r="J22" s="67" t="str">
        <v/>
      </c>
      <c r="K22" s="67" t="str">
        <v/>
      </c>
      <c r="L22" s="67" t="str">
        <v/>
      </c>
      <c r="M22" s="67" t="str">
        <v/>
      </c>
      <c r="N22" s="68" t="str">
        <v/>
      </c>
      <c r="O22" s="67" t="str">
        <v/>
      </c>
      <c r="P22" s="67" t="str">
        <v/>
      </c>
      <c r="Q22" s="67" t="str">
        <v/>
      </c>
      <c r="R22" s="67" t="str">
        <v/>
      </c>
      <c r="S22" s="67" t="str">
        <v/>
      </c>
      <c r="T22" s="49"/>
      <c r="U22" s="50"/>
      <c r="V22" s="50"/>
      <c r="W22" s="51"/>
      <c r="X22" s="50"/>
      <c r="Y22" s="50"/>
      <c r="Z22" s="50"/>
      <c r="AA22" s="50"/>
      <c r="AB22" s="51"/>
      <c r="AC22" s="68" t="str">
        <v/>
      </c>
      <c r="AD22" s="68" t="str">
        <v/>
      </c>
      <c r="AE22" s="68" t="str">
        <v/>
      </c>
      <c r="AF22" s="68" t="str">
        <v/>
      </c>
      <c r="AG22" s="69" t="str">
        <v/>
      </c>
      <c r="AH22" s="67" t="str">
        <v/>
      </c>
      <c r="AI22" s="67" t="str">
        <v/>
      </c>
      <c r="AJ22" s="70" t="str">
        <v/>
      </c>
      <c r="AK22" s="67" t="str">
        <v/>
      </c>
      <c r="AL22" s="67" t="str">
        <v/>
      </c>
      <c r="AM22" s="67" t="str">
        <v/>
      </c>
      <c r="AN22" s="67" t="str">
        <v/>
      </c>
      <c r="AO22" s="67" t="str">
        <v/>
      </c>
      <c r="AP22" s="46"/>
      <c r="AQ22" s="82"/>
      <c r="AR22" s="80"/>
      <c r="AS22" s="80" t="str">
        <v/>
      </c>
      <c r="AT22" s="78" t="str">
        <v/>
      </c>
      <c r="AU22" s="79"/>
      <c r="AV22" s="71" t="str">
        <v/>
      </c>
      <c r="AW22" s="68" t="str">
        <v/>
      </c>
      <c r="AX22" s="68" t="str">
        <v/>
      </c>
      <c r="AY22" s="72" t="str">
        <v/>
      </c>
      <c r="AZ22" s="67" t="str">
        <v/>
      </c>
      <c r="BA22" s="67" t="str">
        <v/>
      </c>
      <c r="BB22" s="67" t="str">
        <v/>
      </c>
      <c r="BC22" s="70" t="str">
        <v/>
      </c>
      <c r="BD22" s="67" t="str">
        <v/>
      </c>
      <c r="BE22" s="67" t="str">
        <v/>
      </c>
      <c r="BF22" s="67" t="str">
        <v/>
      </c>
      <c r="BG22" s="67" t="str">
        <v/>
      </c>
      <c r="BH22" s="67" t="str">
        <v/>
      </c>
      <c r="BI22" s="46"/>
      <c r="BJ22" s="73"/>
      <c r="BK22" s="64"/>
      <c r="BL22" s="64" t="str">
        <v/>
      </c>
      <c r="BM22" s="64" t="str">
        <v/>
      </c>
      <c r="BN22" s="64" t="str">
        <v/>
      </c>
      <c r="BO22" s="64" t="str">
        <v/>
      </c>
      <c r="BP22" s="64" t="str">
        <v/>
      </c>
      <c r="BQ22" s="64" t="str">
        <v/>
      </c>
      <c r="BR22" s="64" t="str">
        <v/>
      </c>
      <c r="BS22" s="64" t="str">
        <v/>
      </c>
      <c r="BT22" s="74" t="str">
        <v/>
      </c>
      <c r="BU22" s="46"/>
      <c r="BV22" s="65" t="str">
        <v/>
      </c>
      <c r="BW22" s="66" t="str">
        <v/>
      </c>
      <c r="BX22" s="46"/>
    </row>
    <row r="23" spans="1:76">
      <c r="A23" s="43"/>
      <c r="B23" s="81"/>
      <c r="C23" s="45"/>
      <c r="D23" s="45"/>
      <c r="E23" s="45"/>
      <c r="F23" s="46"/>
      <c r="G23" s="67" t="str">
        <v/>
      </c>
      <c r="H23" s="67" t="str">
        <v/>
      </c>
      <c r="I23" s="46"/>
      <c r="J23" s="67" t="str">
        <v/>
      </c>
      <c r="K23" s="67" t="str">
        <v/>
      </c>
      <c r="L23" s="67" t="str">
        <v/>
      </c>
      <c r="M23" s="67" t="str">
        <v/>
      </c>
      <c r="N23" s="68" t="str">
        <v/>
      </c>
      <c r="O23" s="67" t="str">
        <v/>
      </c>
      <c r="P23" s="67" t="str">
        <v/>
      </c>
      <c r="Q23" s="67" t="str">
        <v/>
      </c>
      <c r="R23" s="67" t="str">
        <v/>
      </c>
      <c r="S23" s="67" t="str">
        <v/>
      </c>
      <c r="T23" s="49"/>
      <c r="U23" s="50"/>
      <c r="V23" s="50"/>
      <c r="W23" s="51"/>
      <c r="X23" s="50"/>
      <c r="Y23" s="50"/>
      <c r="Z23" s="50"/>
      <c r="AA23" s="50"/>
      <c r="AB23" s="51"/>
      <c r="AC23" s="68" t="str">
        <v/>
      </c>
      <c r="AD23" s="68" t="str">
        <v/>
      </c>
      <c r="AE23" s="68" t="str">
        <v/>
      </c>
      <c r="AF23" s="68" t="str">
        <v/>
      </c>
      <c r="AG23" s="69" t="str">
        <v/>
      </c>
      <c r="AH23" s="67" t="str">
        <v/>
      </c>
      <c r="AI23" s="67" t="str">
        <v/>
      </c>
      <c r="AJ23" s="70" t="str">
        <v/>
      </c>
      <c r="AK23" s="67" t="str">
        <v/>
      </c>
      <c r="AL23" s="67" t="str">
        <v/>
      </c>
      <c r="AM23" s="67" t="str">
        <v/>
      </c>
      <c r="AN23" s="67" t="str">
        <v/>
      </c>
      <c r="AO23" s="67" t="str">
        <v/>
      </c>
      <c r="AP23" s="46"/>
      <c r="AQ23" s="82"/>
      <c r="AR23" s="80"/>
      <c r="AS23" s="80" t="str">
        <v/>
      </c>
      <c r="AT23" s="78" t="str">
        <v/>
      </c>
      <c r="AU23" s="79"/>
      <c r="AV23" s="71" t="str">
        <v/>
      </c>
      <c r="AW23" s="68" t="str">
        <v/>
      </c>
      <c r="AX23" s="68" t="str">
        <v/>
      </c>
      <c r="AY23" s="72" t="str">
        <v/>
      </c>
      <c r="AZ23" s="67" t="str">
        <v/>
      </c>
      <c r="BA23" s="67" t="str">
        <v/>
      </c>
      <c r="BB23" s="67" t="str">
        <v/>
      </c>
      <c r="BC23" s="70" t="str">
        <v/>
      </c>
      <c r="BD23" s="67" t="str">
        <v/>
      </c>
      <c r="BE23" s="67" t="str">
        <v/>
      </c>
      <c r="BF23" s="67" t="str">
        <v/>
      </c>
      <c r="BG23" s="67" t="str">
        <v/>
      </c>
      <c r="BH23" s="67" t="str">
        <v/>
      </c>
      <c r="BI23" s="46"/>
      <c r="BJ23" s="73"/>
      <c r="BK23" s="64"/>
      <c r="BL23" s="64" t="str">
        <v/>
      </c>
      <c r="BM23" s="64" t="str">
        <v/>
      </c>
      <c r="BN23" s="64" t="str">
        <v/>
      </c>
      <c r="BO23" s="64" t="str">
        <v/>
      </c>
      <c r="BP23" s="64" t="str">
        <v/>
      </c>
      <c r="BQ23" s="64" t="str">
        <v/>
      </c>
      <c r="BR23" s="64" t="str">
        <v/>
      </c>
      <c r="BS23" s="64" t="str">
        <v/>
      </c>
      <c r="BT23" s="74" t="str">
        <v/>
      </c>
      <c r="BU23" s="46"/>
      <c r="BV23" s="65" t="str">
        <v/>
      </c>
      <c r="BW23" s="66" t="str">
        <v/>
      </c>
      <c r="BX23" s="46"/>
    </row>
    <row r="24" spans="1:76">
      <c r="A24" s="43"/>
      <c r="B24" s="81"/>
      <c r="C24" s="45"/>
      <c r="D24" s="45"/>
      <c r="E24" s="45"/>
      <c r="F24" s="46"/>
      <c r="G24" s="67" t="str">
        <v/>
      </c>
      <c r="H24" s="67" t="str">
        <v/>
      </c>
      <c r="I24" s="46"/>
      <c r="J24" s="67" t="str">
        <v/>
      </c>
      <c r="K24" s="67" t="str">
        <v/>
      </c>
      <c r="L24" s="67" t="str">
        <v/>
      </c>
      <c r="M24" s="67" t="str">
        <v/>
      </c>
      <c r="N24" s="68" t="str">
        <v/>
      </c>
      <c r="O24" s="67" t="str">
        <v/>
      </c>
      <c r="P24" s="67" t="str">
        <v/>
      </c>
      <c r="Q24" s="67" t="str">
        <v/>
      </c>
      <c r="R24" s="67" t="str">
        <v/>
      </c>
      <c r="S24" s="67" t="str">
        <v/>
      </c>
      <c r="T24" s="49"/>
      <c r="U24" s="50"/>
      <c r="V24" s="50"/>
      <c r="W24" s="51"/>
      <c r="X24" s="50"/>
      <c r="Y24" s="50"/>
      <c r="Z24" s="50"/>
      <c r="AA24" s="50"/>
      <c r="AB24" s="51"/>
      <c r="AC24" s="68" t="str">
        <v/>
      </c>
      <c r="AD24" s="68" t="str">
        <v/>
      </c>
      <c r="AE24" s="68" t="str">
        <v/>
      </c>
      <c r="AF24" s="68" t="str">
        <v/>
      </c>
      <c r="AG24" s="69" t="str">
        <v/>
      </c>
      <c r="AH24" s="67" t="str">
        <v/>
      </c>
      <c r="AI24" s="67" t="str">
        <v/>
      </c>
      <c r="AJ24" s="70" t="str">
        <v/>
      </c>
      <c r="AK24" s="67" t="str">
        <v/>
      </c>
      <c r="AL24" s="67" t="str">
        <v/>
      </c>
      <c r="AM24" s="67" t="str">
        <v/>
      </c>
      <c r="AN24" s="67" t="str">
        <v/>
      </c>
      <c r="AO24" s="67" t="str">
        <v/>
      </c>
      <c r="AP24" s="46"/>
      <c r="AQ24" s="82"/>
      <c r="AR24" s="80"/>
      <c r="AS24" s="80" t="str">
        <v/>
      </c>
      <c r="AT24" s="78" t="str">
        <v/>
      </c>
      <c r="AU24" s="79"/>
      <c r="AV24" s="71" t="str">
        <v/>
      </c>
      <c r="AW24" s="68" t="str">
        <v/>
      </c>
      <c r="AX24" s="68" t="str">
        <v/>
      </c>
      <c r="AY24" s="72" t="str">
        <v/>
      </c>
      <c r="AZ24" s="67" t="str">
        <v/>
      </c>
      <c r="BA24" s="67" t="str">
        <v/>
      </c>
      <c r="BB24" s="67" t="str">
        <v/>
      </c>
      <c r="BC24" s="70" t="str">
        <v/>
      </c>
      <c r="BD24" s="67" t="str">
        <v/>
      </c>
      <c r="BE24" s="67" t="str">
        <v/>
      </c>
      <c r="BF24" s="67" t="str">
        <v/>
      </c>
      <c r="BG24" s="67" t="str">
        <v/>
      </c>
      <c r="BH24" s="67" t="str">
        <v/>
      </c>
      <c r="BI24" s="46"/>
      <c r="BJ24" s="73"/>
      <c r="BK24" s="64"/>
      <c r="BL24" s="64" t="str">
        <v/>
      </c>
      <c r="BM24" s="64" t="str">
        <v/>
      </c>
      <c r="BN24" s="64" t="str">
        <v/>
      </c>
      <c r="BO24" s="64" t="str">
        <v/>
      </c>
      <c r="BP24" s="64" t="str">
        <v/>
      </c>
      <c r="BQ24" s="64" t="str">
        <v/>
      </c>
      <c r="BR24" s="64" t="str">
        <v/>
      </c>
      <c r="BS24" s="64" t="str">
        <v/>
      </c>
      <c r="BT24" s="74" t="str">
        <v/>
      </c>
      <c r="BU24" s="46"/>
      <c r="BV24" s="65" t="str">
        <v/>
      </c>
      <c r="BW24" s="66" t="str">
        <v/>
      </c>
      <c r="BX24" s="46"/>
    </row>
    <row r="25" spans="1:76">
      <c r="A25" s="43"/>
      <c r="B25" s="81"/>
      <c r="C25" s="45"/>
      <c r="D25" s="45"/>
      <c r="E25" s="45"/>
      <c r="F25" s="46"/>
      <c r="G25" s="67" t="str">
        <v/>
      </c>
      <c r="H25" s="67" t="str">
        <v/>
      </c>
      <c r="I25" s="46"/>
      <c r="J25" s="67" t="str">
        <v/>
      </c>
      <c r="K25" s="67" t="str">
        <v/>
      </c>
      <c r="L25" s="67" t="str">
        <v/>
      </c>
      <c r="M25" s="67" t="str">
        <v/>
      </c>
      <c r="N25" s="68" t="str">
        <v/>
      </c>
      <c r="O25" s="67" t="str">
        <v/>
      </c>
      <c r="P25" s="67" t="str">
        <v/>
      </c>
      <c r="Q25" s="67" t="str">
        <v/>
      </c>
      <c r="R25" s="67" t="str">
        <v/>
      </c>
      <c r="S25" s="67" t="str">
        <v/>
      </c>
      <c r="T25" s="49"/>
      <c r="U25" s="50"/>
      <c r="V25" s="50"/>
      <c r="W25" s="51"/>
      <c r="X25" s="50"/>
      <c r="Y25" s="50"/>
      <c r="Z25" s="50"/>
      <c r="AA25" s="50"/>
      <c r="AB25" s="51"/>
      <c r="AC25" s="68" t="str">
        <v/>
      </c>
      <c r="AD25" s="68" t="str">
        <v/>
      </c>
      <c r="AE25" s="68" t="str">
        <v/>
      </c>
      <c r="AF25" s="68" t="str">
        <v/>
      </c>
      <c r="AG25" s="69" t="str">
        <v/>
      </c>
      <c r="AH25" s="67" t="str">
        <v/>
      </c>
      <c r="AI25" s="67" t="str">
        <v/>
      </c>
      <c r="AJ25" s="70" t="str">
        <v/>
      </c>
      <c r="AK25" s="67" t="str">
        <v/>
      </c>
      <c r="AL25" s="67" t="str">
        <v/>
      </c>
      <c r="AM25" s="67" t="str">
        <v/>
      </c>
      <c r="AN25" s="67" t="str">
        <v/>
      </c>
      <c r="AO25" s="67" t="str">
        <v/>
      </c>
      <c r="AP25" s="46"/>
      <c r="AQ25" s="82"/>
      <c r="AR25" s="80"/>
      <c r="AS25" s="80" t="str">
        <v/>
      </c>
      <c r="AT25" s="78" t="str">
        <v/>
      </c>
      <c r="AU25" s="79"/>
      <c r="AV25" s="71" t="str">
        <v/>
      </c>
      <c r="AW25" s="68" t="str">
        <v/>
      </c>
      <c r="AX25" s="68" t="str">
        <v/>
      </c>
      <c r="AY25" s="72" t="str">
        <v/>
      </c>
      <c r="AZ25" s="67" t="str">
        <v/>
      </c>
      <c r="BA25" s="67" t="str">
        <v/>
      </c>
      <c r="BB25" s="67" t="str">
        <v/>
      </c>
      <c r="BC25" s="70" t="str">
        <v/>
      </c>
      <c r="BD25" s="67" t="str">
        <v/>
      </c>
      <c r="BE25" s="67" t="str">
        <v/>
      </c>
      <c r="BF25" s="67" t="str">
        <v/>
      </c>
      <c r="BG25" s="67" t="str">
        <v/>
      </c>
      <c r="BH25" s="67" t="str">
        <v/>
      </c>
      <c r="BI25" s="46"/>
      <c r="BJ25" s="73"/>
      <c r="BK25" s="64"/>
      <c r="BL25" s="64" t="str">
        <v/>
      </c>
      <c r="BM25" s="64" t="str">
        <v/>
      </c>
      <c r="BN25" s="64" t="str">
        <v/>
      </c>
      <c r="BO25" s="64" t="str">
        <v/>
      </c>
      <c r="BP25" s="64" t="str">
        <v/>
      </c>
      <c r="BQ25" s="64" t="str">
        <v/>
      </c>
      <c r="BR25" s="64" t="str">
        <v/>
      </c>
      <c r="BS25" s="64" t="str">
        <v/>
      </c>
      <c r="BT25" s="74" t="str">
        <v/>
      </c>
      <c r="BU25" s="46"/>
      <c r="BV25" s="65" t="str">
        <v/>
      </c>
      <c r="BW25" s="66" t="str">
        <v/>
      </c>
      <c r="BX25" s="46"/>
    </row>
    <row r="26" spans="1:76">
      <c r="A26" s="43"/>
      <c r="B26" s="81"/>
      <c r="C26" s="45"/>
      <c r="D26" s="45"/>
      <c r="E26" s="45"/>
      <c r="F26" s="46"/>
      <c r="G26" s="67" t="str">
        <v/>
      </c>
      <c r="H26" s="67" t="str">
        <v/>
      </c>
      <c r="I26" s="46"/>
      <c r="J26" s="67" t="str">
        <v/>
      </c>
      <c r="K26" s="67" t="str">
        <v/>
      </c>
      <c r="L26" s="67" t="str">
        <v/>
      </c>
      <c r="M26" s="67" t="str">
        <v/>
      </c>
      <c r="N26" s="68" t="str">
        <v/>
      </c>
      <c r="O26" s="67" t="str">
        <v/>
      </c>
      <c r="P26" s="67" t="str">
        <v/>
      </c>
      <c r="Q26" s="67" t="str">
        <v/>
      </c>
      <c r="R26" s="67" t="str">
        <v/>
      </c>
      <c r="S26" s="67" t="str">
        <v/>
      </c>
      <c r="T26" s="49"/>
      <c r="U26" s="50"/>
      <c r="V26" s="50"/>
      <c r="W26" s="51"/>
      <c r="X26" s="50"/>
      <c r="Y26" s="50"/>
      <c r="Z26" s="50"/>
      <c r="AA26" s="50"/>
      <c r="AB26" s="51"/>
      <c r="AC26" s="68" t="str">
        <v/>
      </c>
      <c r="AD26" s="68" t="str">
        <v/>
      </c>
      <c r="AE26" s="68" t="str">
        <v/>
      </c>
      <c r="AF26" s="68" t="str">
        <v/>
      </c>
      <c r="AG26" s="69" t="str">
        <v/>
      </c>
      <c r="AH26" s="67" t="str">
        <v/>
      </c>
      <c r="AI26" s="67" t="str">
        <v/>
      </c>
      <c r="AJ26" s="70" t="str">
        <v/>
      </c>
      <c r="AK26" s="67" t="str">
        <v/>
      </c>
      <c r="AL26" s="67" t="str">
        <v/>
      </c>
      <c r="AM26" s="67" t="str">
        <v/>
      </c>
      <c r="AN26" s="67" t="str">
        <v/>
      </c>
      <c r="AO26" s="67" t="str">
        <v/>
      </c>
      <c r="AP26" s="46"/>
      <c r="AQ26" s="82"/>
      <c r="AR26" s="80"/>
      <c r="AS26" s="80" t="str">
        <v/>
      </c>
      <c r="AT26" s="78" t="str">
        <v/>
      </c>
      <c r="AU26" s="79"/>
      <c r="AV26" s="71" t="str">
        <v/>
      </c>
      <c r="AW26" s="68" t="str">
        <v/>
      </c>
      <c r="AX26" s="68" t="str">
        <v/>
      </c>
      <c r="AY26" s="72" t="str">
        <v/>
      </c>
      <c r="AZ26" s="67" t="str">
        <v/>
      </c>
      <c r="BA26" s="67" t="str">
        <v/>
      </c>
      <c r="BB26" s="67" t="str">
        <v/>
      </c>
      <c r="BC26" s="70" t="str">
        <v/>
      </c>
      <c r="BD26" s="67" t="str">
        <v/>
      </c>
      <c r="BE26" s="67" t="str">
        <v/>
      </c>
      <c r="BF26" s="67" t="str">
        <v/>
      </c>
      <c r="BG26" s="67" t="str">
        <v/>
      </c>
      <c r="BH26" s="67" t="str">
        <v/>
      </c>
      <c r="BI26" s="46"/>
      <c r="BJ26" s="73"/>
      <c r="BK26" s="64"/>
      <c r="BL26" s="64" t="str">
        <v/>
      </c>
      <c r="BM26" s="64" t="str">
        <v/>
      </c>
      <c r="BN26" s="64" t="str">
        <v/>
      </c>
      <c r="BO26" s="64" t="str">
        <v/>
      </c>
      <c r="BP26" s="64" t="str">
        <v/>
      </c>
      <c r="BQ26" s="64" t="str">
        <v/>
      </c>
      <c r="BR26" s="64" t="str">
        <v/>
      </c>
      <c r="BS26" s="64" t="str">
        <v/>
      </c>
      <c r="BT26" s="74" t="str">
        <v/>
      </c>
      <c r="BU26" s="46"/>
      <c r="BV26" s="65" t="str">
        <v/>
      </c>
      <c r="BW26" s="66" t="str">
        <v/>
      </c>
      <c r="BX26" s="46"/>
    </row>
    <row r="27" spans="1:76">
      <c r="A27" s="43"/>
      <c r="B27" s="81"/>
      <c r="C27" s="45"/>
      <c r="D27" s="45"/>
      <c r="E27" s="45"/>
      <c r="F27" s="46"/>
      <c r="G27" s="67" t="str">
        <v/>
      </c>
      <c r="H27" s="67" t="str">
        <v/>
      </c>
      <c r="I27" s="46"/>
      <c r="J27" s="67" t="str">
        <v/>
      </c>
      <c r="K27" s="67" t="str">
        <v/>
      </c>
      <c r="L27" s="67" t="str">
        <v/>
      </c>
      <c r="M27" s="67" t="str">
        <v/>
      </c>
      <c r="N27" s="68" t="str">
        <v/>
      </c>
      <c r="O27" s="67" t="str">
        <v/>
      </c>
      <c r="P27" s="67" t="str">
        <v/>
      </c>
      <c r="Q27" s="67" t="str">
        <v/>
      </c>
      <c r="R27" s="67" t="str">
        <v/>
      </c>
      <c r="S27" s="67" t="str">
        <v/>
      </c>
      <c r="T27" s="49"/>
      <c r="U27" s="50"/>
      <c r="V27" s="50"/>
      <c r="W27" s="51"/>
      <c r="X27" s="50"/>
      <c r="Y27" s="50"/>
      <c r="Z27" s="50"/>
      <c r="AA27" s="50"/>
      <c r="AB27" s="51"/>
      <c r="AC27" s="68" t="str">
        <v/>
      </c>
      <c r="AD27" s="68" t="str">
        <v/>
      </c>
      <c r="AE27" s="68" t="str">
        <v/>
      </c>
      <c r="AF27" s="68" t="str">
        <v/>
      </c>
      <c r="AG27" s="69" t="str">
        <v/>
      </c>
      <c r="AH27" s="67" t="str">
        <v/>
      </c>
      <c r="AI27" s="67" t="str">
        <v/>
      </c>
      <c r="AJ27" s="70" t="str">
        <v/>
      </c>
      <c r="AK27" s="67" t="str">
        <v/>
      </c>
      <c r="AL27" s="67" t="str">
        <v/>
      </c>
      <c r="AM27" s="67" t="str">
        <v/>
      </c>
      <c r="AN27" s="67" t="str">
        <v/>
      </c>
      <c r="AO27" s="67" t="str">
        <v/>
      </c>
      <c r="AP27" s="46"/>
      <c r="AQ27" s="82"/>
      <c r="AR27" s="80"/>
      <c r="AS27" s="80" t="str">
        <v/>
      </c>
      <c r="AT27" s="78" t="str">
        <v/>
      </c>
      <c r="AU27" s="79"/>
      <c r="AV27" s="71" t="str">
        <v/>
      </c>
      <c r="AW27" s="68" t="str">
        <v/>
      </c>
      <c r="AX27" s="68" t="str">
        <v/>
      </c>
      <c r="AY27" s="72" t="str">
        <v/>
      </c>
      <c r="AZ27" s="67" t="str">
        <v/>
      </c>
      <c r="BA27" s="67" t="str">
        <v/>
      </c>
      <c r="BB27" s="67" t="str">
        <v/>
      </c>
      <c r="BC27" s="70" t="str">
        <v/>
      </c>
      <c r="BD27" s="67" t="str">
        <v/>
      </c>
      <c r="BE27" s="67" t="str">
        <v/>
      </c>
      <c r="BF27" s="67" t="str">
        <v/>
      </c>
      <c r="BG27" s="67" t="str">
        <v/>
      </c>
      <c r="BH27" s="67" t="str">
        <v/>
      </c>
      <c r="BI27" s="46"/>
      <c r="BJ27" s="73"/>
      <c r="BK27" s="64"/>
      <c r="BL27" s="64" t="str">
        <v/>
      </c>
      <c r="BM27" s="64" t="str">
        <v/>
      </c>
      <c r="BN27" s="64" t="str">
        <v/>
      </c>
      <c r="BO27" s="64" t="str">
        <v/>
      </c>
      <c r="BP27" s="64" t="str">
        <v/>
      </c>
      <c r="BQ27" s="64" t="str">
        <v/>
      </c>
      <c r="BR27" s="64" t="str">
        <v/>
      </c>
      <c r="BS27" s="64" t="str">
        <v/>
      </c>
      <c r="BT27" s="74" t="str">
        <v/>
      </c>
      <c r="BU27" s="46"/>
      <c r="BV27" s="65" t="str">
        <v/>
      </c>
      <c r="BW27" s="66" t="str">
        <v/>
      </c>
      <c r="BX27" s="46"/>
    </row>
    <row r="28" spans="1:76">
      <c r="A28" s="43"/>
      <c r="B28" s="81"/>
      <c r="C28" s="45"/>
      <c r="D28" s="45"/>
      <c r="E28" s="45"/>
      <c r="F28" s="46"/>
      <c r="G28" s="67" t="str">
        <v/>
      </c>
      <c r="H28" s="67" t="str">
        <v/>
      </c>
      <c r="I28" s="46"/>
      <c r="J28" s="67" t="str">
        <v/>
      </c>
      <c r="K28" s="67" t="str">
        <v/>
      </c>
      <c r="L28" s="67" t="str">
        <v/>
      </c>
      <c r="M28" s="67" t="str">
        <v/>
      </c>
      <c r="N28" s="68" t="str">
        <v/>
      </c>
      <c r="O28" s="67" t="str">
        <v/>
      </c>
      <c r="P28" s="67" t="str">
        <v/>
      </c>
      <c r="Q28" s="67" t="str">
        <v/>
      </c>
      <c r="R28" s="67" t="str">
        <v/>
      </c>
      <c r="S28" s="67" t="str">
        <v/>
      </c>
      <c r="T28" s="49"/>
      <c r="U28" s="50"/>
      <c r="V28" s="50"/>
      <c r="W28" s="51"/>
      <c r="X28" s="50"/>
      <c r="Y28" s="50"/>
      <c r="Z28" s="50"/>
      <c r="AA28" s="50"/>
      <c r="AB28" s="51"/>
      <c r="AC28" s="68" t="str">
        <v/>
      </c>
      <c r="AD28" s="68" t="str">
        <v/>
      </c>
      <c r="AE28" s="68" t="str">
        <v/>
      </c>
      <c r="AF28" s="68" t="str">
        <v/>
      </c>
      <c r="AG28" s="69" t="str">
        <v/>
      </c>
      <c r="AH28" s="67" t="str">
        <v/>
      </c>
      <c r="AI28" s="67" t="str">
        <v/>
      </c>
      <c r="AJ28" s="70" t="str">
        <v/>
      </c>
      <c r="AK28" s="67" t="str">
        <v/>
      </c>
      <c r="AL28" s="67" t="str">
        <v/>
      </c>
      <c r="AM28" s="67" t="str">
        <v/>
      </c>
      <c r="AN28" s="67" t="str">
        <v/>
      </c>
      <c r="AO28" s="67" t="str">
        <v/>
      </c>
      <c r="AP28" s="46"/>
      <c r="AQ28" s="82"/>
      <c r="AR28" s="80"/>
      <c r="AS28" s="80" t="str">
        <v/>
      </c>
      <c r="AT28" s="78" t="str">
        <v/>
      </c>
      <c r="AU28" s="79"/>
      <c r="AV28" s="71" t="str">
        <v/>
      </c>
      <c r="AW28" s="68" t="str">
        <v/>
      </c>
      <c r="AX28" s="68" t="str">
        <v/>
      </c>
      <c r="AY28" s="72" t="str">
        <v/>
      </c>
      <c r="AZ28" s="67" t="str">
        <v/>
      </c>
      <c r="BA28" s="67" t="str">
        <v/>
      </c>
      <c r="BB28" s="67" t="str">
        <v/>
      </c>
      <c r="BC28" s="70" t="str">
        <v/>
      </c>
      <c r="BD28" s="67" t="str">
        <v/>
      </c>
      <c r="BE28" s="67" t="str">
        <v/>
      </c>
      <c r="BF28" s="67" t="str">
        <v/>
      </c>
      <c r="BG28" s="67" t="str">
        <v/>
      </c>
      <c r="BH28" s="67" t="str">
        <v/>
      </c>
      <c r="BI28" s="46"/>
      <c r="BJ28" s="73"/>
      <c r="BK28" s="64"/>
      <c r="BL28" s="64" t="str">
        <v/>
      </c>
      <c r="BM28" s="64" t="str">
        <v/>
      </c>
      <c r="BN28" s="64" t="str">
        <v/>
      </c>
      <c r="BO28" s="64" t="str">
        <v/>
      </c>
      <c r="BP28" s="64" t="str">
        <v/>
      </c>
      <c r="BQ28" s="64" t="str">
        <v/>
      </c>
      <c r="BR28" s="64" t="str">
        <v/>
      </c>
      <c r="BS28" s="64" t="str">
        <v/>
      </c>
      <c r="BT28" s="74" t="str">
        <v/>
      </c>
      <c r="BU28" s="46"/>
      <c r="BV28" s="65" t="str">
        <v/>
      </c>
      <c r="BW28" s="66" t="str">
        <v/>
      </c>
      <c r="BX28" s="46"/>
    </row>
    <row r="29" spans="1:76">
      <c r="A29" s="43"/>
      <c r="B29" s="81"/>
      <c r="C29" s="45"/>
      <c r="D29" s="45"/>
      <c r="E29" s="45"/>
      <c r="F29" s="46"/>
      <c r="G29" s="67" t="str">
        <v/>
      </c>
      <c r="H29" s="67" t="str">
        <v/>
      </c>
      <c r="I29" s="46"/>
      <c r="J29" s="67" t="str">
        <v/>
      </c>
      <c r="K29" s="67" t="str">
        <v/>
      </c>
      <c r="L29" s="67" t="str">
        <v/>
      </c>
      <c r="M29" s="67" t="str">
        <v/>
      </c>
      <c r="N29" s="68" t="str">
        <v/>
      </c>
      <c r="O29" s="67" t="str">
        <v/>
      </c>
      <c r="P29" s="67" t="str">
        <v/>
      </c>
      <c r="Q29" s="67" t="str">
        <v/>
      </c>
      <c r="R29" s="67" t="str">
        <v/>
      </c>
      <c r="S29" s="67" t="str">
        <v/>
      </c>
      <c r="T29" s="49"/>
      <c r="U29" s="50"/>
      <c r="V29" s="50"/>
      <c r="W29" s="51"/>
      <c r="X29" s="50"/>
      <c r="Y29" s="50"/>
      <c r="Z29" s="50"/>
      <c r="AA29" s="50"/>
      <c r="AB29" s="51"/>
      <c r="AC29" s="68" t="str">
        <v/>
      </c>
      <c r="AD29" s="68" t="str">
        <v/>
      </c>
      <c r="AE29" s="68" t="str">
        <v/>
      </c>
      <c r="AF29" s="68" t="str">
        <v/>
      </c>
      <c r="AG29" s="69" t="str">
        <v/>
      </c>
      <c r="AH29" s="67" t="str">
        <v/>
      </c>
      <c r="AI29" s="67" t="str">
        <v/>
      </c>
      <c r="AJ29" s="70" t="str">
        <v/>
      </c>
      <c r="AK29" s="67" t="str">
        <v/>
      </c>
      <c r="AL29" s="67" t="str">
        <v/>
      </c>
      <c r="AM29" s="67" t="str">
        <v/>
      </c>
      <c r="AN29" s="67" t="str">
        <v/>
      </c>
      <c r="AO29" s="67" t="str">
        <v/>
      </c>
      <c r="AP29" s="46"/>
      <c r="AQ29" s="82"/>
      <c r="AR29" s="80"/>
      <c r="AS29" s="80" t="str">
        <v/>
      </c>
      <c r="AT29" s="78" t="str">
        <v/>
      </c>
      <c r="AU29" s="79"/>
      <c r="AV29" s="71" t="str">
        <v/>
      </c>
      <c r="AW29" s="68" t="str">
        <v/>
      </c>
      <c r="AX29" s="68" t="str">
        <v/>
      </c>
      <c r="AY29" s="72" t="str">
        <v/>
      </c>
      <c r="AZ29" s="67" t="str">
        <v/>
      </c>
      <c r="BA29" s="67" t="str">
        <v/>
      </c>
      <c r="BB29" s="67" t="str">
        <v/>
      </c>
      <c r="BC29" s="70" t="str">
        <v/>
      </c>
      <c r="BD29" s="67" t="str">
        <v/>
      </c>
      <c r="BE29" s="67" t="str">
        <v/>
      </c>
      <c r="BF29" s="67" t="str">
        <v/>
      </c>
      <c r="BG29" s="67" t="str">
        <v/>
      </c>
      <c r="BH29" s="67" t="str">
        <v/>
      </c>
      <c r="BI29" s="46"/>
      <c r="BJ29" s="73"/>
      <c r="BK29" s="64"/>
      <c r="BL29" s="64" t="str">
        <v/>
      </c>
      <c r="BM29" s="64" t="str">
        <v/>
      </c>
      <c r="BN29" s="64" t="str">
        <v/>
      </c>
      <c r="BO29" s="64" t="str">
        <v/>
      </c>
      <c r="BP29" s="64" t="str">
        <v/>
      </c>
      <c r="BQ29" s="64" t="str">
        <v/>
      </c>
      <c r="BR29" s="64" t="str">
        <v/>
      </c>
      <c r="BS29" s="64" t="str">
        <v/>
      </c>
      <c r="BT29" s="74" t="str">
        <v/>
      </c>
      <c r="BU29" s="46"/>
      <c r="BV29" s="65" t="str">
        <v/>
      </c>
      <c r="BW29" s="66" t="str">
        <v/>
      </c>
      <c r="BX29" s="46"/>
    </row>
    <row r="30" spans="1:76">
      <c r="A30" s="43"/>
      <c r="B30" s="81"/>
      <c r="C30" s="45"/>
      <c r="D30" s="45"/>
      <c r="E30" s="45"/>
      <c r="F30" s="46"/>
      <c r="G30" s="67" t="str">
        <v/>
      </c>
      <c r="H30" s="67" t="str">
        <v/>
      </c>
      <c r="I30" s="46"/>
      <c r="J30" s="67" t="str">
        <v/>
      </c>
      <c r="K30" s="67" t="str">
        <v/>
      </c>
      <c r="L30" s="67" t="str">
        <v/>
      </c>
      <c r="M30" s="67" t="str">
        <v/>
      </c>
      <c r="N30" s="68" t="str">
        <v/>
      </c>
      <c r="O30" s="67" t="str">
        <v/>
      </c>
      <c r="P30" s="67" t="str">
        <v/>
      </c>
      <c r="Q30" s="67" t="str">
        <v/>
      </c>
      <c r="R30" s="67" t="str">
        <v/>
      </c>
      <c r="S30" s="67" t="str">
        <v/>
      </c>
      <c r="T30" s="49"/>
      <c r="U30" s="50"/>
      <c r="V30" s="50"/>
      <c r="W30" s="51"/>
      <c r="X30" s="50"/>
      <c r="Y30" s="50"/>
      <c r="Z30" s="50"/>
      <c r="AA30" s="50"/>
      <c r="AB30" s="51"/>
      <c r="AC30" s="68" t="str">
        <v/>
      </c>
      <c r="AD30" s="68" t="str">
        <v/>
      </c>
      <c r="AE30" s="68" t="str">
        <v/>
      </c>
      <c r="AF30" s="68" t="str">
        <v/>
      </c>
      <c r="AG30" s="69" t="str">
        <v/>
      </c>
      <c r="AH30" s="67" t="str">
        <v/>
      </c>
      <c r="AI30" s="67" t="str">
        <v/>
      </c>
      <c r="AJ30" s="70" t="str">
        <v/>
      </c>
      <c r="AK30" s="67" t="str">
        <v/>
      </c>
      <c r="AL30" s="67" t="str">
        <v/>
      </c>
      <c r="AM30" s="67" t="str">
        <v/>
      </c>
      <c r="AN30" s="67" t="str">
        <v/>
      </c>
      <c r="AO30" s="67" t="str">
        <v/>
      </c>
      <c r="AP30" s="46"/>
      <c r="AQ30" s="82"/>
      <c r="AR30" s="80"/>
      <c r="AS30" s="80" t="str">
        <v/>
      </c>
      <c r="AT30" s="78" t="str">
        <v/>
      </c>
      <c r="AU30" s="79"/>
      <c r="AV30" s="71" t="str">
        <v/>
      </c>
      <c r="AW30" s="68" t="str">
        <v/>
      </c>
      <c r="AX30" s="68" t="str">
        <v/>
      </c>
      <c r="AY30" s="72" t="str">
        <v/>
      </c>
      <c r="AZ30" s="67" t="str">
        <v/>
      </c>
      <c r="BA30" s="67" t="str">
        <v/>
      </c>
      <c r="BB30" s="67" t="str">
        <v/>
      </c>
      <c r="BC30" s="70" t="str">
        <v/>
      </c>
      <c r="BD30" s="67" t="str">
        <v/>
      </c>
      <c r="BE30" s="67" t="str">
        <v/>
      </c>
      <c r="BF30" s="67" t="str">
        <v/>
      </c>
      <c r="BG30" s="67" t="str">
        <v/>
      </c>
      <c r="BH30" s="67" t="str">
        <v/>
      </c>
      <c r="BI30" s="46"/>
      <c r="BJ30" s="73"/>
      <c r="BK30" s="64"/>
      <c r="BL30" s="64" t="str">
        <v/>
      </c>
      <c r="BM30" s="64" t="str">
        <v/>
      </c>
      <c r="BN30" s="64" t="str">
        <v/>
      </c>
      <c r="BO30" s="64" t="str">
        <v/>
      </c>
      <c r="BP30" s="64" t="str">
        <v/>
      </c>
      <c r="BQ30" s="64" t="str">
        <v/>
      </c>
      <c r="BR30" s="64" t="str">
        <v/>
      </c>
      <c r="BS30" s="64" t="str">
        <v/>
      </c>
      <c r="BT30" s="74" t="str">
        <v/>
      </c>
      <c r="BU30" s="46"/>
      <c r="BV30" s="65" t="str">
        <v/>
      </c>
      <c r="BW30" s="66" t="str">
        <v/>
      </c>
      <c r="BX30" s="46"/>
    </row>
    <row r="31" spans="1:76">
      <c r="A31" s="43"/>
      <c r="B31" s="81"/>
      <c r="C31" s="45"/>
      <c r="D31" s="45"/>
      <c r="E31" s="45"/>
      <c r="F31" s="46"/>
      <c r="G31" s="67" t="str">
        <v/>
      </c>
      <c r="H31" s="67" t="str">
        <v/>
      </c>
      <c r="I31" s="46"/>
      <c r="J31" s="67" t="str">
        <v/>
      </c>
      <c r="K31" s="67" t="str">
        <v/>
      </c>
      <c r="L31" s="67" t="str">
        <v/>
      </c>
      <c r="M31" s="67" t="str">
        <v/>
      </c>
      <c r="N31" s="68" t="str">
        <v/>
      </c>
      <c r="O31" s="67" t="str">
        <v/>
      </c>
      <c r="P31" s="67" t="str">
        <v/>
      </c>
      <c r="Q31" s="67" t="str">
        <v/>
      </c>
      <c r="R31" s="67" t="str">
        <v/>
      </c>
      <c r="S31" s="67" t="str">
        <v/>
      </c>
      <c r="T31" s="49"/>
      <c r="U31" s="50"/>
      <c r="V31" s="50"/>
      <c r="W31" s="51"/>
      <c r="X31" s="50"/>
      <c r="Y31" s="50"/>
      <c r="Z31" s="50"/>
      <c r="AA31" s="50"/>
      <c r="AB31" s="51"/>
      <c r="AC31" s="68" t="str">
        <v/>
      </c>
      <c r="AD31" s="68" t="str">
        <v/>
      </c>
      <c r="AE31" s="68" t="str">
        <v/>
      </c>
      <c r="AF31" s="68" t="str">
        <v/>
      </c>
      <c r="AG31" s="69" t="str">
        <v/>
      </c>
      <c r="AH31" s="67" t="str">
        <v/>
      </c>
      <c r="AI31" s="67" t="str">
        <v/>
      </c>
      <c r="AJ31" s="70" t="str">
        <v/>
      </c>
      <c r="AK31" s="67" t="str">
        <v/>
      </c>
      <c r="AL31" s="67" t="str">
        <v/>
      </c>
      <c r="AM31" s="67" t="str">
        <v/>
      </c>
      <c r="AN31" s="67" t="str">
        <v/>
      </c>
      <c r="AO31" s="67" t="str">
        <v/>
      </c>
      <c r="AP31" s="46"/>
      <c r="AQ31" s="82"/>
      <c r="AR31" s="80"/>
      <c r="AS31" s="80" t="str">
        <v/>
      </c>
      <c r="AT31" s="78" t="str">
        <v/>
      </c>
      <c r="AU31" s="79"/>
      <c r="AV31" s="71" t="str">
        <v/>
      </c>
      <c r="AW31" s="68" t="str">
        <v/>
      </c>
      <c r="AX31" s="68" t="str">
        <v/>
      </c>
      <c r="AY31" s="72" t="str">
        <v/>
      </c>
      <c r="AZ31" s="67" t="str">
        <v/>
      </c>
      <c r="BA31" s="67" t="str">
        <v/>
      </c>
      <c r="BB31" s="67" t="str">
        <v/>
      </c>
      <c r="BC31" s="70" t="str">
        <v/>
      </c>
      <c r="BD31" s="67" t="str">
        <v/>
      </c>
      <c r="BE31" s="67" t="str">
        <v/>
      </c>
      <c r="BF31" s="67" t="str">
        <v/>
      </c>
      <c r="BG31" s="67" t="str">
        <v/>
      </c>
      <c r="BH31" s="67" t="str">
        <v/>
      </c>
      <c r="BI31" s="46"/>
      <c r="BJ31" s="73"/>
      <c r="BK31" s="64"/>
      <c r="BL31" s="64" t="str">
        <v/>
      </c>
      <c r="BM31" s="64" t="str">
        <v/>
      </c>
      <c r="BN31" s="64" t="str">
        <v/>
      </c>
      <c r="BO31" s="64" t="str">
        <v/>
      </c>
      <c r="BP31" s="64" t="str">
        <v/>
      </c>
      <c r="BQ31" s="64" t="str">
        <v/>
      </c>
      <c r="BR31" s="64" t="str">
        <v/>
      </c>
      <c r="BS31" s="64" t="str">
        <v/>
      </c>
      <c r="BT31" s="74" t="str">
        <v/>
      </c>
      <c r="BU31" s="46"/>
      <c r="BV31" s="65" t="str">
        <v/>
      </c>
      <c r="BW31" s="66" t="str">
        <v/>
      </c>
      <c r="BX31" s="46"/>
    </row>
    <row r="32" spans="1:76">
      <c r="A32" s="43"/>
      <c r="B32" s="81"/>
      <c r="C32" s="45"/>
      <c r="D32" s="45"/>
      <c r="E32" s="45"/>
      <c r="F32" s="46"/>
      <c r="G32" s="67" t="str">
        <v/>
      </c>
      <c r="H32" s="67" t="str">
        <v/>
      </c>
      <c r="I32" s="46"/>
      <c r="J32" s="67" t="str">
        <v/>
      </c>
      <c r="K32" s="67" t="str">
        <v/>
      </c>
      <c r="L32" s="67" t="str">
        <v/>
      </c>
      <c r="M32" s="67" t="str">
        <v/>
      </c>
      <c r="N32" s="68" t="str">
        <v/>
      </c>
      <c r="O32" s="67" t="str">
        <v/>
      </c>
      <c r="P32" s="67" t="str">
        <v/>
      </c>
      <c r="Q32" s="67" t="str">
        <v/>
      </c>
      <c r="R32" s="67" t="str">
        <v/>
      </c>
      <c r="S32" s="67" t="str">
        <v/>
      </c>
      <c r="T32" s="49"/>
      <c r="U32" s="50"/>
      <c r="V32" s="50"/>
      <c r="W32" s="51"/>
      <c r="X32" s="50"/>
      <c r="Y32" s="50"/>
      <c r="Z32" s="50"/>
      <c r="AA32" s="50"/>
      <c r="AB32" s="51"/>
      <c r="AC32" s="68" t="str">
        <v/>
      </c>
      <c r="AD32" s="68" t="str">
        <v/>
      </c>
      <c r="AE32" s="68" t="str">
        <v/>
      </c>
      <c r="AF32" s="68" t="str">
        <v/>
      </c>
      <c r="AG32" s="69" t="str">
        <v/>
      </c>
      <c r="AH32" s="67" t="str">
        <v/>
      </c>
      <c r="AI32" s="67" t="str">
        <v/>
      </c>
      <c r="AJ32" s="70" t="str">
        <v/>
      </c>
      <c r="AK32" s="67" t="str">
        <v/>
      </c>
      <c r="AL32" s="67" t="str">
        <v/>
      </c>
      <c r="AM32" s="67" t="str">
        <v/>
      </c>
      <c r="AN32" s="67" t="str">
        <v/>
      </c>
      <c r="AO32" s="67" t="str">
        <v/>
      </c>
      <c r="AP32" s="46"/>
      <c r="AQ32" s="82"/>
      <c r="AR32" s="80"/>
      <c r="AS32" s="80" t="str">
        <v/>
      </c>
      <c r="AT32" s="78" t="str">
        <v/>
      </c>
      <c r="AU32" s="79"/>
      <c r="AV32" s="71" t="str">
        <v/>
      </c>
      <c r="AW32" s="68" t="str">
        <v/>
      </c>
      <c r="AX32" s="68" t="str">
        <v/>
      </c>
      <c r="AY32" s="72" t="str">
        <v/>
      </c>
      <c r="AZ32" s="67" t="str">
        <v/>
      </c>
      <c r="BA32" s="67" t="str">
        <v/>
      </c>
      <c r="BB32" s="67" t="str">
        <v/>
      </c>
      <c r="BC32" s="70" t="str">
        <v/>
      </c>
      <c r="BD32" s="67" t="str">
        <v/>
      </c>
      <c r="BE32" s="67" t="str">
        <v/>
      </c>
      <c r="BF32" s="67" t="str">
        <v/>
      </c>
      <c r="BG32" s="67" t="str">
        <v/>
      </c>
      <c r="BH32" s="67" t="str">
        <v/>
      </c>
      <c r="BI32" s="46"/>
      <c r="BJ32" s="73"/>
      <c r="BK32" s="64"/>
      <c r="BL32" s="64" t="str">
        <v/>
      </c>
      <c r="BM32" s="64" t="str">
        <v/>
      </c>
      <c r="BN32" s="64" t="str">
        <v/>
      </c>
      <c r="BO32" s="64" t="str">
        <v/>
      </c>
      <c r="BP32" s="64" t="str">
        <v/>
      </c>
      <c r="BQ32" s="64" t="str">
        <v/>
      </c>
      <c r="BR32" s="64" t="str">
        <v/>
      </c>
      <c r="BS32" s="64" t="str">
        <v/>
      </c>
      <c r="BT32" s="74" t="str">
        <v/>
      </c>
      <c r="BU32" s="46"/>
      <c r="BV32" s="65" t="str">
        <v/>
      </c>
      <c r="BW32" s="66" t="str">
        <v/>
      </c>
      <c r="BX32" s="46"/>
    </row>
    <row r="33" spans="1:76">
      <c r="A33" s="43"/>
      <c r="B33" s="81"/>
      <c r="C33" s="45"/>
      <c r="D33" s="45"/>
      <c r="E33" s="45"/>
      <c r="F33" s="46"/>
      <c r="G33" s="67" t="str">
        <v/>
      </c>
      <c r="H33" s="67" t="str">
        <v/>
      </c>
      <c r="I33" s="46"/>
      <c r="J33" s="67" t="str">
        <v/>
      </c>
      <c r="K33" s="67" t="str">
        <v/>
      </c>
      <c r="L33" s="67" t="str">
        <v/>
      </c>
      <c r="M33" s="67" t="str">
        <v/>
      </c>
      <c r="N33" s="68" t="str">
        <v/>
      </c>
      <c r="O33" s="67" t="str">
        <v/>
      </c>
      <c r="P33" s="67" t="str">
        <v/>
      </c>
      <c r="Q33" s="67" t="str">
        <v/>
      </c>
      <c r="R33" s="67" t="str">
        <v/>
      </c>
      <c r="S33" s="67" t="str">
        <v/>
      </c>
      <c r="T33" s="49"/>
      <c r="U33" s="50"/>
      <c r="V33" s="50"/>
      <c r="W33" s="51"/>
      <c r="X33" s="50"/>
      <c r="Y33" s="50"/>
      <c r="Z33" s="50"/>
      <c r="AA33" s="50"/>
      <c r="AB33" s="51"/>
      <c r="AC33" s="68" t="str">
        <v/>
      </c>
      <c r="AD33" s="68" t="str">
        <v/>
      </c>
      <c r="AE33" s="68" t="str">
        <v/>
      </c>
      <c r="AF33" s="68" t="str">
        <v/>
      </c>
      <c r="AG33" s="69" t="str">
        <v/>
      </c>
      <c r="AH33" s="67" t="str">
        <v/>
      </c>
      <c r="AI33" s="67" t="str">
        <v/>
      </c>
      <c r="AJ33" s="70" t="str">
        <v/>
      </c>
      <c r="AK33" s="67" t="str">
        <v/>
      </c>
      <c r="AL33" s="67" t="str">
        <v/>
      </c>
      <c r="AM33" s="67" t="str">
        <v/>
      </c>
      <c r="AN33" s="67" t="str">
        <v/>
      </c>
      <c r="AO33" s="67" t="str">
        <v/>
      </c>
      <c r="AP33" s="46"/>
      <c r="AQ33" s="82"/>
      <c r="AR33" s="80"/>
      <c r="AS33" s="80" t="str">
        <v/>
      </c>
      <c r="AT33" s="78" t="str">
        <v/>
      </c>
      <c r="AU33" s="79"/>
      <c r="AV33" s="71" t="str">
        <v/>
      </c>
      <c r="AW33" s="68" t="str">
        <v/>
      </c>
      <c r="AX33" s="68" t="str">
        <v/>
      </c>
      <c r="AY33" s="72" t="str">
        <v/>
      </c>
      <c r="AZ33" s="67" t="str">
        <v/>
      </c>
      <c r="BA33" s="67" t="str">
        <v/>
      </c>
      <c r="BB33" s="67" t="str">
        <v/>
      </c>
      <c r="BC33" s="70" t="str">
        <v/>
      </c>
      <c r="BD33" s="67" t="str">
        <v/>
      </c>
      <c r="BE33" s="67" t="str">
        <v/>
      </c>
      <c r="BF33" s="67" t="str">
        <v/>
      </c>
      <c r="BG33" s="67" t="str">
        <v/>
      </c>
      <c r="BH33" s="67" t="str">
        <v/>
      </c>
      <c r="BI33" s="46"/>
      <c r="BJ33" s="73"/>
      <c r="BK33" s="64"/>
      <c r="BL33" s="64" t="str">
        <v/>
      </c>
      <c r="BM33" s="64" t="str">
        <v/>
      </c>
      <c r="BN33" s="64" t="str">
        <v/>
      </c>
      <c r="BO33" s="64" t="str">
        <v/>
      </c>
      <c r="BP33" s="64" t="str">
        <v/>
      </c>
      <c r="BQ33" s="64" t="str">
        <v/>
      </c>
      <c r="BR33" s="64" t="str">
        <v/>
      </c>
      <c r="BS33" s="64" t="str">
        <v/>
      </c>
      <c r="BT33" s="74" t="str">
        <v/>
      </c>
      <c r="BU33" s="46"/>
      <c r="BV33" s="65" t="str">
        <v/>
      </c>
      <c r="BW33" s="66" t="str">
        <v/>
      </c>
      <c r="BX33" s="46"/>
    </row>
    <row r="34" spans="1:76">
      <c r="A34" s="43"/>
      <c r="B34" s="81"/>
      <c r="C34" s="45"/>
      <c r="D34" s="45"/>
      <c r="E34" s="45"/>
      <c r="F34" s="46"/>
      <c r="G34" s="67" t="str">
        <v/>
      </c>
      <c r="H34" s="67" t="str">
        <v/>
      </c>
      <c r="I34" s="46"/>
      <c r="J34" s="67" t="str">
        <v/>
      </c>
      <c r="K34" s="67" t="str">
        <v/>
      </c>
      <c r="L34" s="67" t="str">
        <v/>
      </c>
      <c r="M34" s="67" t="str">
        <v/>
      </c>
      <c r="N34" s="68" t="str">
        <v/>
      </c>
      <c r="O34" s="67" t="str">
        <v/>
      </c>
      <c r="P34" s="67" t="str">
        <v/>
      </c>
      <c r="Q34" s="67" t="str">
        <v/>
      </c>
      <c r="R34" s="67" t="str">
        <v/>
      </c>
      <c r="S34" s="67" t="str">
        <v/>
      </c>
      <c r="T34" s="49"/>
      <c r="U34" s="50"/>
      <c r="V34" s="50"/>
      <c r="W34" s="51"/>
      <c r="X34" s="50"/>
      <c r="Y34" s="50"/>
      <c r="Z34" s="50"/>
      <c r="AA34" s="50"/>
      <c r="AB34" s="51"/>
      <c r="AC34" s="68" t="str">
        <v/>
      </c>
      <c r="AD34" s="68" t="str">
        <v/>
      </c>
      <c r="AE34" s="68" t="str">
        <v/>
      </c>
      <c r="AF34" s="68" t="str">
        <v/>
      </c>
      <c r="AG34" s="69" t="str">
        <v/>
      </c>
      <c r="AH34" s="67" t="str">
        <v/>
      </c>
      <c r="AI34" s="67" t="str">
        <v/>
      </c>
      <c r="AJ34" s="70" t="str">
        <v/>
      </c>
      <c r="AK34" s="67" t="str">
        <v/>
      </c>
      <c r="AL34" s="67" t="str">
        <v/>
      </c>
      <c r="AM34" s="67" t="str">
        <v/>
      </c>
      <c r="AN34" s="67" t="str">
        <v/>
      </c>
      <c r="AO34" s="67" t="str">
        <v/>
      </c>
      <c r="AP34" s="46"/>
      <c r="AQ34" s="82"/>
      <c r="AR34" s="80"/>
      <c r="AS34" s="80" t="str">
        <v/>
      </c>
      <c r="AT34" s="78" t="str">
        <v/>
      </c>
      <c r="AU34" s="79"/>
      <c r="AV34" s="71" t="str">
        <v/>
      </c>
      <c r="AW34" s="68" t="str">
        <v/>
      </c>
      <c r="AX34" s="68" t="str">
        <v/>
      </c>
      <c r="AY34" s="72" t="str">
        <v/>
      </c>
      <c r="AZ34" s="67" t="str">
        <v/>
      </c>
      <c r="BA34" s="67" t="str">
        <v/>
      </c>
      <c r="BB34" s="67" t="str">
        <v/>
      </c>
      <c r="BC34" s="70" t="str">
        <v/>
      </c>
      <c r="BD34" s="67" t="str">
        <v/>
      </c>
      <c r="BE34" s="67" t="str">
        <v/>
      </c>
      <c r="BF34" s="67" t="str">
        <v/>
      </c>
      <c r="BG34" s="67" t="str">
        <v/>
      </c>
      <c r="BH34" s="67" t="str">
        <v/>
      </c>
      <c r="BI34" s="46"/>
      <c r="BJ34" s="73"/>
      <c r="BK34" s="64"/>
      <c r="BL34" s="64" t="str">
        <v/>
      </c>
      <c r="BM34" s="64" t="str">
        <v/>
      </c>
      <c r="BN34" s="64" t="str">
        <v/>
      </c>
      <c r="BO34" s="64" t="str">
        <v/>
      </c>
      <c r="BP34" s="64" t="str">
        <v/>
      </c>
      <c r="BQ34" s="64" t="str">
        <v/>
      </c>
      <c r="BR34" s="64" t="str">
        <v/>
      </c>
      <c r="BS34" s="64" t="str">
        <v/>
      </c>
      <c r="BT34" s="74" t="str">
        <v/>
      </c>
      <c r="BU34" s="46"/>
      <c r="BV34" s="65" t="str">
        <v/>
      </c>
      <c r="BW34" s="66" t="str">
        <v/>
      </c>
      <c r="BX34" s="46"/>
    </row>
    <row r="35" spans="1:76">
      <c r="A35" s="43"/>
      <c r="B35" s="81"/>
      <c r="C35" s="45"/>
      <c r="D35" s="45"/>
      <c r="E35" s="45"/>
      <c r="F35" s="46"/>
      <c r="G35" s="67" t="str">
        <v/>
      </c>
      <c r="H35" s="67" t="str">
        <v/>
      </c>
      <c r="I35" s="46"/>
      <c r="J35" s="67" t="str">
        <v/>
      </c>
      <c r="K35" s="67" t="str">
        <v/>
      </c>
      <c r="L35" s="67" t="str">
        <v/>
      </c>
      <c r="M35" s="67" t="str">
        <v/>
      </c>
      <c r="N35" s="68" t="str">
        <v/>
      </c>
      <c r="O35" s="67" t="str">
        <v/>
      </c>
      <c r="P35" s="67" t="str">
        <v/>
      </c>
      <c r="Q35" s="67" t="str">
        <v/>
      </c>
      <c r="R35" s="67" t="str">
        <v/>
      </c>
      <c r="S35" s="67" t="str">
        <v/>
      </c>
      <c r="T35" s="49"/>
      <c r="U35" s="50"/>
      <c r="V35" s="50"/>
      <c r="W35" s="51"/>
      <c r="X35" s="50"/>
      <c r="Y35" s="50"/>
      <c r="Z35" s="50"/>
      <c r="AA35" s="50"/>
      <c r="AB35" s="51"/>
      <c r="AC35" s="68" t="str">
        <v/>
      </c>
      <c r="AD35" s="68" t="str">
        <v/>
      </c>
      <c r="AE35" s="68" t="str">
        <v/>
      </c>
      <c r="AF35" s="68" t="str">
        <v/>
      </c>
      <c r="AG35" s="69" t="str">
        <v/>
      </c>
      <c r="AH35" s="67" t="str">
        <v/>
      </c>
      <c r="AI35" s="67" t="str">
        <v/>
      </c>
      <c r="AJ35" s="70" t="str">
        <v/>
      </c>
      <c r="AK35" s="67" t="str">
        <v/>
      </c>
      <c r="AL35" s="67" t="str">
        <v/>
      </c>
      <c r="AM35" s="67" t="str">
        <v/>
      </c>
      <c r="AN35" s="67" t="str">
        <v/>
      </c>
      <c r="AO35" s="67" t="str">
        <v/>
      </c>
      <c r="AP35" s="46"/>
      <c r="AQ35" s="82"/>
      <c r="AR35" s="80"/>
      <c r="AS35" s="80" t="str">
        <v/>
      </c>
      <c r="AT35" s="78" t="str">
        <v/>
      </c>
      <c r="AU35" s="79"/>
      <c r="AV35" s="71" t="str">
        <v/>
      </c>
      <c r="AW35" s="68" t="str">
        <v/>
      </c>
      <c r="AX35" s="68" t="str">
        <v/>
      </c>
      <c r="AY35" s="72" t="str">
        <v/>
      </c>
      <c r="AZ35" s="67" t="str">
        <v/>
      </c>
      <c r="BA35" s="67" t="str">
        <v/>
      </c>
      <c r="BB35" s="67" t="str">
        <v/>
      </c>
      <c r="BC35" s="70" t="str">
        <v/>
      </c>
      <c r="BD35" s="67" t="str">
        <v/>
      </c>
      <c r="BE35" s="67" t="str">
        <v/>
      </c>
      <c r="BF35" s="67" t="str">
        <v/>
      </c>
      <c r="BG35" s="67" t="str">
        <v/>
      </c>
      <c r="BH35" s="67" t="str">
        <v/>
      </c>
      <c r="BI35" s="46"/>
      <c r="BJ35" s="73"/>
      <c r="BK35" s="64"/>
      <c r="BL35" s="64" t="str">
        <v/>
      </c>
      <c r="BM35" s="64" t="str">
        <v/>
      </c>
      <c r="BN35" s="64" t="str">
        <v/>
      </c>
      <c r="BO35" s="64" t="str">
        <v/>
      </c>
      <c r="BP35" s="64" t="str">
        <v/>
      </c>
      <c r="BQ35" s="64" t="str">
        <v/>
      </c>
      <c r="BR35" s="64" t="str">
        <v/>
      </c>
      <c r="BS35" s="64" t="str">
        <v/>
      </c>
      <c r="BT35" s="74" t="str">
        <v/>
      </c>
      <c r="BU35" s="46"/>
      <c r="BV35" s="65" t="str">
        <v/>
      </c>
      <c r="BW35" s="66" t="str">
        <v/>
      </c>
      <c r="BX35" s="46"/>
    </row>
    <row r="36" spans="1:76">
      <c r="A36" s="43"/>
      <c r="B36" s="81"/>
      <c r="C36" s="45"/>
      <c r="D36" s="45"/>
      <c r="E36" s="45"/>
      <c r="F36" s="46"/>
      <c r="G36" s="67" t="str">
        <v/>
      </c>
      <c r="H36" s="67" t="str">
        <v/>
      </c>
      <c r="I36" s="46"/>
      <c r="J36" s="67" t="str">
        <v/>
      </c>
      <c r="K36" s="67" t="str">
        <v/>
      </c>
      <c r="L36" s="67" t="str">
        <v/>
      </c>
      <c r="M36" s="67" t="str">
        <v/>
      </c>
      <c r="N36" s="68" t="str">
        <v/>
      </c>
      <c r="O36" s="67" t="str">
        <v/>
      </c>
      <c r="P36" s="67" t="str">
        <v/>
      </c>
      <c r="Q36" s="67" t="str">
        <v/>
      </c>
      <c r="R36" s="67" t="str">
        <v/>
      </c>
      <c r="S36" s="67" t="str">
        <v/>
      </c>
      <c r="T36" s="49"/>
      <c r="U36" s="50"/>
      <c r="V36" s="50"/>
      <c r="W36" s="51"/>
      <c r="X36" s="50"/>
      <c r="Y36" s="50"/>
      <c r="Z36" s="50"/>
      <c r="AA36" s="50"/>
      <c r="AB36" s="51"/>
      <c r="AC36" s="68" t="str">
        <v/>
      </c>
      <c r="AD36" s="68" t="str">
        <v/>
      </c>
      <c r="AE36" s="68" t="str">
        <v/>
      </c>
      <c r="AF36" s="68" t="str">
        <v/>
      </c>
      <c r="AG36" s="69" t="str">
        <v/>
      </c>
      <c r="AH36" s="67" t="str">
        <v/>
      </c>
      <c r="AI36" s="67" t="str">
        <v/>
      </c>
      <c r="AJ36" s="70" t="str">
        <v/>
      </c>
      <c r="AK36" s="67" t="str">
        <v/>
      </c>
      <c r="AL36" s="67" t="str">
        <v/>
      </c>
      <c r="AM36" s="67" t="str">
        <v/>
      </c>
      <c r="AN36" s="67" t="str">
        <v/>
      </c>
      <c r="AO36" s="67" t="str">
        <v/>
      </c>
      <c r="AP36" s="46"/>
      <c r="AQ36" s="82"/>
      <c r="AR36" s="80"/>
      <c r="AS36" s="80" t="str">
        <v/>
      </c>
      <c r="AT36" s="78" t="str">
        <v/>
      </c>
      <c r="AU36" s="79"/>
      <c r="AV36" s="71" t="str">
        <v/>
      </c>
      <c r="AW36" s="68" t="str">
        <v/>
      </c>
      <c r="AX36" s="68" t="str">
        <v/>
      </c>
      <c r="AY36" s="72" t="str">
        <v/>
      </c>
      <c r="AZ36" s="67" t="str">
        <v/>
      </c>
      <c r="BA36" s="67" t="str">
        <v/>
      </c>
      <c r="BB36" s="67" t="str">
        <v/>
      </c>
      <c r="BC36" s="70" t="str">
        <v/>
      </c>
      <c r="BD36" s="67" t="str">
        <v/>
      </c>
      <c r="BE36" s="67" t="str">
        <v/>
      </c>
      <c r="BF36" s="67" t="str">
        <v/>
      </c>
      <c r="BG36" s="67" t="str">
        <v/>
      </c>
      <c r="BH36" s="67" t="str">
        <v/>
      </c>
      <c r="BI36" s="46"/>
      <c r="BJ36" s="73"/>
      <c r="BK36" s="64"/>
      <c r="BL36" s="64" t="str">
        <v/>
      </c>
      <c r="BM36" s="64" t="str">
        <v/>
      </c>
      <c r="BN36" s="64" t="str">
        <v/>
      </c>
      <c r="BO36" s="64" t="str">
        <v/>
      </c>
      <c r="BP36" s="64" t="str">
        <v/>
      </c>
      <c r="BQ36" s="64" t="str">
        <v/>
      </c>
      <c r="BR36" s="64" t="str">
        <v/>
      </c>
      <c r="BS36" s="64" t="str">
        <v/>
      </c>
      <c r="BT36" s="74" t="str">
        <v/>
      </c>
      <c r="BU36" s="46"/>
      <c r="BV36" s="65" t="str">
        <v/>
      </c>
      <c r="BW36" s="66" t="str">
        <v/>
      </c>
      <c r="BX36" s="46"/>
    </row>
    <row r="37" spans="1:76">
      <c r="A37" s="43"/>
      <c r="B37" s="81"/>
      <c r="C37" s="45"/>
      <c r="D37" s="45"/>
      <c r="E37" s="45"/>
      <c r="F37" s="46"/>
      <c r="G37" s="67" t="str">
        <v/>
      </c>
      <c r="H37" s="67" t="str">
        <v/>
      </c>
      <c r="I37" s="46"/>
      <c r="J37" s="67" t="str">
        <v/>
      </c>
      <c r="K37" s="67" t="str">
        <v/>
      </c>
      <c r="L37" s="67" t="str">
        <v/>
      </c>
      <c r="M37" s="67" t="str">
        <v/>
      </c>
      <c r="N37" s="68" t="str">
        <v/>
      </c>
      <c r="O37" s="67" t="str">
        <v/>
      </c>
      <c r="P37" s="67" t="str">
        <v/>
      </c>
      <c r="Q37" s="67" t="str">
        <v/>
      </c>
      <c r="R37" s="67" t="str">
        <v/>
      </c>
      <c r="S37" s="67" t="str">
        <v/>
      </c>
      <c r="T37" s="49"/>
      <c r="U37" s="50"/>
      <c r="V37" s="50"/>
      <c r="W37" s="51"/>
      <c r="X37" s="50"/>
      <c r="Y37" s="50"/>
      <c r="Z37" s="50"/>
      <c r="AA37" s="50"/>
      <c r="AB37" s="51"/>
      <c r="AC37" s="68" t="str">
        <v/>
      </c>
      <c r="AD37" s="68" t="str">
        <v/>
      </c>
      <c r="AE37" s="68" t="str">
        <v/>
      </c>
      <c r="AF37" s="68" t="str">
        <v/>
      </c>
      <c r="AG37" s="69" t="str">
        <v/>
      </c>
      <c r="AH37" s="67" t="str">
        <v/>
      </c>
      <c r="AI37" s="67" t="str">
        <v/>
      </c>
      <c r="AJ37" s="70" t="str">
        <v/>
      </c>
      <c r="AK37" s="67" t="str">
        <v/>
      </c>
      <c r="AL37" s="67" t="str">
        <v/>
      </c>
      <c r="AM37" s="67" t="str">
        <v/>
      </c>
      <c r="AN37" s="67" t="str">
        <v/>
      </c>
      <c r="AO37" s="67" t="str">
        <v/>
      </c>
      <c r="AP37" s="46"/>
      <c r="AQ37" s="82"/>
      <c r="AR37" s="80"/>
      <c r="AS37" s="80" t="str">
        <v/>
      </c>
      <c r="AT37" s="78" t="str">
        <v/>
      </c>
      <c r="AU37" s="79"/>
      <c r="AV37" s="71" t="str">
        <v/>
      </c>
      <c r="AW37" s="68" t="str">
        <v/>
      </c>
      <c r="AX37" s="68" t="str">
        <v/>
      </c>
      <c r="AY37" s="72" t="str">
        <v/>
      </c>
      <c r="AZ37" s="67" t="str">
        <v/>
      </c>
      <c r="BA37" s="67" t="str">
        <v/>
      </c>
      <c r="BB37" s="67" t="str">
        <v/>
      </c>
      <c r="BC37" s="70" t="str">
        <v/>
      </c>
      <c r="BD37" s="67" t="str">
        <v/>
      </c>
      <c r="BE37" s="67" t="str">
        <v/>
      </c>
      <c r="BF37" s="67" t="str">
        <v/>
      </c>
      <c r="BG37" s="67" t="str">
        <v/>
      </c>
      <c r="BH37" s="67" t="str">
        <v/>
      </c>
      <c r="BI37" s="46"/>
      <c r="BJ37" s="73"/>
      <c r="BK37" s="64"/>
      <c r="BL37" s="64" t="str">
        <v/>
      </c>
      <c r="BM37" s="64" t="str">
        <v/>
      </c>
      <c r="BN37" s="64" t="str">
        <v/>
      </c>
      <c r="BO37" s="64" t="str">
        <v/>
      </c>
      <c r="BP37" s="64" t="str">
        <v/>
      </c>
      <c r="BQ37" s="64" t="str">
        <v/>
      </c>
      <c r="BR37" s="64" t="str">
        <v/>
      </c>
      <c r="BS37" s="64" t="str">
        <v/>
      </c>
      <c r="BT37" s="74" t="str">
        <v/>
      </c>
      <c r="BU37" s="46"/>
      <c r="BV37" s="65" t="str">
        <v/>
      </c>
      <c r="BW37" s="66" t="str">
        <v/>
      </c>
      <c r="BX37" s="46"/>
    </row>
    <row r="38" spans="1:76">
      <c r="A38" s="43"/>
      <c r="B38" s="81"/>
      <c r="C38" s="45"/>
      <c r="D38" s="45"/>
      <c r="E38" s="45"/>
      <c r="F38" s="46"/>
      <c r="G38" s="67" t="str">
        <v/>
      </c>
      <c r="H38" s="67" t="str">
        <v/>
      </c>
      <c r="I38" s="46"/>
      <c r="J38" s="67" t="str">
        <v/>
      </c>
      <c r="K38" s="67" t="str">
        <v/>
      </c>
      <c r="L38" s="67" t="str">
        <v/>
      </c>
      <c r="M38" s="67" t="str">
        <v/>
      </c>
      <c r="N38" s="68" t="str">
        <v/>
      </c>
      <c r="O38" s="67" t="str">
        <v/>
      </c>
      <c r="P38" s="67" t="str">
        <v/>
      </c>
      <c r="Q38" s="67" t="str">
        <v/>
      </c>
      <c r="R38" s="67" t="str">
        <v/>
      </c>
      <c r="S38" s="67" t="str">
        <v/>
      </c>
      <c r="T38" s="49"/>
      <c r="U38" s="50"/>
      <c r="V38" s="50"/>
      <c r="W38" s="51"/>
      <c r="X38" s="50"/>
      <c r="Y38" s="50"/>
      <c r="Z38" s="50"/>
      <c r="AA38" s="50"/>
      <c r="AB38" s="51"/>
      <c r="AC38" s="68" t="str">
        <v/>
      </c>
      <c r="AD38" s="68" t="str">
        <v/>
      </c>
      <c r="AE38" s="68" t="str">
        <v/>
      </c>
      <c r="AF38" s="68" t="str">
        <v/>
      </c>
      <c r="AG38" s="69" t="str">
        <v/>
      </c>
      <c r="AH38" s="67" t="str">
        <v/>
      </c>
      <c r="AI38" s="67" t="str">
        <v/>
      </c>
      <c r="AJ38" s="70" t="str">
        <v/>
      </c>
      <c r="AK38" s="67" t="str">
        <v/>
      </c>
      <c r="AL38" s="67" t="str">
        <v/>
      </c>
      <c r="AM38" s="67" t="str">
        <v/>
      </c>
      <c r="AN38" s="67" t="str">
        <v/>
      </c>
      <c r="AO38" s="67" t="str">
        <v/>
      </c>
      <c r="AP38" s="46"/>
      <c r="AQ38" s="82"/>
      <c r="AR38" s="80"/>
      <c r="AS38" s="80" t="str">
        <v/>
      </c>
      <c r="AT38" s="78" t="str">
        <v/>
      </c>
      <c r="AU38" s="79"/>
      <c r="AV38" s="71" t="str">
        <v/>
      </c>
      <c r="AW38" s="68" t="str">
        <v/>
      </c>
      <c r="AX38" s="68" t="str">
        <v/>
      </c>
      <c r="AY38" s="72" t="str">
        <v/>
      </c>
      <c r="AZ38" s="67" t="str">
        <v/>
      </c>
      <c r="BA38" s="67" t="str">
        <v/>
      </c>
      <c r="BB38" s="67" t="str">
        <v/>
      </c>
      <c r="BC38" s="70" t="str">
        <v/>
      </c>
      <c r="BD38" s="67" t="str">
        <v/>
      </c>
      <c r="BE38" s="67" t="str">
        <v/>
      </c>
      <c r="BF38" s="67" t="str">
        <v/>
      </c>
      <c r="BG38" s="67" t="str">
        <v/>
      </c>
      <c r="BH38" s="67" t="str">
        <v/>
      </c>
      <c r="BI38" s="46"/>
      <c r="BJ38" s="73"/>
      <c r="BK38" s="64"/>
      <c r="BL38" s="64" t="str">
        <v/>
      </c>
      <c r="BM38" s="64" t="str">
        <v/>
      </c>
      <c r="BN38" s="64" t="str">
        <v/>
      </c>
      <c r="BO38" s="64" t="str">
        <v/>
      </c>
      <c r="BP38" s="64" t="str">
        <v/>
      </c>
      <c r="BQ38" s="64" t="str">
        <v/>
      </c>
      <c r="BR38" s="64" t="str">
        <v/>
      </c>
      <c r="BS38" s="64" t="str">
        <v/>
      </c>
      <c r="BT38" s="74" t="str">
        <v/>
      </c>
      <c r="BU38" s="46"/>
      <c r="BV38" s="65" t="str">
        <v/>
      </c>
      <c r="BW38" s="66" t="str">
        <v/>
      </c>
      <c r="BX38" s="46"/>
    </row>
    <row r="39" spans="1:76">
      <c r="A39" s="43"/>
      <c r="B39" s="81"/>
      <c r="C39" s="45"/>
      <c r="D39" s="45"/>
      <c r="E39" s="45"/>
      <c r="F39" s="46"/>
      <c r="G39" s="67" t="str">
        <v/>
      </c>
      <c r="H39" s="67" t="str">
        <v/>
      </c>
      <c r="I39" s="46"/>
      <c r="J39" s="67" t="str">
        <v/>
      </c>
      <c r="K39" s="67" t="str">
        <v/>
      </c>
      <c r="L39" s="67" t="str">
        <v/>
      </c>
      <c r="M39" s="67" t="str">
        <v/>
      </c>
      <c r="N39" s="68" t="str">
        <v/>
      </c>
      <c r="O39" s="67" t="str">
        <v/>
      </c>
      <c r="P39" s="67" t="str">
        <v/>
      </c>
      <c r="Q39" s="67" t="str">
        <v/>
      </c>
      <c r="R39" s="67" t="str">
        <v/>
      </c>
      <c r="S39" s="67" t="str">
        <v/>
      </c>
      <c r="T39" s="49"/>
      <c r="U39" s="50"/>
      <c r="V39" s="50"/>
      <c r="W39" s="51"/>
      <c r="X39" s="50"/>
      <c r="Y39" s="50"/>
      <c r="Z39" s="50"/>
      <c r="AA39" s="50"/>
      <c r="AB39" s="51"/>
      <c r="AC39" s="68" t="str">
        <v/>
      </c>
      <c r="AD39" s="68" t="str">
        <v/>
      </c>
      <c r="AE39" s="68" t="str">
        <v/>
      </c>
      <c r="AF39" s="68" t="str">
        <v/>
      </c>
      <c r="AG39" s="69" t="str">
        <v/>
      </c>
      <c r="AH39" s="67" t="str">
        <v/>
      </c>
      <c r="AI39" s="67" t="str">
        <v/>
      </c>
      <c r="AJ39" s="70" t="str">
        <v/>
      </c>
      <c r="AK39" s="67" t="str">
        <v/>
      </c>
      <c r="AL39" s="67" t="str">
        <v/>
      </c>
      <c r="AM39" s="67" t="str">
        <v/>
      </c>
      <c r="AN39" s="67" t="str">
        <v/>
      </c>
      <c r="AO39" s="67" t="str">
        <v/>
      </c>
      <c r="AP39" s="46"/>
      <c r="AQ39" s="82"/>
      <c r="AR39" s="80"/>
      <c r="AS39" s="80" t="str">
        <v/>
      </c>
      <c r="AT39" s="78" t="str">
        <v/>
      </c>
      <c r="AU39" s="79"/>
      <c r="AV39" s="71" t="str">
        <v/>
      </c>
      <c r="AW39" s="68" t="str">
        <v/>
      </c>
      <c r="AX39" s="68" t="str">
        <v/>
      </c>
      <c r="AY39" s="72" t="str">
        <v/>
      </c>
      <c r="AZ39" s="67" t="str">
        <v/>
      </c>
      <c r="BA39" s="67" t="str">
        <v/>
      </c>
      <c r="BB39" s="67" t="str">
        <v/>
      </c>
      <c r="BC39" s="70" t="str">
        <v/>
      </c>
      <c r="BD39" s="67" t="str">
        <v/>
      </c>
      <c r="BE39" s="67" t="str">
        <v/>
      </c>
      <c r="BF39" s="67" t="str">
        <v/>
      </c>
      <c r="BG39" s="67" t="str">
        <v/>
      </c>
      <c r="BH39" s="67" t="str">
        <v/>
      </c>
      <c r="BI39" s="46"/>
      <c r="BJ39" s="73"/>
      <c r="BK39" s="64"/>
      <c r="BL39" s="64" t="str">
        <v/>
      </c>
      <c r="BM39" s="64" t="str">
        <v/>
      </c>
      <c r="BN39" s="64" t="str">
        <v/>
      </c>
      <c r="BO39" s="64" t="str">
        <v/>
      </c>
      <c r="BP39" s="64" t="str">
        <v/>
      </c>
      <c r="BQ39" s="64" t="str">
        <v/>
      </c>
      <c r="BR39" s="64" t="str">
        <v/>
      </c>
      <c r="BS39" s="64" t="str">
        <v/>
      </c>
      <c r="BT39" s="74" t="str">
        <v/>
      </c>
      <c r="BU39" s="46"/>
      <c r="BV39" s="65" t="str">
        <v/>
      </c>
      <c r="BW39" s="66" t="str">
        <v/>
      </c>
      <c r="BX39" s="46"/>
    </row>
    <row r="40" spans="1:76">
      <c r="A40" s="43"/>
      <c r="B40" s="81"/>
      <c r="C40" s="45"/>
      <c r="D40" s="45"/>
      <c r="E40" s="45"/>
      <c r="F40" s="46"/>
      <c r="G40" s="67" t="str">
        <v/>
      </c>
      <c r="H40" s="67" t="str">
        <v/>
      </c>
      <c r="I40" s="46"/>
      <c r="J40" s="67" t="str">
        <v/>
      </c>
      <c r="K40" s="67" t="str">
        <v/>
      </c>
      <c r="L40" s="67" t="str">
        <v/>
      </c>
      <c r="M40" s="67" t="str">
        <v/>
      </c>
      <c r="N40" s="68" t="str">
        <v/>
      </c>
      <c r="O40" s="67" t="str">
        <v/>
      </c>
      <c r="P40" s="67" t="str">
        <v/>
      </c>
      <c r="Q40" s="67" t="str">
        <v/>
      </c>
      <c r="R40" s="67" t="str">
        <v/>
      </c>
      <c r="S40" s="67" t="str">
        <v/>
      </c>
      <c r="T40" s="49"/>
      <c r="U40" s="50"/>
      <c r="V40" s="50"/>
      <c r="W40" s="51"/>
      <c r="X40" s="50"/>
      <c r="Y40" s="50"/>
      <c r="Z40" s="50"/>
      <c r="AA40" s="50"/>
      <c r="AB40" s="51"/>
      <c r="AC40" s="68" t="str">
        <v/>
      </c>
      <c r="AD40" s="68" t="str">
        <v/>
      </c>
      <c r="AE40" s="68" t="str">
        <v/>
      </c>
      <c r="AF40" s="68" t="str">
        <v/>
      </c>
      <c r="AG40" s="69" t="str">
        <v/>
      </c>
      <c r="AH40" s="67" t="str">
        <v/>
      </c>
      <c r="AI40" s="67" t="str">
        <v/>
      </c>
      <c r="AJ40" s="70" t="str">
        <v/>
      </c>
      <c r="AK40" s="67" t="str">
        <v/>
      </c>
      <c r="AL40" s="67" t="str">
        <v/>
      </c>
      <c r="AM40" s="67" t="str">
        <v/>
      </c>
      <c r="AN40" s="67" t="str">
        <v/>
      </c>
      <c r="AO40" s="67" t="str">
        <v/>
      </c>
      <c r="AP40" s="46"/>
      <c r="AQ40" s="82"/>
      <c r="AR40" s="80"/>
      <c r="AS40" s="80" t="str">
        <v/>
      </c>
      <c r="AT40" s="78" t="str">
        <v/>
      </c>
      <c r="AU40" s="79"/>
      <c r="AV40" s="71" t="str">
        <v/>
      </c>
      <c r="AW40" s="68" t="str">
        <v/>
      </c>
      <c r="AX40" s="68" t="str">
        <v/>
      </c>
      <c r="AY40" s="72" t="str">
        <v/>
      </c>
      <c r="AZ40" s="67" t="str">
        <v/>
      </c>
      <c r="BA40" s="67" t="str">
        <v/>
      </c>
      <c r="BB40" s="67" t="str">
        <v/>
      </c>
      <c r="BC40" s="70" t="str">
        <v/>
      </c>
      <c r="BD40" s="67" t="str">
        <v/>
      </c>
      <c r="BE40" s="67" t="str">
        <v/>
      </c>
      <c r="BF40" s="67" t="str">
        <v/>
      </c>
      <c r="BG40" s="67" t="str">
        <v/>
      </c>
      <c r="BH40" s="67" t="str">
        <v/>
      </c>
      <c r="BI40" s="46"/>
      <c r="BJ40" s="73"/>
      <c r="BK40" s="64"/>
      <c r="BL40" s="64" t="str">
        <v/>
      </c>
      <c r="BM40" s="64" t="str">
        <v/>
      </c>
      <c r="BN40" s="64" t="str">
        <v/>
      </c>
      <c r="BO40" s="64" t="str">
        <v/>
      </c>
      <c r="BP40" s="64" t="str">
        <v/>
      </c>
      <c r="BQ40" s="64" t="str">
        <v/>
      </c>
      <c r="BR40" s="64" t="str">
        <v/>
      </c>
      <c r="BS40" s="64" t="str">
        <v/>
      </c>
      <c r="BT40" s="74" t="str">
        <v/>
      </c>
      <c r="BU40" s="46"/>
      <c r="BV40" s="65" t="str">
        <v/>
      </c>
      <c r="BW40" s="66" t="str">
        <v/>
      </c>
      <c r="BX40" s="46"/>
    </row>
    <row r="41" spans="1:76">
      <c r="A41" s="43"/>
      <c r="B41" s="81"/>
      <c r="C41" s="45"/>
      <c r="D41" s="45"/>
      <c r="E41" s="45"/>
      <c r="F41" s="46"/>
      <c r="G41" s="67" t="str">
        <v/>
      </c>
      <c r="H41" s="67" t="str">
        <v/>
      </c>
      <c r="I41" s="46"/>
      <c r="J41" s="67" t="str">
        <v/>
      </c>
      <c r="K41" s="67" t="str">
        <v/>
      </c>
      <c r="L41" s="67" t="str">
        <v/>
      </c>
      <c r="M41" s="67" t="str">
        <v/>
      </c>
      <c r="N41" s="68" t="str">
        <v/>
      </c>
      <c r="O41" s="67" t="str">
        <v/>
      </c>
      <c r="P41" s="67" t="str">
        <v/>
      </c>
      <c r="Q41" s="67" t="str">
        <v/>
      </c>
      <c r="R41" s="67" t="str">
        <v/>
      </c>
      <c r="S41" s="67" t="str">
        <v/>
      </c>
      <c r="T41" s="49"/>
      <c r="U41" s="50"/>
      <c r="V41" s="50"/>
      <c r="W41" s="51"/>
      <c r="X41" s="50"/>
      <c r="Y41" s="50"/>
      <c r="Z41" s="50"/>
      <c r="AA41" s="50"/>
      <c r="AB41" s="51"/>
      <c r="AC41" s="68" t="str">
        <v/>
      </c>
      <c r="AD41" s="68" t="str">
        <v/>
      </c>
      <c r="AE41" s="68" t="str">
        <v/>
      </c>
      <c r="AF41" s="68" t="str">
        <v/>
      </c>
      <c r="AG41" s="69" t="str">
        <v/>
      </c>
      <c r="AH41" s="67" t="str">
        <v/>
      </c>
      <c r="AI41" s="67" t="str">
        <v/>
      </c>
      <c r="AJ41" s="70" t="str">
        <v/>
      </c>
      <c r="AK41" s="67" t="str">
        <v/>
      </c>
      <c r="AL41" s="67" t="str">
        <v/>
      </c>
      <c r="AM41" s="67" t="str">
        <v/>
      </c>
      <c r="AN41" s="67" t="str">
        <v/>
      </c>
      <c r="AO41" s="67" t="str">
        <v/>
      </c>
      <c r="AP41" s="46"/>
      <c r="AQ41" s="82"/>
      <c r="AR41" s="80"/>
      <c r="AS41" s="80" t="str">
        <v/>
      </c>
      <c r="AT41" s="78" t="str">
        <v/>
      </c>
      <c r="AU41" s="79"/>
      <c r="AV41" s="71" t="str">
        <v/>
      </c>
      <c r="AW41" s="68" t="str">
        <v/>
      </c>
      <c r="AX41" s="68" t="str">
        <v/>
      </c>
      <c r="AY41" s="72" t="str">
        <v/>
      </c>
      <c r="AZ41" s="67" t="str">
        <v/>
      </c>
      <c r="BA41" s="67" t="str">
        <v/>
      </c>
      <c r="BB41" s="67" t="str">
        <v/>
      </c>
      <c r="BC41" s="70" t="str">
        <v/>
      </c>
      <c r="BD41" s="67" t="str">
        <v/>
      </c>
      <c r="BE41" s="67" t="str">
        <v/>
      </c>
      <c r="BF41" s="67" t="str">
        <v/>
      </c>
      <c r="BG41" s="67" t="str">
        <v/>
      </c>
      <c r="BH41" s="67" t="str">
        <v/>
      </c>
      <c r="BI41" s="46"/>
      <c r="BJ41" s="73"/>
      <c r="BK41" s="64"/>
      <c r="BL41" s="64" t="str">
        <v/>
      </c>
      <c r="BM41" s="64" t="str">
        <v/>
      </c>
      <c r="BN41" s="64" t="str">
        <v/>
      </c>
      <c r="BO41" s="64" t="str">
        <v/>
      </c>
      <c r="BP41" s="64" t="str">
        <v/>
      </c>
      <c r="BQ41" s="64" t="str">
        <v/>
      </c>
      <c r="BR41" s="64" t="str">
        <v/>
      </c>
      <c r="BS41" s="64" t="str">
        <v/>
      </c>
      <c r="BT41" s="74" t="str">
        <v/>
      </c>
      <c r="BU41" s="46"/>
      <c r="BV41" s="65" t="str">
        <v/>
      </c>
      <c r="BW41" s="66" t="str">
        <v/>
      </c>
      <c r="BX41" s="46"/>
    </row>
    <row r="42" spans="1:76">
      <c r="A42" s="43"/>
      <c r="B42" s="81"/>
      <c r="C42" s="45"/>
      <c r="D42" s="45"/>
      <c r="E42" s="45"/>
      <c r="F42" s="46"/>
      <c r="G42" s="67" t="str">
        <v/>
      </c>
      <c r="H42" s="67" t="str">
        <v/>
      </c>
      <c r="I42" s="46"/>
      <c r="J42" s="67" t="str">
        <v/>
      </c>
      <c r="K42" s="67" t="str">
        <v/>
      </c>
      <c r="L42" s="67" t="str">
        <v/>
      </c>
      <c r="M42" s="67" t="str">
        <v/>
      </c>
      <c r="N42" s="68" t="str">
        <v/>
      </c>
      <c r="O42" s="67" t="str">
        <v/>
      </c>
      <c r="P42" s="67" t="str">
        <v/>
      </c>
      <c r="Q42" s="67" t="str">
        <v/>
      </c>
      <c r="R42" s="67" t="str">
        <v/>
      </c>
      <c r="S42" s="67" t="str">
        <v/>
      </c>
      <c r="T42" s="49"/>
      <c r="U42" s="50"/>
      <c r="V42" s="50"/>
      <c r="W42" s="51"/>
      <c r="X42" s="50"/>
      <c r="Y42" s="50"/>
      <c r="Z42" s="50"/>
      <c r="AA42" s="50"/>
      <c r="AB42" s="51"/>
      <c r="AC42" s="68" t="str">
        <v/>
      </c>
      <c r="AD42" s="68" t="str">
        <v/>
      </c>
      <c r="AE42" s="68" t="str">
        <v/>
      </c>
      <c r="AF42" s="68" t="str">
        <v/>
      </c>
      <c r="AG42" s="69" t="str">
        <v/>
      </c>
      <c r="AH42" s="67" t="str">
        <v/>
      </c>
      <c r="AI42" s="67" t="str">
        <v/>
      </c>
      <c r="AJ42" s="70" t="str">
        <v/>
      </c>
      <c r="AK42" s="67" t="str">
        <v/>
      </c>
      <c r="AL42" s="67" t="str">
        <v/>
      </c>
      <c r="AM42" s="67" t="str">
        <v/>
      </c>
      <c r="AN42" s="67" t="str">
        <v/>
      </c>
      <c r="AO42" s="67" t="str">
        <v/>
      </c>
      <c r="AP42" s="46"/>
      <c r="AQ42" s="82"/>
      <c r="AR42" s="80"/>
      <c r="AS42" s="80" t="str">
        <v/>
      </c>
      <c r="AT42" s="78" t="str">
        <v/>
      </c>
      <c r="AU42" s="79"/>
      <c r="AV42" s="71" t="str">
        <v/>
      </c>
      <c r="AW42" s="68" t="str">
        <v/>
      </c>
      <c r="AX42" s="68" t="str">
        <v/>
      </c>
      <c r="AY42" s="72" t="str">
        <v/>
      </c>
      <c r="AZ42" s="67" t="str">
        <v/>
      </c>
      <c r="BA42" s="67" t="str">
        <v/>
      </c>
      <c r="BB42" s="67" t="str">
        <v/>
      </c>
      <c r="BC42" s="70" t="str">
        <v/>
      </c>
      <c r="BD42" s="67" t="str">
        <v/>
      </c>
      <c r="BE42" s="67" t="str">
        <v/>
      </c>
      <c r="BF42" s="67" t="str">
        <v/>
      </c>
      <c r="BG42" s="67" t="str">
        <v/>
      </c>
      <c r="BH42" s="67" t="str">
        <v/>
      </c>
      <c r="BI42" s="46"/>
      <c r="BJ42" s="73"/>
      <c r="BK42" s="64"/>
      <c r="BL42" s="64" t="str">
        <v/>
      </c>
      <c r="BM42" s="64" t="str">
        <v/>
      </c>
      <c r="BN42" s="64" t="str">
        <v/>
      </c>
      <c r="BO42" s="64" t="str">
        <v/>
      </c>
      <c r="BP42" s="64" t="str">
        <v/>
      </c>
      <c r="BQ42" s="64" t="str">
        <v/>
      </c>
      <c r="BR42" s="64" t="str">
        <v/>
      </c>
      <c r="BS42" s="64" t="str">
        <v/>
      </c>
      <c r="BT42" s="74" t="str">
        <v/>
      </c>
      <c r="BU42" s="46"/>
      <c r="BV42" s="65" t="str">
        <v/>
      </c>
      <c r="BW42" s="66" t="str">
        <v/>
      </c>
      <c r="BX42" s="46"/>
    </row>
    <row r="43" spans="1:76">
      <c r="A43" s="43"/>
      <c r="B43" s="81"/>
      <c r="C43" s="45"/>
      <c r="D43" s="45"/>
      <c r="E43" s="45"/>
      <c r="F43" s="46"/>
      <c r="G43" s="67" t="str">
        <v/>
      </c>
      <c r="H43" s="67" t="str">
        <v/>
      </c>
      <c r="I43" s="46"/>
      <c r="J43" s="67" t="str">
        <v/>
      </c>
      <c r="K43" s="67" t="str">
        <v/>
      </c>
      <c r="L43" s="67" t="str">
        <v/>
      </c>
      <c r="M43" s="67" t="str">
        <v/>
      </c>
      <c r="N43" s="68" t="str">
        <v/>
      </c>
      <c r="O43" s="67" t="str">
        <v/>
      </c>
      <c r="P43" s="67" t="str">
        <v/>
      </c>
      <c r="Q43" s="67" t="str">
        <v/>
      </c>
      <c r="R43" s="67" t="str">
        <v/>
      </c>
      <c r="S43" s="67" t="str">
        <v/>
      </c>
      <c r="T43" s="49"/>
      <c r="U43" s="50"/>
      <c r="V43" s="50"/>
      <c r="W43" s="51"/>
      <c r="X43" s="50"/>
      <c r="Y43" s="50"/>
      <c r="Z43" s="50"/>
      <c r="AA43" s="50"/>
      <c r="AB43" s="51"/>
      <c r="AC43" s="68" t="str">
        <v/>
      </c>
      <c r="AD43" s="68" t="str">
        <v/>
      </c>
      <c r="AE43" s="68" t="str">
        <v/>
      </c>
      <c r="AF43" s="68" t="str">
        <v/>
      </c>
      <c r="AG43" s="69" t="str">
        <v/>
      </c>
      <c r="AH43" s="67" t="str">
        <v/>
      </c>
      <c r="AI43" s="67" t="str">
        <v/>
      </c>
      <c r="AJ43" s="70" t="str">
        <v/>
      </c>
      <c r="AK43" s="67" t="str">
        <v/>
      </c>
      <c r="AL43" s="67" t="str">
        <v/>
      </c>
      <c r="AM43" s="67" t="str">
        <v/>
      </c>
      <c r="AN43" s="67" t="str">
        <v/>
      </c>
      <c r="AO43" s="67" t="str">
        <v/>
      </c>
      <c r="AP43" s="46"/>
      <c r="AQ43" s="82"/>
      <c r="AR43" s="80"/>
      <c r="AS43" s="80" t="str">
        <v/>
      </c>
      <c r="AT43" s="78" t="str">
        <v/>
      </c>
      <c r="AU43" s="79"/>
      <c r="AV43" s="71" t="str">
        <v/>
      </c>
      <c r="AW43" s="68" t="str">
        <v/>
      </c>
      <c r="AX43" s="68" t="str">
        <v/>
      </c>
      <c r="AY43" s="72" t="str">
        <v/>
      </c>
      <c r="AZ43" s="67" t="str">
        <v/>
      </c>
      <c r="BA43" s="67" t="str">
        <v/>
      </c>
      <c r="BB43" s="67" t="str">
        <v/>
      </c>
      <c r="BC43" s="70" t="str">
        <v/>
      </c>
      <c r="BD43" s="67" t="str">
        <v/>
      </c>
      <c r="BE43" s="67" t="str">
        <v/>
      </c>
      <c r="BF43" s="67" t="str">
        <v/>
      </c>
      <c r="BG43" s="67" t="str">
        <v/>
      </c>
      <c r="BH43" s="67" t="str">
        <v/>
      </c>
      <c r="BI43" s="46"/>
      <c r="BJ43" s="73"/>
      <c r="BK43" s="64"/>
      <c r="BL43" s="64" t="str">
        <v/>
      </c>
      <c r="BM43" s="64" t="str">
        <v/>
      </c>
      <c r="BN43" s="64" t="str">
        <v/>
      </c>
      <c r="BO43" s="64" t="str">
        <v/>
      </c>
      <c r="BP43" s="64" t="str">
        <v/>
      </c>
      <c r="BQ43" s="64" t="str">
        <v/>
      </c>
      <c r="BR43" s="64" t="str">
        <v/>
      </c>
      <c r="BS43" s="64" t="str">
        <v/>
      </c>
      <c r="BT43" s="74" t="str">
        <v/>
      </c>
      <c r="BU43" s="46"/>
      <c r="BV43" s="65" t="str">
        <v/>
      </c>
      <c r="BW43" s="66" t="str">
        <v/>
      </c>
      <c r="BX43" s="46"/>
    </row>
    <row r="44" spans="1:76">
      <c r="A44" s="43"/>
      <c r="B44" s="81"/>
      <c r="C44" s="45"/>
      <c r="D44" s="45"/>
      <c r="E44" s="45"/>
      <c r="F44" s="46"/>
      <c r="G44" s="67" t="str">
        <v/>
      </c>
      <c r="H44" s="67" t="str">
        <v/>
      </c>
      <c r="I44" s="46"/>
      <c r="J44" s="67" t="str">
        <v/>
      </c>
      <c r="K44" s="67" t="str">
        <v/>
      </c>
      <c r="L44" s="67" t="str">
        <v/>
      </c>
      <c r="M44" s="67" t="str">
        <v/>
      </c>
      <c r="N44" s="68" t="str">
        <v/>
      </c>
      <c r="O44" s="67" t="str">
        <v/>
      </c>
      <c r="P44" s="67" t="str">
        <v/>
      </c>
      <c r="Q44" s="67" t="str">
        <v/>
      </c>
      <c r="R44" s="67" t="str">
        <v/>
      </c>
      <c r="S44" s="67" t="str">
        <v/>
      </c>
      <c r="T44" s="49"/>
      <c r="U44" s="50"/>
      <c r="V44" s="50"/>
      <c r="W44" s="51"/>
      <c r="X44" s="50"/>
      <c r="Y44" s="50"/>
      <c r="Z44" s="50"/>
      <c r="AA44" s="50"/>
      <c r="AB44" s="51"/>
      <c r="AC44" s="68" t="str">
        <v/>
      </c>
      <c r="AD44" s="68" t="str">
        <v/>
      </c>
      <c r="AE44" s="68" t="str">
        <v/>
      </c>
      <c r="AF44" s="68" t="str">
        <v/>
      </c>
      <c r="AG44" s="69" t="str">
        <v/>
      </c>
      <c r="AH44" s="67" t="str">
        <v/>
      </c>
      <c r="AI44" s="67" t="str">
        <v/>
      </c>
      <c r="AJ44" s="70" t="str">
        <v/>
      </c>
      <c r="AK44" s="67" t="str">
        <v/>
      </c>
      <c r="AL44" s="67" t="str">
        <v/>
      </c>
      <c r="AM44" s="67" t="str">
        <v/>
      </c>
      <c r="AN44" s="67" t="str">
        <v/>
      </c>
      <c r="AO44" s="67" t="str">
        <v/>
      </c>
      <c r="AP44" s="46"/>
      <c r="AQ44" s="82"/>
      <c r="AR44" s="80"/>
      <c r="AS44" s="80" t="str">
        <v/>
      </c>
      <c r="AT44" s="78" t="str">
        <v/>
      </c>
      <c r="AU44" s="79"/>
      <c r="AV44" s="71" t="str">
        <v/>
      </c>
      <c r="AW44" s="68" t="str">
        <v/>
      </c>
      <c r="AX44" s="68" t="str">
        <v/>
      </c>
      <c r="AY44" s="72" t="str">
        <v/>
      </c>
      <c r="AZ44" s="67" t="str">
        <v/>
      </c>
      <c r="BA44" s="67" t="str">
        <v/>
      </c>
      <c r="BB44" s="67" t="str">
        <v/>
      </c>
      <c r="BC44" s="70" t="str">
        <v/>
      </c>
      <c r="BD44" s="67" t="str">
        <v/>
      </c>
      <c r="BE44" s="67" t="str">
        <v/>
      </c>
      <c r="BF44" s="67" t="str">
        <v/>
      </c>
      <c r="BG44" s="67" t="str">
        <v/>
      </c>
      <c r="BH44" s="67" t="str">
        <v/>
      </c>
      <c r="BI44" s="46"/>
      <c r="BJ44" s="73"/>
      <c r="BK44" s="64"/>
      <c r="BL44" s="64" t="str">
        <v/>
      </c>
      <c r="BM44" s="64" t="str">
        <v/>
      </c>
      <c r="BN44" s="64" t="str">
        <v/>
      </c>
      <c r="BO44" s="64" t="str">
        <v/>
      </c>
      <c r="BP44" s="64" t="str">
        <v/>
      </c>
      <c r="BQ44" s="64" t="str">
        <v/>
      </c>
      <c r="BR44" s="64" t="str">
        <v/>
      </c>
      <c r="BS44" s="64" t="str">
        <v/>
      </c>
      <c r="BT44" s="74" t="str">
        <v/>
      </c>
      <c r="BU44" s="46"/>
      <c r="BV44" s="65" t="str">
        <v/>
      </c>
      <c r="BW44" s="66" t="str">
        <v/>
      </c>
      <c r="BX44" s="46"/>
    </row>
    <row r="45" spans="1:76">
      <c r="A45" s="43"/>
      <c r="B45" s="81"/>
      <c r="C45" s="45"/>
      <c r="D45" s="45"/>
      <c r="E45" s="45"/>
      <c r="F45" s="46"/>
      <c r="G45" s="67" t="str">
        <v/>
      </c>
      <c r="H45" s="67" t="str">
        <v/>
      </c>
      <c r="I45" s="46"/>
      <c r="J45" s="67" t="str">
        <v/>
      </c>
      <c r="K45" s="67" t="str">
        <v/>
      </c>
      <c r="L45" s="67" t="str">
        <v/>
      </c>
      <c r="M45" s="67" t="str">
        <v/>
      </c>
      <c r="N45" s="68" t="str">
        <v/>
      </c>
      <c r="O45" s="67" t="str">
        <v/>
      </c>
      <c r="P45" s="67" t="str">
        <v/>
      </c>
      <c r="Q45" s="67" t="str">
        <v/>
      </c>
      <c r="R45" s="67" t="str">
        <v/>
      </c>
      <c r="S45" s="67" t="str">
        <v/>
      </c>
      <c r="T45" s="49"/>
      <c r="U45" s="50"/>
      <c r="V45" s="50"/>
      <c r="W45" s="51"/>
      <c r="X45" s="50"/>
      <c r="Y45" s="50"/>
      <c r="Z45" s="50"/>
      <c r="AA45" s="50"/>
      <c r="AB45" s="51"/>
      <c r="AC45" s="68" t="str">
        <v/>
      </c>
      <c r="AD45" s="68" t="str">
        <v/>
      </c>
      <c r="AE45" s="68" t="str">
        <v/>
      </c>
      <c r="AF45" s="68" t="str">
        <v/>
      </c>
      <c r="AG45" s="69" t="str">
        <v/>
      </c>
      <c r="AH45" s="67" t="str">
        <v/>
      </c>
      <c r="AI45" s="67" t="str">
        <v/>
      </c>
      <c r="AJ45" s="70" t="str">
        <v/>
      </c>
      <c r="AK45" s="67" t="str">
        <v/>
      </c>
      <c r="AL45" s="67" t="str">
        <v/>
      </c>
      <c r="AM45" s="67" t="str">
        <v/>
      </c>
      <c r="AN45" s="67" t="str">
        <v/>
      </c>
      <c r="AO45" s="67" t="str">
        <v/>
      </c>
      <c r="AP45" s="46"/>
      <c r="AQ45" s="82"/>
      <c r="AR45" s="80"/>
      <c r="AS45" s="80" t="str">
        <v/>
      </c>
      <c r="AT45" s="78" t="str">
        <v/>
      </c>
      <c r="AU45" s="79"/>
      <c r="AV45" s="71" t="str">
        <v/>
      </c>
      <c r="AW45" s="68" t="str">
        <v/>
      </c>
      <c r="AX45" s="68" t="str">
        <v/>
      </c>
      <c r="AY45" s="72" t="str">
        <v/>
      </c>
      <c r="AZ45" s="67" t="str">
        <v/>
      </c>
      <c r="BA45" s="67" t="str">
        <v/>
      </c>
      <c r="BB45" s="67" t="str">
        <v/>
      </c>
      <c r="BC45" s="70" t="str">
        <v/>
      </c>
      <c r="BD45" s="67" t="str">
        <v/>
      </c>
      <c r="BE45" s="67" t="str">
        <v/>
      </c>
      <c r="BF45" s="67" t="str">
        <v/>
      </c>
      <c r="BG45" s="67" t="str">
        <v/>
      </c>
      <c r="BH45" s="67" t="str">
        <v/>
      </c>
      <c r="BI45" s="46"/>
      <c r="BJ45" s="73"/>
      <c r="BK45" s="64"/>
      <c r="BL45" s="64" t="str">
        <v/>
      </c>
      <c r="BM45" s="64" t="str">
        <v/>
      </c>
      <c r="BN45" s="64" t="str">
        <v/>
      </c>
      <c r="BO45" s="64" t="str">
        <v/>
      </c>
      <c r="BP45" s="64" t="str">
        <v/>
      </c>
      <c r="BQ45" s="64" t="str">
        <v/>
      </c>
      <c r="BR45" s="64" t="str">
        <v/>
      </c>
      <c r="BS45" s="64" t="str">
        <v/>
      </c>
      <c r="BT45" s="74" t="str">
        <v/>
      </c>
      <c r="BU45" s="46"/>
      <c r="BV45" s="65" t="str">
        <v/>
      </c>
      <c r="BW45" s="66" t="str">
        <v/>
      </c>
      <c r="BX45" s="46"/>
    </row>
    <row r="46" spans="1:76">
      <c r="A46" s="43"/>
      <c r="B46" s="81"/>
      <c r="C46" s="45"/>
      <c r="D46" s="45"/>
      <c r="E46" s="45"/>
      <c r="F46" s="46"/>
      <c r="G46" s="67" t="str">
        <v/>
      </c>
      <c r="H46" s="67" t="str">
        <v/>
      </c>
      <c r="I46" s="46"/>
      <c r="J46" s="67" t="str">
        <v/>
      </c>
      <c r="K46" s="67" t="str">
        <v/>
      </c>
      <c r="L46" s="67" t="str">
        <v/>
      </c>
      <c r="M46" s="67" t="str">
        <v/>
      </c>
      <c r="N46" s="68" t="str">
        <v/>
      </c>
      <c r="O46" s="67" t="str">
        <v/>
      </c>
      <c r="P46" s="67" t="str">
        <v/>
      </c>
      <c r="Q46" s="67" t="str">
        <v/>
      </c>
      <c r="R46" s="67" t="str">
        <v/>
      </c>
      <c r="S46" s="67" t="str">
        <v/>
      </c>
      <c r="T46" s="49"/>
      <c r="U46" s="50"/>
      <c r="V46" s="50"/>
      <c r="W46" s="51"/>
      <c r="X46" s="50"/>
      <c r="Y46" s="50"/>
      <c r="Z46" s="50"/>
      <c r="AA46" s="50"/>
      <c r="AB46" s="51"/>
      <c r="AC46" s="68" t="str">
        <v/>
      </c>
      <c r="AD46" s="68" t="str">
        <v/>
      </c>
      <c r="AE46" s="68" t="str">
        <v/>
      </c>
      <c r="AF46" s="68" t="str">
        <v/>
      </c>
      <c r="AG46" s="69" t="str">
        <v/>
      </c>
      <c r="AH46" s="67" t="str">
        <v/>
      </c>
      <c r="AI46" s="67" t="str">
        <v/>
      </c>
      <c r="AJ46" s="70" t="str">
        <v/>
      </c>
      <c r="AK46" s="67" t="str">
        <v/>
      </c>
      <c r="AL46" s="67" t="str">
        <v/>
      </c>
      <c r="AM46" s="67" t="str">
        <v/>
      </c>
      <c r="AN46" s="67" t="str">
        <v/>
      </c>
      <c r="AO46" s="67" t="str">
        <v/>
      </c>
      <c r="AP46" s="46"/>
      <c r="AQ46" s="82"/>
      <c r="AR46" s="80"/>
      <c r="AS46" s="80" t="str">
        <v/>
      </c>
      <c r="AT46" s="78" t="str">
        <v/>
      </c>
      <c r="AU46" s="79"/>
      <c r="AV46" s="71" t="str">
        <v/>
      </c>
      <c r="AW46" s="68" t="str">
        <v/>
      </c>
      <c r="AX46" s="68" t="str">
        <v/>
      </c>
      <c r="AY46" s="72" t="str">
        <v/>
      </c>
      <c r="AZ46" s="67" t="str">
        <v/>
      </c>
      <c r="BA46" s="67" t="str">
        <v/>
      </c>
      <c r="BB46" s="67" t="str">
        <v/>
      </c>
      <c r="BC46" s="70" t="str">
        <v/>
      </c>
      <c r="BD46" s="67" t="str">
        <v/>
      </c>
      <c r="BE46" s="67" t="str">
        <v/>
      </c>
      <c r="BF46" s="67" t="str">
        <v/>
      </c>
      <c r="BG46" s="67" t="str">
        <v/>
      </c>
      <c r="BH46" s="67" t="str">
        <v/>
      </c>
      <c r="BI46" s="46"/>
      <c r="BJ46" s="73"/>
      <c r="BK46" s="64"/>
      <c r="BL46" s="64" t="str">
        <v/>
      </c>
      <c r="BM46" s="64" t="str">
        <v/>
      </c>
      <c r="BN46" s="64" t="str">
        <v/>
      </c>
      <c r="BO46" s="64" t="str">
        <v/>
      </c>
      <c r="BP46" s="64" t="str">
        <v/>
      </c>
      <c r="BQ46" s="64" t="str">
        <v/>
      </c>
      <c r="BR46" s="64" t="str">
        <v/>
      </c>
      <c r="BS46" s="64" t="str">
        <v/>
      </c>
      <c r="BT46" s="74" t="str">
        <v/>
      </c>
      <c r="BU46" s="46"/>
      <c r="BV46" s="65" t="str">
        <v/>
      </c>
      <c r="BW46" s="66" t="str">
        <v/>
      </c>
      <c r="BX46" s="46"/>
    </row>
    <row r="47" spans="1:76">
      <c r="A47" s="43"/>
      <c r="B47" s="81"/>
      <c r="C47" s="45"/>
      <c r="D47" s="45"/>
      <c r="E47" s="45"/>
      <c r="F47" s="46"/>
      <c r="G47" s="67" t="str">
        <v/>
      </c>
      <c r="H47" s="67" t="str">
        <v/>
      </c>
      <c r="I47" s="46"/>
      <c r="J47" s="67" t="str">
        <v/>
      </c>
      <c r="K47" s="67" t="str">
        <v/>
      </c>
      <c r="L47" s="67" t="str">
        <v/>
      </c>
      <c r="M47" s="67" t="str">
        <v/>
      </c>
      <c r="N47" s="68" t="str">
        <v/>
      </c>
      <c r="O47" s="67" t="str">
        <v/>
      </c>
      <c r="P47" s="67" t="str">
        <v/>
      </c>
      <c r="Q47" s="67" t="str">
        <v/>
      </c>
      <c r="R47" s="67" t="str">
        <v/>
      </c>
      <c r="S47" s="67" t="str">
        <v/>
      </c>
      <c r="T47" s="49"/>
      <c r="U47" s="50"/>
      <c r="V47" s="50"/>
      <c r="W47" s="51"/>
      <c r="X47" s="50"/>
      <c r="Y47" s="50"/>
      <c r="Z47" s="50"/>
      <c r="AA47" s="50"/>
      <c r="AB47" s="51"/>
      <c r="AC47" s="68" t="str">
        <v/>
      </c>
      <c r="AD47" s="68" t="str">
        <v/>
      </c>
      <c r="AE47" s="68" t="str">
        <v/>
      </c>
      <c r="AF47" s="68" t="str">
        <v/>
      </c>
      <c r="AG47" s="69" t="str">
        <v/>
      </c>
      <c r="AH47" s="67" t="str">
        <v/>
      </c>
      <c r="AI47" s="67" t="str">
        <v/>
      </c>
      <c r="AJ47" s="70" t="str">
        <v/>
      </c>
      <c r="AK47" s="67" t="str">
        <v/>
      </c>
      <c r="AL47" s="67" t="str">
        <v/>
      </c>
      <c r="AM47" s="67" t="str">
        <v/>
      </c>
      <c r="AN47" s="67" t="str">
        <v/>
      </c>
      <c r="AO47" s="67" t="str">
        <v/>
      </c>
      <c r="AP47" s="46"/>
      <c r="AQ47" s="82"/>
      <c r="AR47" s="80"/>
      <c r="AS47" s="80" t="str">
        <v/>
      </c>
      <c r="AT47" s="78" t="str">
        <v/>
      </c>
      <c r="AU47" s="79"/>
      <c r="AV47" s="71" t="str">
        <v/>
      </c>
      <c r="AW47" s="68" t="str">
        <v/>
      </c>
      <c r="AX47" s="68" t="str">
        <v/>
      </c>
      <c r="AY47" s="72" t="str">
        <v/>
      </c>
      <c r="AZ47" s="67" t="str">
        <v/>
      </c>
      <c r="BA47" s="67" t="str">
        <v/>
      </c>
      <c r="BB47" s="67" t="str">
        <v/>
      </c>
      <c r="BC47" s="70" t="str">
        <v/>
      </c>
      <c r="BD47" s="67" t="str">
        <v/>
      </c>
      <c r="BE47" s="67" t="str">
        <v/>
      </c>
      <c r="BF47" s="67" t="str">
        <v/>
      </c>
      <c r="BG47" s="67" t="str">
        <v/>
      </c>
      <c r="BH47" s="67" t="str">
        <v/>
      </c>
      <c r="BI47" s="46"/>
      <c r="BJ47" s="73"/>
      <c r="BK47" s="64"/>
      <c r="BL47" s="64" t="str">
        <v/>
      </c>
      <c r="BM47" s="64" t="str">
        <v/>
      </c>
      <c r="BN47" s="64" t="str">
        <v/>
      </c>
      <c r="BO47" s="64" t="str">
        <v/>
      </c>
      <c r="BP47" s="64" t="str">
        <v/>
      </c>
      <c r="BQ47" s="64" t="str">
        <v/>
      </c>
      <c r="BR47" s="64" t="str">
        <v/>
      </c>
      <c r="BS47" s="64" t="str">
        <v/>
      </c>
      <c r="BT47" s="74" t="str">
        <v/>
      </c>
      <c r="BU47" s="46"/>
      <c r="BV47" s="65" t="str">
        <v/>
      </c>
      <c r="BW47" s="66" t="str">
        <v/>
      </c>
      <c r="BX47" s="46"/>
    </row>
    <row r="48" spans="1:76">
      <c r="A48" s="43"/>
      <c r="B48" s="81"/>
      <c r="C48" s="45"/>
      <c r="D48" s="45"/>
      <c r="E48" s="45"/>
      <c r="F48" s="46"/>
      <c r="G48" s="67" t="str">
        <v/>
      </c>
      <c r="H48" s="67" t="str">
        <v/>
      </c>
      <c r="I48" s="46"/>
      <c r="J48" s="67" t="str">
        <v/>
      </c>
      <c r="K48" s="67" t="str">
        <v/>
      </c>
      <c r="L48" s="67" t="str">
        <v/>
      </c>
      <c r="M48" s="67" t="str">
        <v/>
      </c>
      <c r="N48" s="68" t="str">
        <v/>
      </c>
      <c r="O48" s="67" t="str">
        <v/>
      </c>
      <c r="P48" s="67" t="str">
        <v/>
      </c>
      <c r="Q48" s="67" t="str">
        <v/>
      </c>
      <c r="R48" s="67" t="str">
        <v/>
      </c>
      <c r="S48" s="67" t="str">
        <v/>
      </c>
      <c r="T48" s="49"/>
      <c r="U48" s="50"/>
      <c r="V48" s="50"/>
      <c r="W48" s="51"/>
      <c r="X48" s="50"/>
      <c r="Y48" s="50"/>
      <c r="Z48" s="50"/>
      <c r="AA48" s="50"/>
      <c r="AB48" s="51"/>
      <c r="AC48" s="68" t="str">
        <v/>
      </c>
      <c r="AD48" s="68" t="str">
        <v/>
      </c>
      <c r="AE48" s="68" t="str">
        <v/>
      </c>
      <c r="AF48" s="68" t="str">
        <v/>
      </c>
      <c r="AG48" s="69" t="str">
        <v/>
      </c>
      <c r="AH48" s="67" t="str">
        <v/>
      </c>
      <c r="AI48" s="67" t="str">
        <v/>
      </c>
      <c r="AJ48" s="70" t="str">
        <v/>
      </c>
      <c r="AK48" s="67" t="str">
        <v/>
      </c>
      <c r="AL48" s="67" t="str">
        <v/>
      </c>
      <c r="AM48" s="67" t="str">
        <v/>
      </c>
      <c r="AN48" s="67" t="str">
        <v/>
      </c>
      <c r="AO48" s="67" t="str">
        <v/>
      </c>
      <c r="AP48" s="46"/>
      <c r="AQ48" s="82"/>
      <c r="AR48" s="80"/>
      <c r="AS48" s="80" t="str">
        <v/>
      </c>
      <c r="AT48" s="78" t="str">
        <v/>
      </c>
      <c r="AU48" s="79"/>
      <c r="AV48" s="71" t="str">
        <v/>
      </c>
      <c r="AW48" s="68" t="str">
        <v/>
      </c>
      <c r="AX48" s="68" t="str">
        <v/>
      </c>
      <c r="AY48" s="72" t="str">
        <v/>
      </c>
      <c r="AZ48" s="67" t="str">
        <v/>
      </c>
      <c r="BA48" s="67" t="str">
        <v/>
      </c>
      <c r="BB48" s="67" t="str">
        <v/>
      </c>
      <c r="BC48" s="70" t="str">
        <v/>
      </c>
      <c r="BD48" s="67" t="str">
        <v/>
      </c>
      <c r="BE48" s="67" t="str">
        <v/>
      </c>
      <c r="BF48" s="67" t="str">
        <v/>
      </c>
      <c r="BG48" s="67" t="str">
        <v/>
      </c>
      <c r="BH48" s="67" t="str">
        <v/>
      </c>
      <c r="BI48" s="46"/>
      <c r="BJ48" s="73"/>
      <c r="BK48" s="64"/>
      <c r="BL48" s="64" t="str">
        <v/>
      </c>
      <c r="BM48" s="64" t="str">
        <v/>
      </c>
      <c r="BN48" s="64" t="str">
        <v/>
      </c>
      <c r="BO48" s="64" t="str">
        <v/>
      </c>
      <c r="BP48" s="64" t="str">
        <v/>
      </c>
      <c r="BQ48" s="64" t="str">
        <v/>
      </c>
      <c r="BR48" s="64" t="str">
        <v/>
      </c>
      <c r="BS48" s="64" t="str">
        <v/>
      </c>
      <c r="BT48" s="74" t="str">
        <v/>
      </c>
      <c r="BU48" s="46"/>
      <c r="BV48" s="65" t="str">
        <v/>
      </c>
      <c r="BW48" s="66" t="str">
        <v/>
      </c>
      <c r="BX48" s="46"/>
    </row>
    <row r="49" spans="1:76">
      <c r="A49" s="43"/>
      <c r="B49" s="81"/>
      <c r="C49" s="45"/>
      <c r="D49" s="45"/>
      <c r="E49" s="45"/>
      <c r="F49" s="46"/>
      <c r="G49" s="67" t="str">
        <v/>
      </c>
      <c r="H49" s="67" t="str">
        <v/>
      </c>
      <c r="I49" s="46"/>
      <c r="J49" s="67" t="str">
        <v/>
      </c>
      <c r="K49" s="67" t="str">
        <v/>
      </c>
      <c r="L49" s="67" t="str">
        <v/>
      </c>
      <c r="M49" s="67" t="str">
        <v/>
      </c>
      <c r="N49" s="68" t="str">
        <v/>
      </c>
      <c r="O49" s="67" t="str">
        <v/>
      </c>
      <c r="P49" s="67" t="str">
        <v/>
      </c>
      <c r="Q49" s="67" t="str">
        <v/>
      </c>
      <c r="R49" s="67" t="str">
        <v/>
      </c>
      <c r="S49" s="67" t="str">
        <v/>
      </c>
      <c r="T49" s="49"/>
      <c r="U49" s="50"/>
      <c r="V49" s="50"/>
      <c r="W49" s="51"/>
      <c r="X49" s="50"/>
      <c r="Y49" s="50"/>
      <c r="Z49" s="50"/>
      <c r="AA49" s="50"/>
      <c r="AB49" s="51"/>
      <c r="AC49" s="68" t="str">
        <v/>
      </c>
      <c r="AD49" s="68" t="str">
        <v/>
      </c>
      <c r="AE49" s="68" t="str">
        <v/>
      </c>
      <c r="AF49" s="68" t="str">
        <v/>
      </c>
      <c r="AG49" s="69" t="str">
        <v/>
      </c>
      <c r="AH49" s="67" t="str">
        <v/>
      </c>
      <c r="AI49" s="67" t="str">
        <v/>
      </c>
      <c r="AJ49" s="70" t="str">
        <v/>
      </c>
      <c r="AK49" s="67" t="str">
        <v/>
      </c>
      <c r="AL49" s="67" t="str">
        <v/>
      </c>
      <c r="AM49" s="67" t="str">
        <v/>
      </c>
      <c r="AN49" s="67" t="str">
        <v/>
      </c>
      <c r="AO49" s="67" t="str">
        <v/>
      </c>
      <c r="AP49" s="46"/>
      <c r="AQ49" s="82"/>
      <c r="AR49" s="80"/>
      <c r="AS49" s="80" t="str">
        <v/>
      </c>
      <c r="AT49" s="78" t="str">
        <v/>
      </c>
      <c r="AU49" s="79"/>
      <c r="AV49" s="71" t="str">
        <v/>
      </c>
      <c r="AW49" s="68" t="str">
        <v/>
      </c>
      <c r="AX49" s="68" t="str">
        <v/>
      </c>
      <c r="AY49" s="72" t="str">
        <v/>
      </c>
      <c r="AZ49" s="67" t="str">
        <v/>
      </c>
      <c r="BA49" s="67" t="str">
        <v/>
      </c>
      <c r="BB49" s="67" t="str">
        <v/>
      </c>
      <c r="BC49" s="70" t="str">
        <v/>
      </c>
      <c r="BD49" s="67" t="str">
        <v/>
      </c>
      <c r="BE49" s="67" t="str">
        <v/>
      </c>
      <c r="BF49" s="67" t="str">
        <v/>
      </c>
      <c r="BG49" s="67" t="str">
        <v/>
      </c>
      <c r="BH49" s="67" t="str">
        <v/>
      </c>
      <c r="BI49" s="46"/>
      <c r="BJ49" s="73"/>
      <c r="BK49" s="64"/>
      <c r="BL49" s="64" t="str">
        <v/>
      </c>
      <c r="BM49" s="64" t="str">
        <v/>
      </c>
      <c r="BN49" s="64" t="str">
        <v/>
      </c>
      <c r="BO49" s="64" t="str">
        <v/>
      </c>
      <c r="BP49" s="64" t="str">
        <v/>
      </c>
      <c r="BQ49" s="64" t="str">
        <v/>
      </c>
      <c r="BR49" s="64" t="str">
        <v/>
      </c>
      <c r="BS49" s="64" t="str">
        <v/>
      </c>
      <c r="BT49" s="74" t="str">
        <v/>
      </c>
      <c r="BU49" s="46"/>
      <c r="BV49" s="65" t="str">
        <v/>
      </c>
      <c r="BW49" s="66" t="str">
        <v/>
      </c>
      <c r="BX49" s="46"/>
    </row>
    <row r="50" spans="1:76">
      <c r="A50" s="43"/>
      <c r="B50" s="81"/>
      <c r="C50" s="45"/>
      <c r="D50" s="45"/>
      <c r="E50" s="45"/>
      <c r="F50" s="46"/>
      <c r="G50" s="67" t="str">
        <v/>
      </c>
      <c r="H50" s="67" t="str">
        <v/>
      </c>
      <c r="I50" s="46"/>
      <c r="J50" s="67" t="str">
        <v/>
      </c>
      <c r="K50" s="67" t="str">
        <v/>
      </c>
      <c r="L50" s="67" t="str">
        <v/>
      </c>
      <c r="M50" s="67" t="str">
        <v/>
      </c>
      <c r="N50" s="68" t="str">
        <v/>
      </c>
      <c r="O50" s="67" t="str">
        <v/>
      </c>
      <c r="P50" s="67" t="str">
        <v/>
      </c>
      <c r="Q50" s="67" t="str">
        <v/>
      </c>
      <c r="R50" s="67" t="str">
        <v/>
      </c>
      <c r="S50" s="67" t="str">
        <v/>
      </c>
      <c r="T50" s="49"/>
      <c r="U50" s="50"/>
      <c r="V50" s="50"/>
      <c r="W50" s="51"/>
      <c r="X50" s="50"/>
      <c r="Y50" s="50"/>
      <c r="Z50" s="50"/>
      <c r="AA50" s="50"/>
      <c r="AB50" s="51"/>
      <c r="AC50" s="68" t="str">
        <v/>
      </c>
      <c r="AD50" s="68" t="str">
        <v/>
      </c>
      <c r="AE50" s="68" t="str">
        <v/>
      </c>
      <c r="AF50" s="68" t="str">
        <v/>
      </c>
      <c r="AG50" s="69" t="str">
        <v/>
      </c>
      <c r="AH50" s="67" t="str">
        <v/>
      </c>
      <c r="AI50" s="67" t="str">
        <v/>
      </c>
      <c r="AJ50" s="70" t="str">
        <v/>
      </c>
      <c r="AK50" s="67" t="str">
        <v/>
      </c>
      <c r="AL50" s="67" t="str">
        <v/>
      </c>
      <c r="AM50" s="67" t="str">
        <v/>
      </c>
      <c r="AN50" s="67" t="str">
        <v/>
      </c>
      <c r="AO50" s="67" t="str">
        <v/>
      </c>
      <c r="AP50" s="46"/>
      <c r="AQ50" s="82"/>
      <c r="AR50" s="80"/>
      <c r="AS50" s="80" t="str">
        <v/>
      </c>
      <c r="AT50" s="78" t="str">
        <v/>
      </c>
      <c r="AU50" s="79"/>
      <c r="AV50" s="71" t="str">
        <v/>
      </c>
      <c r="AW50" s="68" t="str">
        <v/>
      </c>
      <c r="AX50" s="68" t="str">
        <v/>
      </c>
      <c r="AY50" s="72" t="str">
        <v/>
      </c>
      <c r="AZ50" s="67" t="str">
        <v/>
      </c>
      <c r="BA50" s="67" t="str">
        <v/>
      </c>
      <c r="BB50" s="67" t="str">
        <v/>
      </c>
      <c r="BC50" s="70" t="str">
        <v/>
      </c>
      <c r="BD50" s="67" t="str">
        <v/>
      </c>
      <c r="BE50" s="67" t="str">
        <v/>
      </c>
      <c r="BF50" s="67" t="str">
        <v/>
      </c>
      <c r="BG50" s="67" t="str">
        <v/>
      </c>
      <c r="BH50" s="67" t="str">
        <v/>
      </c>
      <c r="BI50" s="46"/>
      <c r="BJ50" s="73"/>
      <c r="BK50" s="64"/>
      <c r="BL50" s="64" t="str">
        <v/>
      </c>
      <c r="BM50" s="64" t="str">
        <v/>
      </c>
      <c r="BN50" s="64" t="str">
        <v/>
      </c>
      <c r="BO50" s="64" t="str">
        <v/>
      </c>
      <c r="BP50" s="64" t="str">
        <v/>
      </c>
      <c r="BQ50" s="64" t="str">
        <v/>
      </c>
      <c r="BR50" s="64" t="str">
        <v/>
      </c>
      <c r="BS50" s="64" t="str">
        <v/>
      </c>
      <c r="BT50" s="74" t="str">
        <v/>
      </c>
      <c r="BU50" s="46"/>
      <c r="BV50" s="65" t="str">
        <v/>
      </c>
      <c r="BW50" s="66" t="str">
        <v/>
      </c>
      <c r="BX50" s="46"/>
    </row>
    <row r="51" spans="1:76">
      <c r="A51" s="43"/>
      <c r="B51" s="81"/>
      <c r="C51" s="45"/>
      <c r="D51" s="45"/>
      <c r="E51" s="45"/>
      <c r="F51" s="46"/>
      <c r="G51" s="67" t="str">
        <v/>
      </c>
      <c r="H51" s="67" t="str">
        <v/>
      </c>
      <c r="I51" s="46"/>
      <c r="J51" s="67" t="str">
        <v/>
      </c>
      <c r="K51" s="67" t="str">
        <v/>
      </c>
      <c r="L51" s="67" t="str">
        <v/>
      </c>
      <c r="M51" s="67" t="str">
        <v/>
      </c>
      <c r="N51" s="68" t="str">
        <v/>
      </c>
      <c r="O51" s="67" t="str">
        <v/>
      </c>
      <c r="P51" s="67" t="str">
        <v/>
      </c>
      <c r="Q51" s="67" t="str">
        <v/>
      </c>
      <c r="R51" s="67" t="str">
        <v/>
      </c>
      <c r="S51" s="67" t="str">
        <v/>
      </c>
      <c r="T51" s="49"/>
      <c r="U51" s="50"/>
      <c r="V51" s="50"/>
      <c r="W51" s="51"/>
      <c r="X51" s="50"/>
      <c r="Y51" s="50"/>
      <c r="Z51" s="50"/>
      <c r="AA51" s="50"/>
      <c r="AB51" s="51"/>
      <c r="AC51" s="68" t="str">
        <v/>
      </c>
      <c r="AD51" s="68" t="str">
        <v/>
      </c>
      <c r="AE51" s="68" t="str">
        <v/>
      </c>
      <c r="AF51" s="68" t="str">
        <v/>
      </c>
      <c r="AG51" s="69" t="str">
        <v/>
      </c>
      <c r="AH51" s="67" t="str">
        <v/>
      </c>
      <c r="AI51" s="67" t="str">
        <v/>
      </c>
      <c r="AJ51" s="70" t="str">
        <v/>
      </c>
      <c r="AK51" s="67" t="str">
        <v/>
      </c>
      <c r="AL51" s="67" t="str">
        <v/>
      </c>
      <c r="AM51" s="67" t="str">
        <v/>
      </c>
      <c r="AN51" s="67" t="str">
        <v/>
      </c>
      <c r="AO51" s="67" t="str">
        <v/>
      </c>
      <c r="AP51" s="46"/>
      <c r="AQ51" s="82"/>
      <c r="AR51" s="80"/>
      <c r="AS51" s="80" t="str">
        <v/>
      </c>
      <c r="AT51" s="78" t="str">
        <v/>
      </c>
      <c r="AU51" s="79"/>
      <c r="AV51" s="71" t="str">
        <v/>
      </c>
      <c r="AW51" s="68" t="str">
        <v/>
      </c>
      <c r="AX51" s="68" t="str">
        <v/>
      </c>
      <c r="AY51" s="72" t="str">
        <v/>
      </c>
      <c r="AZ51" s="67" t="str">
        <v/>
      </c>
      <c r="BA51" s="67" t="str">
        <v/>
      </c>
      <c r="BB51" s="67" t="str">
        <v/>
      </c>
      <c r="BC51" s="70" t="str">
        <v/>
      </c>
      <c r="BD51" s="67" t="str">
        <v/>
      </c>
      <c r="BE51" s="67" t="str">
        <v/>
      </c>
      <c r="BF51" s="67" t="str">
        <v/>
      </c>
      <c r="BG51" s="67" t="str">
        <v/>
      </c>
      <c r="BH51" s="67" t="str">
        <v/>
      </c>
      <c r="BI51" s="46"/>
      <c r="BJ51" s="73"/>
      <c r="BK51" s="64"/>
      <c r="BL51" s="64" t="str">
        <v/>
      </c>
      <c r="BM51" s="64" t="str">
        <v/>
      </c>
      <c r="BN51" s="64" t="str">
        <v/>
      </c>
      <c r="BO51" s="64" t="str">
        <v/>
      </c>
      <c r="BP51" s="64" t="str">
        <v/>
      </c>
      <c r="BQ51" s="64" t="str">
        <v/>
      </c>
      <c r="BR51" s="64" t="str">
        <v/>
      </c>
      <c r="BS51" s="64" t="str">
        <v/>
      </c>
      <c r="BT51" s="74" t="str">
        <v/>
      </c>
      <c r="BU51" s="46"/>
      <c r="BV51" s="65" t="str">
        <v/>
      </c>
      <c r="BW51" s="66" t="str">
        <v/>
      </c>
      <c r="BX51" s="46"/>
    </row>
    <row r="52" spans="1:76">
      <c r="A52" s="43"/>
      <c r="B52" s="81"/>
      <c r="C52" s="45"/>
      <c r="D52" s="45"/>
      <c r="E52" s="45"/>
      <c r="F52" s="46"/>
      <c r="G52" s="67" t="str">
        <v/>
      </c>
      <c r="H52" s="67" t="str">
        <v/>
      </c>
      <c r="I52" s="46"/>
      <c r="J52" s="67" t="str">
        <v/>
      </c>
      <c r="K52" s="67" t="str">
        <v/>
      </c>
      <c r="L52" s="67" t="str">
        <v/>
      </c>
      <c r="M52" s="67" t="str">
        <v/>
      </c>
      <c r="N52" s="68" t="str">
        <v/>
      </c>
      <c r="O52" s="67" t="str">
        <v/>
      </c>
      <c r="P52" s="67" t="str">
        <v/>
      </c>
      <c r="Q52" s="67" t="str">
        <v/>
      </c>
      <c r="R52" s="67" t="str">
        <v/>
      </c>
      <c r="S52" s="67" t="str">
        <v/>
      </c>
      <c r="T52" s="49"/>
      <c r="U52" s="50"/>
      <c r="V52" s="50"/>
      <c r="W52" s="51"/>
      <c r="X52" s="50"/>
      <c r="Y52" s="50"/>
      <c r="Z52" s="50"/>
      <c r="AA52" s="50"/>
      <c r="AB52" s="51"/>
      <c r="AC52" s="68" t="str">
        <v/>
      </c>
      <c r="AD52" s="68" t="str">
        <v/>
      </c>
      <c r="AE52" s="68" t="str">
        <v/>
      </c>
      <c r="AF52" s="68" t="str">
        <v/>
      </c>
      <c r="AG52" s="69" t="str">
        <v/>
      </c>
      <c r="AH52" s="67" t="str">
        <v/>
      </c>
      <c r="AI52" s="67" t="str">
        <v/>
      </c>
      <c r="AJ52" s="70" t="str">
        <v/>
      </c>
      <c r="AK52" s="67" t="str">
        <v/>
      </c>
      <c r="AL52" s="67" t="str">
        <v/>
      </c>
      <c r="AM52" s="67" t="str">
        <v/>
      </c>
      <c r="AN52" s="67" t="str">
        <v/>
      </c>
      <c r="AO52" s="67" t="str">
        <v/>
      </c>
      <c r="AP52" s="46"/>
      <c r="AQ52" s="82"/>
      <c r="AR52" s="80"/>
      <c r="AS52" s="80" t="str">
        <v/>
      </c>
      <c r="AT52" s="78" t="str">
        <v/>
      </c>
      <c r="AU52" s="79"/>
      <c r="AV52" s="71" t="str">
        <v/>
      </c>
      <c r="AW52" s="68" t="str">
        <v/>
      </c>
      <c r="AX52" s="68" t="str">
        <v/>
      </c>
      <c r="AY52" s="72" t="str">
        <v/>
      </c>
      <c r="AZ52" s="67" t="str">
        <v/>
      </c>
      <c r="BA52" s="67" t="str">
        <v/>
      </c>
      <c r="BB52" s="67" t="str">
        <v/>
      </c>
      <c r="BC52" s="70" t="str">
        <v/>
      </c>
      <c r="BD52" s="67" t="str">
        <v/>
      </c>
      <c r="BE52" s="67" t="str">
        <v/>
      </c>
      <c r="BF52" s="67" t="str">
        <v/>
      </c>
      <c r="BG52" s="67" t="str">
        <v/>
      </c>
      <c r="BH52" s="67" t="str">
        <v/>
      </c>
      <c r="BI52" s="46"/>
      <c r="BJ52" s="73"/>
      <c r="BK52" s="64"/>
      <c r="BL52" s="64" t="str">
        <v/>
      </c>
      <c r="BM52" s="64" t="str">
        <v/>
      </c>
      <c r="BN52" s="64" t="str">
        <v/>
      </c>
      <c r="BO52" s="64" t="str">
        <v/>
      </c>
      <c r="BP52" s="64" t="str">
        <v/>
      </c>
      <c r="BQ52" s="64" t="str">
        <v/>
      </c>
      <c r="BR52" s="64" t="str">
        <v/>
      </c>
      <c r="BS52" s="64" t="str">
        <v/>
      </c>
      <c r="BT52" s="74" t="str">
        <v/>
      </c>
      <c r="BU52" s="46"/>
      <c r="BV52" s="65" t="str">
        <v/>
      </c>
      <c r="BW52" s="66" t="str">
        <v/>
      </c>
      <c r="BX52" s="46"/>
    </row>
    <row r="53" spans="1:76">
      <c r="A53" s="43"/>
      <c r="B53" s="81"/>
      <c r="C53" s="45"/>
      <c r="D53" s="45"/>
      <c r="E53" s="45"/>
      <c r="F53" s="46"/>
      <c r="G53" s="67" t="str">
        <v/>
      </c>
      <c r="H53" s="67" t="str">
        <v/>
      </c>
      <c r="I53" s="46"/>
      <c r="J53" s="67" t="str">
        <v/>
      </c>
      <c r="K53" s="67" t="str">
        <v/>
      </c>
      <c r="L53" s="67" t="str">
        <v/>
      </c>
      <c r="M53" s="67" t="str">
        <v/>
      </c>
      <c r="N53" s="68" t="str">
        <v/>
      </c>
      <c r="O53" s="67" t="str">
        <v/>
      </c>
      <c r="P53" s="67" t="str">
        <v/>
      </c>
      <c r="Q53" s="67" t="str">
        <v/>
      </c>
      <c r="R53" s="67" t="str">
        <v/>
      </c>
      <c r="S53" s="67" t="str">
        <v/>
      </c>
      <c r="T53" s="49"/>
      <c r="U53" s="50"/>
      <c r="V53" s="50"/>
      <c r="W53" s="51"/>
      <c r="X53" s="50"/>
      <c r="Y53" s="50"/>
      <c r="Z53" s="50"/>
      <c r="AA53" s="50"/>
      <c r="AB53" s="51"/>
      <c r="AC53" s="68" t="str">
        <v/>
      </c>
      <c r="AD53" s="68" t="str">
        <v/>
      </c>
      <c r="AE53" s="68" t="str">
        <v/>
      </c>
      <c r="AF53" s="68" t="str">
        <v/>
      </c>
      <c r="AG53" s="69" t="str">
        <v/>
      </c>
      <c r="AH53" s="67" t="str">
        <v/>
      </c>
      <c r="AI53" s="67" t="str">
        <v/>
      </c>
      <c r="AJ53" s="70" t="str">
        <v/>
      </c>
      <c r="AK53" s="67" t="str">
        <v/>
      </c>
      <c r="AL53" s="67" t="str">
        <v/>
      </c>
      <c r="AM53" s="67" t="str">
        <v/>
      </c>
      <c r="AN53" s="67" t="str">
        <v/>
      </c>
      <c r="AO53" s="67" t="str">
        <v/>
      </c>
      <c r="AP53" s="46"/>
      <c r="AQ53" s="82"/>
      <c r="AR53" s="80"/>
      <c r="AS53" s="80" t="str">
        <v/>
      </c>
      <c r="AT53" s="78" t="str">
        <v/>
      </c>
      <c r="AU53" s="79"/>
      <c r="AV53" s="71" t="str">
        <v/>
      </c>
      <c r="AW53" s="68" t="str">
        <v/>
      </c>
      <c r="AX53" s="68" t="str">
        <v/>
      </c>
      <c r="AY53" s="72" t="str">
        <v/>
      </c>
      <c r="AZ53" s="67" t="str">
        <v/>
      </c>
      <c r="BA53" s="67" t="str">
        <v/>
      </c>
      <c r="BB53" s="67" t="str">
        <v/>
      </c>
      <c r="BC53" s="70" t="str">
        <v/>
      </c>
      <c r="BD53" s="67" t="str">
        <v/>
      </c>
      <c r="BE53" s="67" t="str">
        <v/>
      </c>
      <c r="BF53" s="67" t="str">
        <v/>
      </c>
      <c r="BG53" s="67" t="str">
        <v/>
      </c>
      <c r="BH53" s="67" t="str">
        <v/>
      </c>
      <c r="BI53" s="46"/>
      <c r="BJ53" s="73"/>
      <c r="BK53" s="64"/>
      <c r="BL53" s="64" t="str">
        <v/>
      </c>
      <c r="BM53" s="64" t="str">
        <v/>
      </c>
      <c r="BN53" s="64" t="str">
        <v/>
      </c>
      <c r="BO53" s="64" t="str">
        <v/>
      </c>
      <c r="BP53" s="64" t="str">
        <v/>
      </c>
      <c r="BQ53" s="64" t="str">
        <v/>
      </c>
      <c r="BR53" s="64" t="str">
        <v/>
      </c>
      <c r="BS53" s="64" t="str">
        <v/>
      </c>
      <c r="BT53" s="74" t="str">
        <v/>
      </c>
      <c r="BU53" s="46"/>
      <c r="BV53" s="65" t="str">
        <v/>
      </c>
      <c r="BW53" s="66" t="str">
        <v/>
      </c>
      <c r="BX53" s="46"/>
    </row>
    <row r="54" spans="1:76">
      <c r="A54" s="43"/>
      <c r="B54" s="81"/>
      <c r="C54" s="45"/>
      <c r="D54" s="45"/>
      <c r="E54" s="45"/>
      <c r="F54" s="46"/>
      <c r="G54" s="67" t="str">
        <v/>
      </c>
      <c r="H54" s="67" t="str">
        <v/>
      </c>
      <c r="I54" s="46"/>
      <c r="J54" s="67" t="str">
        <v/>
      </c>
      <c r="K54" s="67" t="str">
        <v/>
      </c>
      <c r="L54" s="67" t="str">
        <v/>
      </c>
      <c r="M54" s="67" t="str">
        <v/>
      </c>
      <c r="N54" s="68" t="str">
        <v/>
      </c>
      <c r="O54" s="67" t="str">
        <v/>
      </c>
      <c r="P54" s="67" t="str">
        <v/>
      </c>
      <c r="Q54" s="67" t="str">
        <v/>
      </c>
      <c r="R54" s="67" t="str">
        <v/>
      </c>
      <c r="S54" s="67" t="str">
        <v/>
      </c>
      <c r="T54" s="49"/>
      <c r="U54" s="50"/>
      <c r="V54" s="50"/>
      <c r="W54" s="51"/>
      <c r="X54" s="50"/>
      <c r="Y54" s="50"/>
      <c r="Z54" s="50"/>
      <c r="AA54" s="50"/>
      <c r="AB54" s="51"/>
      <c r="AC54" s="68" t="str">
        <v/>
      </c>
      <c r="AD54" s="68" t="str">
        <v/>
      </c>
      <c r="AE54" s="68" t="str">
        <v/>
      </c>
      <c r="AF54" s="68" t="str">
        <v/>
      </c>
      <c r="AG54" s="69" t="str">
        <v/>
      </c>
      <c r="AH54" s="67" t="str">
        <v/>
      </c>
      <c r="AI54" s="67" t="str">
        <v/>
      </c>
      <c r="AJ54" s="70" t="str">
        <v/>
      </c>
      <c r="AK54" s="67" t="str">
        <v/>
      </c>
      <c r="AL54" s="67" t="str">
        <v/>
      </c>
      <c r="AM54" s="67" t="str">
        <v/>
      </c>
      <c r="AN54" s="67" t="str">
        <v/>
      </c>
      <c r="AO54" s="67" t="str">
        <v/>
      </c>
      <c r="AP54" s="46"/>
      <c r="AQ54" s="82"/>
      <c r="AR54" s="80"/>
      <c r="AS54" s="80" t="str">
        <v/>
      </c>
      <c r="AT54" s="78" t="str">
        <v/>
      </c>
      <c r="AU54" s="79"/>
      <c r="AV54" s="71" t="str">
        <v/>
      </c>
      <c r="AW54" s="68" t="str">
        <v/>
      </c>
      <c r="AX54" s="68" t="str">
        <v/>
      </c>
      <c r="AY54" s="72" t="str">
        <v/>
      </c>
      <c r="AZ54" s="67" t="str">
        <v/>
      </c>
      <c r="BA54" s="67" t="str">
        <v/>
      </c>
      <c r="BB54" s="67" t="str">
        <v/>
      </c>
      <c r="BC54" s="70" t="str">
        <v/>
      </c>
      <c r="BD54" s="67" t="str">
        <v/>
      </c>
      <c r="BE54" s="67" t="str">
        <v/>
      </c>
      <c r="BF54" s="67" t="str">
        <v/>
      </c>
      <c r="BG54" s="67" t="str">
        <v/>
      </c>
      <c r="BH54" s="67" t="str">
        <v/>
      </c>
      <c r="BI54" s="46"/>
      <c r="BJ54" s="73"/>
      <c r="BK54" s="64"/>
      <c r="BL54" s="64" t="str">
        <v/>
      </c>
      <c r="BM54" s="64" t="str">
        <v/>
      </c>
      <c r="BN54" s="64" t="str">
        <v/>
      </c>
      <c r="BO54" s="64" t="str">
        <v/>
      </c>
      <c r="BP54" s="64" t="str">
        <v/>
      </c>
      <c r="BQ54" s="64" t="str">
        <v/>
      </c>
      <c r="BR54" s="64" t="str">
        <v/>
      </c>
      <c r="BS54" s="64" t="str">
        <v/>
      </c>
      <c r="BT54" s="74" t="str">
        <v/>
      </c>
      <c r="BU54" s="46"/>
      <c r="BV54" s="65" t="str">
        <v/>
      </c>
      <c r="BW54" s="66" t="str">
        <v/>
      </c>
      <c r="BX54" s="46"/>
    </row>
    <row r="55" spans="1:76">
      <c r="A55" s="43"/>
      <c r="B55" s="81"/>
      <c r="C55" s="45"/>
      <c r="D55" s="45"/>
      <c r="E55" s="45"/>
      <c r="F55" s="46"/>
      <c r="G55" s="67" t="str">
        <v/>
      </c>
      <c r="H55" s="67" t="str">
        <v/>
      </c>
      <c r="I55" s="46"/>
      <c r="J55" s="67" t="str">
        <v/>
      </c>
      <c r="K55" s="67" t="str">
        <v/>
      </c>
      <c r="L55" s="67" t="str">
        <v/>
      </c>
      <c r="M55" s="67" t="str">
        <v/>
      </c>
      <c r="N55" s="68" t="str">
        <v/>
      </c>
      <c r="O55" s="67" t="str">
        <v/>
      </c>
      <c r="P55" s="67" t="str">
        <v/>
      </c>
      <c r="Q55" s="67" t="str">
        <v/>
      </c>
      <c r="R55" s="67" t="str">
        <v/>
      </c>
      <c r="S55" s="67" t="str">
        <v/>
      </c>
      <c r="T55" s="49"/>
      <c r="U55" s="50"/>
      <c r="V55" s="50"/>
      <c r="W55" s="51"/>
      <c r="X55" s="50"/>
      <c r="Y55" s="50"/>
      <c r="Z55" s="50"/>
      <c r="AA55" s="50"/>
      <c r="AB55" s="51"/>
      <c r="AC55" s="68" t="str">
        <v/>
      </c>
      <c r="AD55" s="68" t="str">
        <v/>
      </c>
      <c r="AE55" s="68" t="str">
        <v/>
      </c>
      <c r="AF55" s="68" t="str">
        <v/>
      </c>
      <c r="AG55" s="69" t="str">
        <v/>
      </c>
      <c r="AH55" s="67" t="str">
        <v/>
      </c>
      <c r="AI55" s="67" t="str">
        <v/>
      </c>
      <c r="AJ55" s="70" t="str">
        <v/>
      </c>
      <c r="AK55" s="67" t="str">
        <v/>
      </c>
      <c r="AL55" s="67" t="str">
        <v/>
      </c>
      <c r="AM55" s="67" t="str">
        <v/>
      </c>
      <c r="AN55" s="67" t="str">
        <v/>
      </c>
      <c r="AO55" s="67" t="str">
        <v/>
      </c>
      <c r="AP55" s="46"/>
      <c r="AQ55" s="82"/>
      <c r="AR55" s="80"/>
      <c r="AS55" s="80" t="str">
        <v/>
      </c>
      <c r="AT55" s="78" t="str">
        <v/>
      </c>
      <c r="AU55" s="79"/>
      <c r="AV55" s="71" t="str">
        <v/>
      </c>
      <c r="AW55" s="68" t="str">
        <v/>
      </c>
      <c r="AX55" s="68" t="str">
        <v/>
      </c>
      <c r="AY55" s="72" t="str">
        <v/>
      </c>
      <c r="AZ55" s="67" t="str">
        <v/>
      </c>
      <c r="BA55" s="67" t="str">
        <v/>
      </c>
      <c r="BB55" s="67" t="str">
        <v/>
      </c>
      <c r="BC55" s="70" t="str">
        <v/>
      </c>
      <c r="BD55" s="67" t="str">
        <v/>
      </c>
      <c r="BE55" s="67" t="str">
        <v/>
      </c>
      <c r="BF55" s="67" t="str">
        <v/>
      </c>
      <c r="BG55" s="67" t="str">
        <v/>
      </c>
      <c r="BH55" s="67" t="str">
        <v/>
      </c>
      <c r="BI55" s="46"/>
      <c r="BJ55" s="73"/>
      <c r="BK55" s="64"/>
      <c r="BL55" s="64" t="str">
        <v/>
      </c>
      <c r="BM55" s="64" t="str">
        <v/>
      </c>
      <c r="BN55" s="64" t="str">
        <v/>
      </c>
      <c r="BO55" s="64" t="str">
        <v/>
      </c>
      <c r="BP55" s="64" t="str">
        <v/>
      </c>
      <c r="BQ55" s="64" t="str">
        <v/>
      </c>
      <c r="BR55" s="64" t="str">
        <v/>
      </c>
      <c r="BS55" s="64" t="str">
        <v/>
      </c>
      <c r="BT55" s="74" t="str">
        <v/>
      </c>
      <c r="BU55" s="46"/>
      <c r="BV55" s="65" t="str">
        <v/>
      </c>
      <c r="BW55" s="66" t="str">
        <v/>
      </c>
      <c r="BX55" s="46"/>
    </row>
    <row r="56" spans="1:76">
      <c r="A56" s="43"/>
      <c r="B56" s="81"/>
      <c r="C56" s="45"/>
      <c r="D56" s="45"/>
      <c r="E56" s="45"/>
      <c r="F56" s="46"/>
      <c r="G56" s="67" t="str">
        <v/>
      </c>
      <c r="H56" s="67" t="str">
        <v/>
      </c>
      <c r="I56" s="46"/>
      <c r="J56" s="67" t="str">
        <v/>
      </c>
      <c r="K56" s="67" t="str">
        <v/>
      </c>
      <c r="L56" s="67" t="str">
        <v/>
      </c>
      <c r="M56" s="67" t="str">
        <v/>
      </c>
      <c r="N56" s="68" t="str">
        <v/>
      </c>
      <c r="O56" s="67" t="str">
        <v/>
      </c>
      <c r="P56" s="67" t="str">
        <v/>
      </c>
      <c r="Q56" s="67" t="str">
        <v/>
      </c>
      <c r="R56" s="67" t="str">
        <v/>
      </c>
      <c r="S56" s="67" t="str">
        <v/>
      </c>
      <c r="T56" s="49"/>
      <c r="U56" s="50"/>
      <c r="V56" s="50"/>
      <c r="W56" s="51"/>
      <c r="X56" s="50"/>
      <c r="Y56" s="50"/>
      <c r="Z56" s="50"/>
      <c r="AA56" s="50"/>
      <c r="AB56" s="51"/>
      <c r="AC56" s="68" t="str">
        <v/>
      </c>
      <c r="AD56" s="68" t="str">
        <v/>
      </c>
      <c r="AE56" s="68" t="str">
        <v/>
      </c>
      <c r="AF56" s="68" t="str">
        <v/>
      </c>
      <c r="AG56" s="69" t="str">
        <v/>
      </c>
      <c r="AH56" s="67" t="str">
        <v/>
      </c>
      <c r="AI56" s="67" t="str">
        <v/>
      </c>
      <c r="AJ56" s="70" t="str">
        <v/>
      </c>
      <c r="AK56" s="67" t="str">
        <v/>
      </c>
      <c r="AL56" s="67" t="str">
        <v/>
      </c>
      <c r="AM56" s="67" t="str">
        <v/>
      </c>
      <c r="AN56" s="67" t="str">
        <v/>
      </c>
      <c r="AO56" s="67" t="str">
        <v/>
      </c>
      <c r="AP56" s="46"/>
      <c r="AQ56" s="82"/>
      <c r="AR56" s="80"/>
      <c r="AS56" s="80" t="str">
        <v/>
      </c>
      <c r="AT56" s="78" t="str">
        <v/>
      </c>
      <c r="AU56" s="79"/>
      <c r="AV56" s="71" t="str">
        <v/>
      </c>
      <c r="AW56" s="68" t="str">
        <v/>
      </c>
      <c r="AX56" s="68" t="str">
        <v/>
      </c>
      <c r="AY56" s="72" t="str">
        <v/>
      </c>
      <c r="AZ56" s="67" t="str">
        <v/>
      </c>
      <c r="BA56" s="67" t="str">
        <v/>
      </c>
      <c r="BB56" s="67" t="str">
        <v/>
      </c>
      <c r="BC56" s="70" t="str">
        <v/>
      </c>
      <c r="BD56" s="67" t="str">
        <v/>
      </c>
      <c r="BE56" s="67" t="str">
        <v/>
      </c>
      <c r="BF56" s="67" t="str">
        <v/>
      </c>
      <c r="BG56" s="67" t="str">
        <v/>
      </c>
      <c r="BH56" s="67" t="str">
        <v/>
      </c>
      <c r="BI56" s="46"/>
      <c r="BJ56" s="73"/>
      <c r="BK56" s="64"/>
      <c r="BL56" s="64" t="str">
        <v/>
      </c>
      <c r="BM56" s="64" t="str">
        <v/>
      </c>
      <c r="BN56" s="64" t="str">
        <v/>
      </c>
      <c r="BO56" s="64" t="str">
        <v/>
      </c>
      <c r="BP56" s="64" t="str">
        <v/>
      </c>
      <c r="BQ56" s="64" t="str">
        <v/>
      </c>
      <c r="BR56" s="64" t="str">
        <v/>
      </c>
      <c r="BS56" s="64" t="str">
        <v/>
      </c>
      <c r="BT56" s="74" t="str">
        <v/>
      </c>
      <c r="BU56" s="46"/>
      <c r="BV56" s="65" t="str">
        <v/>
      </c>
      <c r="BW56" s="66" t="str">
        <v/>
      </c>
      <c r="BX56" s="46"/>
    </row>
    <row r="57" spans="1:76">
      <c r="A57" s="43"/>
      <c r="B57" s="81"/>
      <c r="C57" s="45"/>
      <c r="D57" s="45"/>
      <c r="E57" s="45"/>
      <c r="F57" s="46"/>
      <c r="G57" s="67" t="str">
        <v/>
      </c>
      <c r="H57" s="67" t="str">
        <v/>
      </c>
      <c r="I57" s="46"/>
      <c r="J57" s="67" t="str">
        <v/>
      </c>
      <c r="K57" s="67" t="str">
        <v/>
      </c>
      <c r="L57" s="67" t="str">
        <v/>
      </c>
      <c r="M57" s="67" t="str">
        <v/>
      </c>
      <c r="N57" s="68" t="str">
        <v/>
      </c>
      <c r="O57" s="67" t="str">
        <v/>
      </c>
      <c r="P57" s="67" t="str">
        <v/>
      </c>
      <c r="Q57" s="67" t="str">
        <v/>
      </c>
      <c r="R57" s="67" t="str">
        <v/>
      </c>
      <c r="S57" s="67" t="str">
        <v/>
      </c>
      <c r="T57" s="49"/>
      <c r="U57" s="50"/>
      <c r="V57" s="50"/>
      <c r="W57" s="51"/>
      <c r="X57" s="50"/>
      <c r="Y57" s="50"/>
      <c r="Z57" s="50"/>
      <c r="AA57" s="50"/>
      <c r="AB57" s="51"/>
      <c r="AC57" s="68" t="str">
        <v/>
      </c>
      <c r="AD57" s="68" t="str">
        <v/>
      </c>
      <c r="AE57" s="68" t="str">
        <v/>
      </c>
      <c r="AF57" s="68" t="str">
        <v/>
      </c>
      <c r="AG57" s="69" t="str">
        <v/>
      </c>
      <c r="AH57" s="67" t="str">
        <v/>
      </c>
      <c r="AI57" s="67" t="str">
        <v/>
      </c>
      <c r="AJ57" s="70" t="str">
        <v/>
      </c>
      <c r="AK57" s="67" t="str">
        <v/>
      </c>
      <c r="AL57" s="67" t="str">
        <v/>
      </c>
      <c r="AM57" s="67" t="str">
        <v/>
      </c>
      <c r="AN57" s="67" t="str">
        <v/>
      </c>
      <c r="AO57" s="67" t="str">
        <v/>
      </c>
      <c r="AP57" s="46"/>
      <c r="AQ57" s="82"/>
      <c r="AR57" s="80"/>
      <c r="AS57" s="80" t="str">
        <v/>
      </c>
      <c r="AT57" s="78" t="str">
        <v/>
      </c>
      <c r="AU57" s="79"/>
      <c r="AV57" s="71" t="str">
        <v/>
      </c>
      <c r="AW57" s="68" t="str">
        <v/>
      </c>
      <c r="AX57" s="68" t="str">
        <v/>
      </c>
      <c r="AY57" s="72" t="str">
        <v/>
      </c>
      <c r="AZ57" s="67" t="str">
        <v/>
      </c>
      <c r="BA57" s="67" t="str">
        <v/>
      </c>
      <c r="BB57" s="67" t="str">
        <v/>
      </c>
      <c r="BC57" s="70" t="str">
        <v/>
      </c>
      <c r="BD57" s="67" t="str">
        <v/>
      </c>
      <c r="BE57" s="67" t="str">
        <v/>
      </c>
      <c r="BF57" s="67" t="str">
        <v/>
      </c>
      <c r="BG57" s="67" t="str">
        <v/>
      </c>
      <c r="BH57" s="67" t="str">
        <v/>
      </c>
      <c r="BI57" s="46"/>
      <c r="BJ57" s="73"/>
      <c r="BK57" s="64"/>
      <c r="BL57" s="64" t="str">
        <v/>
      </c>
      <c r="BM57" s="64" t="str">
        <v/>
      </c>
      <c r="BN57" s="64" t="str">
        <v/>
      </c>
      <c r="BO57" s="64" t="str">
        <v/>
      </c>
      <c r="BP57" s="64" t="str">
        <v/>
      </c>
      <c r="BQ57" s="64" t="str">
        <v/>
      </c>
      <c r="BR57" s="64" t="str">
        <v/>
      </c>
      <c r="BS57" s="64" t="str">
        <v/>
      </c>
      <c r="BT57" s="74" t="str">
        <v/>
      </c>
      <c r="BU57" s="46"/>
      <c r="BV57" s="65" t="str">
        <v/>
      </c>
      <c r="BW57" s="66" t="str">
        <v/>
      </c>
      <c r="BX57" s="46"/>
    </row>
    <row r="58" spans="1:76">
      <c r="A58" s="43"/>
      <c r="B58" s="81"/>
      <c r="C58" s="45"/>
      <c r="D58" s="45"/>
      <c r="E58" s="45"/>
      <c r="F58" s="46"/>
      <c r="G58" s="67" t="str">
        <v/>
      </c>
      <c r="H58" s="67" t="str">
        <v/>
      </c>
      <c r="I58" s="46"/>
      <c r="J58" s="67" t="str">
        <v/>
      </c>
      <c r="K58" s="67" t="str">
        <v/>
      </c>
      <c r="L58" s="67" t="str">
        <v/>
      </c>
      <c r="M58" s="67" t="str">
        <v/>
      </c>
      <c r="N58" s="68" t="str">
        <v/>
      </c>
      <c r="O58" s="67" t="str">
        <v/>
      </c>
      <c r="P58" s="67" t="str">
        <v/>
      </c>
      <c r="Q58" s="67" t="str">
        <v/>
      </c>
      <c r="R58" s="67" t="str">
        <v/>
      </c>
      <c r="S58" s="67" t="str">
        <v/>
      </c>
      <c r="T58" s="49"/>
      <c r="U58" s="50"/>
      <c r="V58" s="50"/>
      <c r="W58" s="51"/>
      <c r="X58" s="50"/>
      <c r="Y58" s="50"/>
      <c r="Z58" s="50"/>
      <c r="AA58" s="50"/>
      <c r="AB58" s="51"/>
      <c r="AC58" s="68" t="str">
        <v/>
      </c>
      <c r="AD58" s="68" t="str">
        <v/>
      </c>
      <c r="AE58" s="68" t="str">
        <v/>
      </c>
      <c r="AF58" s="68" t="str">
        <v/>
      </c>
      <c r="AG58" s="69" t="str">
        <v/>
      </c>
      <c r="AH58" s="67" t="str">
        <v/>
      </c>
      <c r="AI58" s="67" t="str">
        <v/>
      </c>
      <c r="AJ58" s="70" t="str">
        <v/>
      </c>
      <c r="AK58" s="67" t="str">
        <v/>
      </c>
      <c r="AL58" s="67" t="str">
        <v/>
      </c>
      <c r="AM58" s="67" t="str">
        <v/>
      </c>
      <c r="AN58" s="67" t="str">
        <v/>
      </c>
      <c r="AO58" s="67" t="str">
        <v/>
      </c>
      <c r="AP58" s="46"/>
      <c r="AQ58" s="82"/>
      <c r="AR58" s="80"/>
      <c r="AS58" s="80" t="str">
        <v/>
      </c>
      <c r="AT58" s="78" t="str">
        <v/>
      </c>
      <c r="AU58" s="79"/>
      <c r="AV58" s="71" t="str">
        <v/>
      </c>
      <c r="AW58" s="68" t="str">
        <v/>
      </c>
      <c r="AX58" s="68" t="str">
        <v/>
      </c>
      <c r="AY58" s="72" t="str">
        <v/>
      </c>
      <c r="AZ58" s="67" t="str">
        <v/>
      </c>
      <c r="BA58" s="67" t="str">
        <v/>
      </c>
      <c r="BB58" s="67" t="str">
        <v/>
      </c>
      <c r="BC58" s="70" t="str">
        <v/>
      </c>
      <c r="BD58" s="67" t="str">
        <v/>
      </c>
      <c r="BE58" s="67" t="str">
        <v/>
      </c>
      <c r="BF58" s="67" t="str">
        <v/>
      </c>
      <c r="BG58" s="67" t="str">
        <v/>
      </c>
      <c r="BH58" s="67" t="str">
        <v/>
      </c>
      <c r="BI58" s="46"/>
      <c r="BJ58" s="73"/>
      <c r="BK58" s="64"/>
      <c r="BL58" s="64" t="str">
        <v/>
      </c>
      <c r="BM58" s="64" t="str">
        <v/>
      </c>
      <c r="BN58" s="64" t="str">
        <v/>
      </c>
      <c r="BO58" s="64" t="str">
        <v/>
      </c>
      <c r="BP58" s="64" t="str">
        <v/>
      </c>
      <c r="BQ58" s="64" t="str">
        <v/>
      </c>
      <c r="BR58" s="64" t="str">
        <v/>
      </c>
      <c r="BS58" s="64" t="str">
        <v/>
      </c>
      <c r="BT58" s="74" t="str">
        <v/>
      </c>
      <c r="BU58" s="46"/>
      <c r="BV58" s="65" t="str">
        <v/>
      </c>
      <c r="BW58" s="66" t="str">
        <v/>
      </c>
      <c r="BX58" s="46"/>
    </row>
    <row r="59" spans="1:76">
      <c r="A59" s="43"/>
      <c r="B59" s="81"/>
      <c r="C59" s="45"/>
      <c r="D59" s="45"/>
      <c r="E59" s="45"/>
      <c r="F59" s="46"/>
      <c r="G59" s="67" t="str">
        <v/>
      </c>
      <c r="H59" s="67" t="str">
        <v/>
      </c>
      <c r="I59" s="46"/>
      <c r="J59" s="67" t="str">
        <v/>
      </c>
      <c r="K59" s="67" t="str">
        <v/>
      </c>
      <c r="L59" s="67" t="str">
        <v/>
      </c>
      <c r="M59" s="67" t="str">
        <v/>
      </c>
      <c r="N59" s="68" t="str">
        <v/>
      </c>
      <c r="O59" s="67" t="str">
        <v/>
      </c>
      <c r="P59" s="67" t="str">
        <v/>
      </c>
      <c r="Q59" s="67" t="str">
        <v/>
      </c>
      <c r="R59" s="67" t="str">
        <v/>
      </c>
      <c r="S59" s="67" t="str">
        <v/>
      </c>
      <c r="T59" s="49"/>
      <c r="U59" s="50"/>
      <c r="V59" s="50"/>
      <c r="W59" s="51"/>
      <c r="X59" s="50"/>
      <c r="Y59" s="50"/>
      <c r="Z59" s="50"/>
      <c r="AA59" s="50"/>
      <c r="AB59" s="51"/>
      <c r="AC59" s="68" t="str">
        <v/>
      </c>
      <c r="AD59" s="68" t="str">
        <v/>
      </c>
      <c r="AE59" s="68" t="str">
        <v/>
      </c>
      <c r="AF59" s="68" t="str">
        <v/>
      </c>
      <c r="AG59" s="69" t="str">
        <v/>
      </c>
      <c r="AH59" s="67" t="str">
        <v/>
      </c>
      <c r="AI59" s="67" t="str">
        <v/>
      </c>
      <c r="AJ59" s="70" t="str">
        <v/>
      </c>
      <c r="AK59" s="67" t="str">
        <v/>
      </c>
      <c r="AL59" s="67" t="str">
        <v/>
      </c>
      <c r="AM59" s="67" t="str">
        <v/>
      </c>
      <c r="AN59" s="67" t="str">
        <v/>
      </c>
      <c r="AO59" s="67" t="str">
        <v/>
      </c>
      <c r="AP59" s="46"/>
      <c r="AQ59" s="82"/>
      <c r="AR59" s="80"/>
      <c r="AS59" s="80" t="str">
        <v/>
      </c>
      <c r="AT59" s="78" t="str">
        <v/>
      </c>
      <c r="AU59" s="79"/>
      <c r="AV59" s="71" t="str">
        <v/>
      </c>
      <c r="AW59" s="68" t="str">
        <v/>
      </c>
      <c r="AX59" s="68" t="str">
        <v/>
      </c>
      <c r="AY59" s="72" t="str">
        <v/>
      </c>
      <c r="AZ59" s="67" t="str">
        <v/>
      </c>
      <c r="BA59" s="67" t="str">
        <v/>
      </c>
      <c r="BB59" s="67" t="str">
        <v/>
      </c>
      <c r="BC59" s="70" t="str">
        <v/>
      </c>
      <c r="BD59" s="67" t="str">
        <v/>
      </c>
      <c r="BE59" s="67" t="str">
        <v/>
      </c>
      <c r="BF59" s="67" t="str">
        <v/>
      </c>
      <c r="BG59" s="67" t="str">
        <v/>
      </c>
      <c r="BH59" s="67" t="str">
        <v/>
      </c>
      <c r="BI59" s="46"/>
      <c r="BJ59" s="73"/>
      <c r="BK59" s="64"/>
      <c r="BL59" s="64" t="str">
        <v/>
      </c>
      <c r="BM59" s="64" t="str">
        <v/>
      </c>
      <c r="BN59" s="64" t="str">
        <v/>
      </c>
      <c r="BO59" s="64" t="str">
        <v/>
      </c>
      <c r="BP59" s="64" t="str">
        <v/>
      </c>
      <c r="BQ59" s="64" t="str">
        <v/>
      </c>
      <c r="BR59" s="64" t="str">
        <v/>
      </c>
      <c r="BS59" s="64" t="str">
        <v/>
      </c>
      <c r="BT59" s="74" t="str">
        <v/>
      </c>
      <c r="BU59" s="46"/>
      <c r="BV59" s="65" t="str">
        <v/>
      </c>
      <c r="BW59" s="66" t="str">
        <v/>
      </c>
      <c r="BX59" s="46"/>
    </row>
    <row r="60" spans="1:76">
      <c r="A60" s="43"/>
      <c r="B60" s="81"/>
      <c r="C60" s="45"/>
      <c r="D60" s="45"/>
      <c r="E60" s="45"/>
      <c r="F60" s="46"/>
      <c r="G60" s="67" t="str">
        <v/>
      </c>
      <c r="H60" s="67" t="str">
        <v/>
      </c>
      <c r="I60" s="46"/>
      <c r="J60" s="67" t="str">
        <v/>
      </c>
      <c r="K60" s="67" t="str">
        <v/>
      </c>
      <c r="L60" s="67" t="str">
        <v/>
      </c>
      <c r="M60" s="67" t="str">
        <v/>
      </c>
      <c r="N60" s="68" t="str">
        <v/>
      </c>
      <c r="O60" s="67" t="str">
        <v/>
      </c>
      <c r="P60" s="67" t="str">
        <v/>
      </c>
      <c r="Q60" s="67" t="str">
        <v/>
      </c>
      <c r="R60" s="67" t="str">
        <v/>
      </c>
      <c r="S60" s="67" t="str">
        <v/>
      </c>
      <c r="T60" s="49"/>
      <c r="U60" s="50"/>
      <c r="V60" s="50"/>
      <c r="W60" s="51"/>
      <c r="X60" s="50"/>
      <c r="Y60" s="50"/>
      <c r="Z60" s="50"/>
      <c r="AA60" s="50"/>
      <c r="AB60" s="51"/>
      <c r="AC60" s="68" t="str">
        <v/>
      </c>
      <c r="AD60" s="68" t="str">
        <v/>
      </c>
      <c r="AE60" s="68" t="str">
        <v/>
      </c>
      <c r="AF60" s="68" t="str">
        <v/>
      </c>
      <c r="AG60" s="69" t="str">
        <v/>
      </c>
      <c r="AH60" s="67" t="str">
        <v/>
      </c>
      <c r="AI60" s="67" t="str">
        <v/>
      </c>
      <c r="AJ60" s="70" t="str">
        <v/>
      </c>
      <c r="AK60" s="67" t="str">
        <v/>
      </c>
      <c r="AL60" s="67" t="str">
        <v/>
      </c>
      <c r="AM60" s="67" t="str">
        <v/>
      </c>
      <c r="AN60" s="67" t="str">
        <v/>
      </c>
      <c r="AO60" s="67" t="str">
        <v/>
      </c>
      <c r="AP60" s="46"/>
      <c r="AQ60" s="82"/>
      <c r="AR60" s="80"/>
      <c r="AS60" s="80" t="str">
        <v/>
      </c>
      <c r="AT60" s="78" t="str">
        <v/>
      </c>
      <c r="AU60" s="79"/>
      <c r="AV60" s="71" t="str">
        <v/>
      </c>
      <c r="AW60" s="68" t="str">
        <v/>
      </c>
      <c r="AX60" s="68" t="str">
        <v/>
      </c>
      <c r="AY60" s="72" t="str">
        <v/>
      </c>
      <c r="AZ60" s="67" t="str">
        <v/>
      </c>
      <c r="BA60" s="67" t="str">
        <v/>
      </c>
      <c r="BB60" s="67" t="str">
        <v/>
      </c>
      <c r="BC60" s="70" t="str">
        <v/>
      </c>
      <c r="BD60" s="67" t="str">
        <v/>
      </c>
      <c r="BE60" s="67" t="str">
        <v/>
      </c>
      <c r="BF60" s="67" t="str">
        <v/>
      </c>
      <c r="BG60" s="67" t="str">
        <v/>
      </c>
      <c r="BH60" s="67" t="str">
        <v/>
      </c>
      <c r="BI60" s="46"/>
      <c r="BJ60" s="73"/>
      <c r="BK60" s="64"/>
      <c r="BL60" s="64" t="str">
        <v/>
      </c>
      <c r="BM60" s="64" t="str">
        <v/>
      </c>
      <c r="BN60" s="64" t="str">
        <v/>
      </c>
      <c r="BO60" s="64" t="str">
        <v/>
      </c>
      <c r="BP60" s="64" t="str">
        <v/>
      </c>
      <c r="BQ60" s="64" t="str">
        <v/>
      </c>
      <c r="BR60" s="64" t="str">
        <v/>
      </c>
      <c r="BS60" s="64" t="str">
        <v/>
      </c>
      <c r="BT60" s="74" t="str">
        <v/>
      </c>
      <c r="BU60" s="46"/>
      <c r="BV60" s="65" t="str">
        <v/>
      </c>
      <c r="BW60" s="66" t="str">
        <v/>
      </c>
      <c r="BX60" s="46"/>
    </row>
    <row r="61" spans="1:76">
      <c r="A61" s="43"/>
      <c r="B61" s="81"/>
      <c r="C61" s="45"/>
      <c r="D61" s="45"/>
      <c r="E61" s="45"/>
      <c r="F61" s="46"/>
      <c r="G61" s="67" t="str">
        <v/>
      </c>
      <c r="H61" s="67" t="str">
        <v/>
      </c>
      <c r="I61" s="46"/>
      <c r="J61" s="67" t="str">
        <v/>
      </c>
      <c r="K61" s="67" t="str">
        <v/>
      </c>
      <c r="L61" s="67" t="str">
        <v/>
      </c>
      <c r="M61" s="67" t="str">
        <v/>
      </c>
      <c r="N61" s="68" t="str">
        <v/>
      </c>
      <c r="O61" s="67" t="str">
        <v/>
      </c>
      <c r="P61" s="67" t="str">
        <v/>
      </c>
      <c r="Q61" s="67" t="str">
        <v/>
      </c>
      <c r="R61" s="67" t="str">
        <v/>
      </c>
      <c r="S61" s="67" t="str">
        <v/>
      </c>
      <c r="T61" s="49"/>
      <c r="U61" s="50"/>
      <c r="V61" s="50"/>
      <c r="W61" s="51"/>
      <c r="X61" s="50"/>
      <c r="Y61" s="50"/>
      <c r="Z61" s="50"/>
      <c r="AA61" s="50"/>
      <c r="AB61" s="51"/>
      <c r="AC61" s="68" t="str">
        <v/>
      </c>
      <c r="AD61" s="68" t="str">
        <v/>
      </c>
      <c r="AE61" s="68" t="str">
        <v/>
      </c>
      <c r="AF61" s="68" t="str">
        <v/>
      </c>
      <c r="AG61" s="69" t="str">
        <v/>
      </c>
      <c r="AH61" s="67" t="str">
        <v/>
      </c>
      <c r="AI61" s="67" t="str">
        <v/>
      </c>
      <c r="AJ61" s="70" t="str">
        <v/>
      </c>
      <c r="AK61" s="67" t="str">
        <v/>
      </c>
      <c r="AL61" s="67" t="str">
        <v/>
      </c>
      <c r="AM61" s="67" t="str">
        <v/>
      </c>
      <c r="AN61" s="67" t="str">
        <v/>
      </c>
      <c r="AO61" s="67" t="str">
        <v/>
      </c>
      <c r="AP61" s="46"/>
      <c r="AQ61" s="82"/>
      <c r="AR61" s="80"/>
      <c r="AS61" s="80" t="str">
        <v/>
      </c>
      <c r="AT61" s="78" t="str">
        <v/>
      </c>
      <c r="AU61" s="79"/>
      <c r="AV61" s="71" t="str">
        <v/>
      </c>
      <c r="AW61" s="68" t="str">
        <v/>
      </c>
      <c r="AX61" s="68" t="str">
        <v/>
      </c>
      <c r="AY61" s="72" t="str">
        <v/>
      </c>
      <c r="AZ61" s="67" t="str">
        <v/>
      </c>
      <c r="BA61" s="67" t="str">
        <v/>
      </c>
      <c r="BB61" s="67" t="str">
        <v/>
      </c>
      <c r="BC61" s="70" t="str">
        <v/>
      </c>
      <c r="BD61" s="67" t="str">
        <v/>
      </c>
      <c r="BE61" s="67" t="str">
        <v/>
      </c>
      <c r="BF61" s="67" t="str">
        <v/>
      </c>
      <c r="BG61" s="67" t="str">
        <v/>
      </c>
      <c r="BH61" s="67" t="str">
        <v/>
      </c>
      <c r="BI61" s="46"/>
      <c r="BJ61" s="73"/>
      <c r="BK61" s="64"/>
      <c r="BL61" s="64" t="str">
        <v/>
      </c>
      <c r="BM61" s="64" t="str">
        <v/>
      </c>
      <c r="BN61" s="64" t="str">
        <v/>
      </c>
      <c r="BO61" s="64" t="str">
        <v/>
      </c>
      <c r="BP61" s="64" t="str">
        <v/>
      </c>
      <c r="BQ61" s="64" t="str">
        <v/>
      </c>
      <c r="BR61" s="64" t="str">
        <v/>
      </c>
      <c r="BS61" s="64" t="str">
        <v/>
      </c>
      <c r="BT61" s="74" t="str">
        <v/>
      </c>
      <c r="BU61" s="46"/>
      <c r="BV61" s="65" t="str">
        <v/>
      </c>
      <c r="BW61" s="66" t="str">
        <v/>
      </c>
      <c r="BX61" s="46"/>
    </row>
    <row r="62" spans="1:76">
      <c r="A62" s="43"/>
      <c r="B62" s="81"/>
      <c r="C62" s="45"/>
      <c r="D62" s="45"/>
      <c r="E62" s="45"/>
      <c r="F62" s="46"/>
      <c r="G62" s="67" t="str">
        <v/>
      </c>
      <c r="H62" s="67" t="str">
        <v/>
      </c>
      <c r="I62" s="46"/>
      <c r="J62" s="67" t="str">
        <v/>
      </c>
      <c r="K62" s="67" t="str">
        <v/>
      </c>
      <c r="L62" s="67" t="str">
        <v/>
      </c>
      <c r="M62" s="67" t="str">
        <v/>
      </c>
      <c r="N62" s="68" t="str">
        <v/>
      </c>
      <c r="O62" s="67" t="str">
        <v/>
      </c>
      <c r="P62" s="67" t="str">
        <v/>
      </c>
      <c r="Q62" s="67" t="str">
        <v/>
      </c>
      <c r="R62" s="67" t="str">
        <v/>
      </c>
      <c r="S62" s="67" t="str">
        <v/>
      </c>
      <c r="T62" s="49"/>
      <c r="U62" s="50"/>
      <c r="V62" s="50"/>
      <c r="W62" s="51"/>
      <c r="X62" s="50"/>
      <c r="Y62" s="50"/>
      <c r="Z62" s="50"/>
      <c r="AA62" s="50"/>
      <c r="AB62" s="51"/>
      <c r="AC62" s="68" t="str">
        <v/>
      </c>
      <c r="AD62" s="68" t="str">
        <v/>
      </c>
      <c r="AE62" s="68" t="str">
        <v/>
      </c>
      <c r="AF62" s="68" t="str">
        <v/>
      </c>
      <c r="AG62" s="69" t="str">
        <v/>
      </c>
      <c r="AH62" s="67" t="str">
        <v/>
      </c>
      <c r="AI62" s="67" t="str">
        <v/>
      </c>
      <c r="AJ62" s="70" t="str">
        <v/>
      </c>
      <c r="AK62" s="67" t="str">
        <v/>
      </c>
      <c r="AL62" s="67" t="str">
        <v/>
      </c>
      <c r="AM62" s="67" t="str">
        <v/>
      </c>
      <c r="AN62" s="67" t="str">
        <v/>
      </c>
      <c r="AO62" s="67" t="str">
        <v/>
      </c>
      <c r="AP62" s="46"/>
      <c r="AQ62" s="82"/>
      <c r="AR62" s="80"/>
      <c r="AS62" s="80" t="str">
        <v/>
      </c>
      <c r="AT62" s="78" t="str">
        <v/>
      </c>
      <c r="AU62" s="79"/>
      <c r="AV62" s="71" t="str">
        <v/>
      </c>
      <c r="AW62" s="68" t="str">
        <v/>
      </c>
      <c r="AX62" s="68" t="str">
        <v/>
      </c>
      <c r="AY62" s="72" t="str">
        <v/>
      </c>
      <c r="AZ62" s="67" t="str">
        <v/>
      </c>
      <c r="BA62" s="67" t="str">
        <v/>
      </c>
      <c r="BB62" s="67" t="str">
        <v/>
      </c>
      <c r="BC62" s="70" t="str">
        <v/>
      </c>
      <c r="BD62" s="67" t="str">
        <v/>
      </c>
      <c r="BE62" s="67" t="str">
        <v/>
      </c>
      <c r="BF62" s="67" t="str">
        <v/>
      </c>
      <c r="BG62" s="67" t="str">
        <v/>
      </c>
      <c r="BH62" s="67" t="str">
        <v/>
      </c>
      <c r="BI62" s="46"/>
      <c r="BJ62" s="73"/>
      <c r="BK62" s="64"/>
      <c r="BL62" s="64" t="str">
        <v/>
      </c>
      <c r="BM62" s="64" t="str">
        <v/>
      </c>
      <c r="BN62" s="64" t="str">
        <v/>
      </c>
      <c r="BO62" s="64" t="str">
        <v/>
      </c>
      <c r="BP62" s="64" t="str">
        <v/>
      </c>
      <c r="BQ62" s="64" t="str">
        <v/>
      </c>
      <c r="BR62" s="64" t="str">
        <v/>
      </c>
      <c r="BS62" s="64" t="str">
        <v/>
      </c>
      <c r="BT62" s="74" t="str">
        <v/>
      </c>
      <c r="BU62" s="46"/>
      <c r="BV62" s="65" t="str">
        <v/>
      </c>
      <c r="BW62" s="66" t="str">
        <v/>
      </c>
      <c r="BX62" s="46"/>
    </row>
    <row r="63" spans="1:76">
      <c r="A63" s="43"/>
      <c r="B63" s="81"/>
      <c r="C63" s="45"/>
      <c r="D63" s="45"/>
      <c r="E63" s="45"/>
      <c r="F63" s="46"/>
      <c r="G63" s="67" t="str">
        <v/>
      </c>
      <c r="H63" s="67" t="str">
        <v/>
      </c>
      <c r="I63" s="46"/>
      <c r="J63" s="67" t="str">
        <v/>
      </c>
      <c r="K63" s="67" t="str">
        <v/>
      </c>
      <c r="L63" s="67" t="str">
        <v/>
      </c>
      <c r="M63" s="67" t="str">
        <v/>
      </c>
      <c r="N63" s="68" t="str">
        <v/>
      </c>
      <c r="O63" s="67" t="str">
        <v/>
      </c>
      <c r="P63" s="67" t="str">
        <v/>
      </c>
      <c r="Q63" s="67" t="str">
        <v/>
      </c>
      <c r="R63" s="67" t="str">
        <v/>
      </c>
      <c r="S63" s="67" t="str">
        <v/>
      </c>
      <c r="T63" s="49"/>
      <c r="U63" s="50"/>
      <c r="V63" s="50"/>
      <c r="W63" s="51"/>
      <c r="X63" s="50"/>
      <c r="Y63" s="50"/>
      <c r="Z63" s="50"/>
      <c r="AA63" s="50"/>
      <c r="AB63" s="51"/>
      <c r="AC63" s="68" t="str">
        <v/>
      </c>
      <c r="AD63" s="68" t="str">
        <v/>
      </c>
      <c r="AE63" s="68" t="str">
        <v/>
      </c>
      <c r="AF63" s="68" t="str">
        <v/>
      </c>
      <c r="AG63" s="69" t="str">
        <v/>
      </c>
      <c r="AH63" s="67" t="str">
        <v/>
      </c>
      <c r="AI63" s="67" t="str">
        <v/>
      </c>
      <c r="AJ63" s="70" t="str">
        <v/>
      </c>
      <c r="AK63" s="67" t="str">
        <v/>
      </c>
      <c r="AL63" s="67" t="str">
        <v/>
      </c>
      <c r="AM63" s="67" t="str">
        <v/>
      </c>
      <c r="AN63" s="67" t="str">
        <v/>
      </c>
      <c r="AO63" s="67" t="str">
        <v/>
      </c>
      <c r="AP63" s="46"/>
      <c r="AQ63" s="82"/>
      <c r="AR63" s="80"/>
      <c r="AS63" s="80" t="str">
        <v/>
      </c>
      <c r="AT63" s="78" t="str">
        <v/>
      </c>
      <c r="AU63" s="79"/>
      <c r="AV63" s="71" t="str">
        <v/>
      </c>
      <c r="AW63" s="68" t="str">
        <v/>
      </c>
      <c r="AX63" s="68" t="str">
        <v/>
      </c>
      <c r="AY63" s="72" t="str">
        <v/>
      </c>
      <c r="AZ63" s="67" t="str">
        <v/>
      </c>
      <c r="BA63" s="67" t="str">
        <v/>
      </c>
      <c r="BB63" s="67" t="str">
        <v/>
      </c>
      <c r="BC63" s="70" t="str">
        <v/>
      </c>
      <c r="BD63" s="67" t="str">
        <v/>
      </c>
      <c r="BE63" s="67" t="str">
        <v/>
      </c>
      <c r="BF63" s="67" t="str">
        <v/>
      </c>
      <c r="BG63" s="67" t="str">
        <v/>
      </c>
      <c r="BH63" s="67" t="str">
        <v/>
      </c>
      <c r="BI63" s="46"/>
      <c r="BJ63" s="73"/>
      <c r="BK63" s="64"/>
      <c r="BL63" s="64" t="str">
        <v/>
      </c>
      <c r="BM63" s="64" t="str">
        <v/>
      </c>
      <c r="BN63" s="64" t="str">
        <v/>
      </c>
      <c r="BO63" s="64" t="str">
        <v/>
      </c>
      <c r="BP63" s="64" t="str">
        <v/>
      </c>
      <c r="BQ63" s="64" t="str">
        <v/>
      </c>
      <c r="BR63" s="64" t="str">
        <v/>
      </c>
      <c r="BS63" s="64" t="str">
        <v/>
      </c>
      <c r="BT63" s="74" t="str">
        <v/>
      </c>
      <c r="BU63" s="46"/>
      <c r="BV63" s="65" t="str">
        <v/>
      </c>
      <c r="BW63" s="66" t="str">
        <v/>
      </c>
      <c r="BX63" s="46"/>
    </row>
    <row r="64" spans="1:76">
      <c r="A64" s="43"/>
      <c r="B64" s="81"/>
      <c r="C64" s="45"/>
      <c r="D64" s="45"/>
      <c r="E64" s="45"/>
      <c r="F64" s="46"/>
      <c r="G64" s="67" t="str">
        <v/>
      </c>
      <c r="H64" s="67" t="str">
        <v/>
      </c>
      <c r="I64" s="46"/>
      <c r="J64" s="67" t="str">
        <v/>
      </c>
      <c r="K64" s="67" t="str">
        <v/>
      </c>
      <c r="L64" s="67" t="str">
        <v/>
      </c>
      <c r="M64" s="67" t="str">
        <v/>
      </c>
      <c r="N64" s="68" t="str">
        <v/>
      </c>
      <c r="O64" s="67" t="str">
        <v/>
      </c>
      <c r="P64" s="67" t="str">
        <v/>
      </c>
      <c r="Q64" s="67" t="str">
        <v/>
      </c>
      <c r="R64" s="67" t="str">
        <v/>
      </c>
      <c r="S64" s="67" t="str">
        <v/>
      </c>
      <c r="T64" s="49"/>
      <c r="U64" s="50"/>
      <c r="V64" s="50"/>
      <c r="W64" s="51"/>
      <c r="X64" s="50"/>
      <c r="Y64" s="50"/>
      <c r="Z64" s="50"/>
      <c r="AA64" s="50"/>
      <c r="AB64" s="51"/>
      <c r="AC64" s="68" t="str">
        <v/>
      </c>
      <c r="AD64" s="68" t="str">
        <v/>
      </c>
      <c r="AE64" s="68" t="str">
        <v/>
      </c>
      <c r="AF64" s="68" t="str">
        <v/>
      </c>
      <c r="AG64" s="69" t="str">
        <v/>
      </c>
      <c r="AH64" s="67" t="str">
        <v/>
      </c>
      <c r="AI64" s="67" t="str">
        <v/>
      </c>
      <c r="AJ64" s="70" t="str">
        <v/>
      </c>
      <c r="AK64" s="67" t="str">
        <v/>
      </c>
      <c r="AL64" s="67" t="str">
        <v/>
      </c>
      <c r="AM64" s="67" t="str">
        <v/>
      </c>
      <c r="AN64" s="67" t="str">
        <v/>
      </c>
      <c r="AO64" s="67" t="str">
        <v/>
      </c>
      <c r="AP64" s="46"/>
      <c r="AQ64" s="82"/>
      <c r="AR64" s="80"/>
      <c r="AS64" s="80" t="str">
        <v/>
      </c>
      <c r="AT64" s="78" t="str">
        <v/>
      </c>
      <c r="AU64" s="79"/>
      <c r="AV64" s="71" t="str">
        <v/>
      </c>
      <c r="AW64" s="68" t="str">
        <v/>
      </c>
      <c r="AX64" s="68" t="str">
        <v/>
      </c>
      <c r="AY64" s="72" t="str">
        <v/>
      </c>
      <c r="AZ64" s="67" t="str">
        <v/>
      </c>
      <c r="BA64" s="67" t="str">
        <v/>
      </c>
      <c r="BB64" s="67" t="str">
        <v/>
      </c>
      <c r="BC64" s="70" t="str">
        <v/>
      </c>
      <c r="BD64" s="67" t="str">
        <v/>
      </c>
      <c r="BE64" s="67" t="str">
        <v/>
      </c>
      <c r="BF64" s="67" t="str">
        <v/>
      </c>
      <c r="BG64" s="67" t="str">
        <v/>
      </c>
      <c r="BH64" s="67" t="str">
        <v/>
      </c>
      <c r="BI64" s="46"/>
      <c r="BJ64" s="73"/>
      <c r="BK64" s="64"/>
      <c r="BL64" s="64" t="str">
        <v/>
      </c>
      <c r="BM64" s="64" t="str">
        <v/>
      </c>
      <c r="BN64" s="64" t="str">
        <v/>
      </c>
      <c r="BO64" s="64" t="str">
        <v/>
      </c>
      <c r="BP64" s="64" t="str">
        <v/>
      </c>
      <c r="BQ64" s="64" t="str">
        <v/>
      </c>
      <c r="BR64" s="64" t="str">
        <v/>
      </c>
      <c r="BS64" s="64" t="str">
        <v/>
      </c>
      <c r="BT64" s="74" t="str">
        <v/>
      </c>
      <c r="BU64" s="46"/>
      <c r="BV64" s="65" t="str">
        <v/>
      </c>
      <c r="BW64" s="66" t="str">
        <v/>
      </c>
      <c r="BX64" s="46"/>
    </row>
    <row r="65" spans="1:76">
      <c r="A65" s="43"/>
      <c r="B65" s="81"/>
      <c r="C65" s="45"/>
      <c r="D65" s="45"/>
      <c r="E65" s="45"/>
      <c r="F65" s="46"/>
      <c r="G65" s="67" t="str">
        <v/>
      </c>
      <c r="H65" s="67" t="str">
        <v/>
      </c>
      <c r="I65" s="46"/>
      <c r="J65" s="67" t="str">
        <v/>
      </c>
      <c r="K65" s="67" t="str">
        <v/>
      </c>
      <c r="L65" s="67" t="str">
        <v/>
      </c>
      <c r="M65" s="67" t="str">
        <v/>
      </c>
      <c r="N65" s="68" t="str">
        <v/>
      </c>
      <c r="O65" s="67" t="str">
        <v/>
      </c>
      <c r="P65" s="67" t="str">
        <v/>
      </c>
      <c r="Q65" s="67" t="str">
        <v/>
      </c>
      <c r="R65" s="67" t="str">
        <v/>
      </c>
      <c r="S65" s="67" t="str">
        <v/>
      </c>
      <c r="T65" s="49"/>
      <c r="U65" s="50"/>
      <c r="V65" s="50"/>
      <c r="W65" s="51"/>
      <c r="X65" s="50"/>
      <c r="Y65" s="50"/>
      <c r="Z65" s="50"/>
      <c r="AA65" s="50"/>
      <c r="AB65" s="51"/>
      <c r="AC65" s="68" t="str">
        <v/>
      </c>
      <c r="AD65" s="68" t="str">
        <v/>
      </c>
      <c r="AE65" s="68" t="str">
        <v/>
      </c>
      <c r="AF65" s="68" t="str">
        <v/>
      </c>
      <c r="AG65" s="69" t="str">
        <v/>
      </c>
      <c r="AH65" s="67" t="str">
        <v/>
      </c>
      <c r="AI65" s="67" t="str">
        <v/>
      </c>
      <c r="AJ65" s="70" t="str">
        <v/>
      </c>
      <c r="AK65" s="67" t="str">
        <v/>
      </c>
      <c r="AL65" s="67" t="str">
        <v/>
      </c>
      <c r="AM65" s="67" t="str">
        <v/>
      </c>
      <c r="AN65" s="67" t="str">
        <v/>
      </c>
      <c r="AO65" s="67" t="str">
        <v/>
      </c>
      <c r="AP65" s="46"/>
      <c r="AQ65" s="82"/>
      <c r="AR65" s="80"/>
      <c r="AS65" s="80" t="str">
        <v/>
      </c>
      <c r="AT65" s="78" t="str">
        <v/>
      </c>
      <c r="AU65" s="79"/>
      <c r="AV65" s="71" t="str">
        <v/>
      </c>
      <c r="AW65" s="68" t="str">
        <v/>
      </c>
      <c r="AX65" s="68" t="str">
        <v/>
      </c>
      <c r="AY65" s="72" t="str">
        <v/>
      </c>
      <c r="AZ65" s="67" t="str">
        <v/>
      </c>
      <c r="BA65" s="67" t="str">
        <v/>
      </c>
      <c r="BB65" s="67" t="str">
        <v/>
      </c>
      <c r="BC65" s="70" t="str">
        <v/>
      </c>
      <c r="BD65" s="67" t="str">
        <v/>
      </c>
      <c r="BE65" s="67" t="str">
        <v/>
      </c>
      <c r="BF65" s="67" t="str">
        <v/>
      </c>
      <c r="BG65" s="67" t="str">
        <v/>
      </c>
      <c r="BH65" s="67" t="str">
        <v/>
      </c>
      <c r="BI65" s="46"/>
      <c r="BJ65" s="73"/>
      <c r="BK65" s="64"/>
      <c r="BL65" s="64" t="str">
        <v/>
      </c>
      <c r="BM65" s="64" t="str">
        <v/>
      </c>
      <c r="BN65" s="64" t="str">
        <v/>
      </c>
      <c r="BO65" s="64" t="str">
        <v/>
      </c>
      <c r="BP65" s="64" t="str">
        <v/>
      </c>
      <c r="BQ65" s="64" t="str">
        <v/>
      </c>
      <c r="BR65" s="64" t="str">
        <v/>
      </c>
      <c r="BS65" s="64" t="str">
        <v/>
      </c>
      <c r="BT65" s="74" t="str">
        <v/>
      </c>
      <c r="BU65" s="46"/>
      <c r="BV65" s="65" t="str">
        <v/>
      </c>
      <c r="BW65" s="66" t="str">
        <v/>
      </c>
      <c r="BX65" s="46"/>
    </row>
    <row r="66" spans="1:76">
      <c r="A66" s="43"/>
      <c r="B66" s="81"/>
      <c r="C66" s="45"/>
      <c r="D66" s="45"/>
      <c r="E66" s="45"/>
      <c r="F66" s="46"/>
      <c r="G66" s="67" t="str">
        <v/>
      </c>
      <c r="H66" s="67" t="str">
        <v/>
      </c>
      <c r="I66" s="46"/>
      <c r="J66" s="67" t="str">
        <v/>
      </c>
      <c r="K66" s="67" t="str">
        <v/>
      </c>
      <c r="L66" s="67" t="str">
        <v/>
      </c>
      <c r="M66" s="67" t="str">
        <v/>
      </c>
      <c r="N66" s="68" t="str">
        <v/>
      </c>
      <c r="O66" s="67" t="str">
        <v/>
      </c>
      <c r="P66" s="67" t="str">
        <v/>
      </c>
      <c r="Q66" s="67" t="str">
        <v/>
      </c>
      <c r="R66" s="67" t="str">
        <v/>
      </c>
      <c r="S66" s="67" t="str">
        <v/>
      </c>
      <c r="T66" s="49"/>
      <c r="U66" s="50"/>
      <c r="V66" s="50"/>
      <c r="W66" s="51"/>
      <c r="X66" s="50"/>
      <c r="Y66" s="50"/>
      <c r="Z66" s="50"/>
      <c r="AA66" s="50"/>
      <c r="AB66" s="51"/>
      <c r="AC66" s="68" t="str">
        <v/>
      </c>
      <c r="AD66" s="68" t="str">
        <v/>
      </c>
      <c r="AE66" s="68" t="str">
        <v/>
      </c>
      <c r="AF66" s="68" t="str">
        <v/>
      </c>
      <c r="AG66" s="69" t="str">
        <v/>
      </c>
      <c r="AH66" s="67" t="str">
        <v/>
      </c>
      <c r="AI66" s="67" t="str">
        <v/>
      </c>
      <c r="AJ66" s="70" t="str">
        <v/>
      </c>
      <c r="AK66" s="67" t="str">
        <v/>
      </c>
      <c r="AL66" s="67" t="str">
        <v/>
      </c>
      <c r="AM66" s="67" t="str">
        <v/>
      </c>
      <c r="AN66" s="67" t="str">
        <v/>
      </c>
      <c r="AO66" s="67" t="str">
        <v/>
      </c>
      <c r="AP66" s="46"/>
      <c r="AQ66" s="82"/>
      <c r="AR66" s="80"/>
      <c r="AS66" s="80" t="str">
        <v/>
      </c>
      <c r="AT66" s="78" t="str">
        <v/>
      </c>
      <c r="AU66" s="79"/>
      <c r="AV66" s="71" t="str">
        <v/>
      </c>
      <c r="AW66" s="68" t="str">
        <v/>
      </c>
      <c r="AX66" s="68" t="str">
        <v/>
      </c>
      <c r="AY66" s="72" t="str">
        <v/>
      </c>
      <c r="AZ66" s="67" t="str">
        <v/>
      </c>
      <c r="BA66" s="67" t="str">
        <v/>
      </c>
      <c r="BB66" s="67" t="str">
        <v/>
      </c>
      <c r="BC66" s="70" t="str">
        <v/>
      </c>
      <c r="BD66" s="67" t="str">
        <v/>
      </c>
      <c r="BE66" s="67" t="str">
        <v/>
      </c>
      <c r="BF66" s="67" t="str">
        <v/>
      </c>
      <c r="BG66" s="67" t="str">
        <v/>
      </c>
      <c r="BH66" s="67" t="str">
        <v/>
      </c>
      <c r="BI66" s="46"/>
      <c r="BJ66" s="73"/>
      <c r="BK66" s="64"/>
      <c r="BL66" s="64" t="str">
        <v/>
      </c>
      <c r="BM66" s="64" t="str">
        <v/>
      </c>
      <c r="BN66" s="64" t="str">
        <v/>
      </c>
      <c r="BO66" s="64" t="str">
        <v/>
      </c>
      <c r="BP66" s="64" t="str">
        <v/>
      </c>
      <c r="BQ66" s="64" t="str">
        <v/>
      </c>
      <c r="BR66" s="64" t="str">
        <v/>
      </c>
      <c r="BS66" s="64" t="str">
        <v/>
      </c>
      <c r="BT66" s="74" t="str">
        <v/>
      </c>
      <c r="BU66" s="46"/>
      <c r="BV66" s="65" t="str">
        <v/>
      </c>
      <c r="BW66" s="66" t="str">
        <v/>
      </c>
      <c r="BX66" s="46"/>
    </row>
    <row r="67" spans="1:76">
      <c r="A67" s="43"/>
      <c r="B67" s="81"/>
      <c r="C67" s="45"/>
      <c r="D67" s="45"/>
      <c r="E67" s="45"/>
      <c r="F67" s="46"/>
      <c r="G67" s="67" t="str">
        <v/>
      </c>
      <c r="H67" s="67" t="str">
        <v/>
      </c>
      <c r="I67" s="46"/>
      <c r="J67" s="67" t="str">
        <v/>
      </c>
      <c r="K67" s="67" t="str">
        <v/>
      </c>
      <c r="L67" s="67" t="str">
        <v/>
      </c>
      <c r="M67" s="67" t="str">
        <v/>
      </c>
      <c r="N67" s="68" t="str">
        <v/>
      </c>
      <c r="O67" s="67" t="str">
        <v/>
      </c>
      <c r="P67" s="67" t="str">
        <v/>
      </c>
      <c r="Q67" s="67" t="str">
        <v/>
      </c>
      <c r="R67" s="67" t="str">
        <v/>
      </c>
      <c r="S67" s="67" t="str">
        <v/>
      </c>
      <c r="T67" s="49"/>
      <c r="U67" s="50"/>
      <c r="V67" s="50"/>
      <c r="W67" s="51"/>
      <c r="X67" s="50"/>
      <c r="Y67" s="50"/>
      <c r="Z67" s="50"/>
      <c r="AA67" s="50"/>
      <c r="AB67" s="51"/>
      <c r="AC67" s="68" t="str">
        <v/>
      </c>
      <c r="AD67" s="68" t="str">
        <v/>
      </c>
      <c r="AE67" s="68" t="str">
        <v/>
      </c>
      <c r="AF67" s="68" t="str">
        <v/>
      </c>
      <c r="AG67" s="69" t="str">
        <v/>
      </c>
      <c r="AH67" s="67" t="str">
        <v/>
      </c>
      <c r="AI67" s="67" t="str">
        <v/>
      </c>
      <c r="AJ67" s="70" t="str">
        <v/>
      </c>
      <c r="AK67" s="67" t="str">
        <v/>
      </c>
      <c r="AL67" s="67" t="str">
        <v/>
      </c>
      <c r="AM67" s="67" t="str">
        <v/>
      </c>
      <c r="AN67" s="67" t="str">
        <v/>
      </c>
      <c r="AO67" s="67" t="str">
        <v/>
      </c>
      <c r="AP67" s="46"/>
      <c r="AQ67" s="82"/>
      <c r="AR67" s="80"/>
      <c r="AS67" s="80" t="str">
        <v/>
      </c>
      <c r="AT67" s="78" t="str">
        <v/>
      </c>
      <c r="AU67" s="79"/>
      <c r="AV67" s="71" t="str">
        <v/>
      </c>
      <c r="AW67" s="68" t="str">
        <v/>
      </c>
      <c r="AX67" s="68" t="str">
        <v/>
      </c>
      <c r="AY67" s="72" t="str">
        <v/>
      </c>
      <c r="AZ67" s="67" t="str">
        <v/>
      </c>
      <c r="BA67" s="67" t="str">
        <v/>
      </c>
      <c r="BB67" s="67" t="str">
        <v/>
      </c>
      <c r="BC67" s="70" t="str">
        <v/>
      </c>
      <c r="BD67" s="67" t="str">
        <v/>
      </c>
      <c r="BE67" s="67" t="str">
        <v/>
      </c>
      <c r="BF67" s="67" t="str">
        <v/>
      </c>
      <c r="BG67" s="67" t="str">
        <v/>
      </c>
      <c r="BH67" s="67" t="str">
        <v/>
      </c>
      <c r="BI67" s="46"/>
      <c r="BJ67" s="73"/>
      <c r="BK67" s="64"/>
      <c r="BL67" s="64" t="str">
        <v/>
      </c>
      <c r="BM67" s="64" t="str">
        <v/>
      </c>
      <c r="BN67" s="64" t="str">
        <v/>
      </c>
      <c r="BO67" s="64" t="str">
        <v/>
      </c>
      <c r="BP67" s="64" t="str">
        <v/>
      </c>
      <c r="BQ67" s="64" t="str">
        <v/>
      </c>
      <c r="BR67" s="64" t="str">
        <v/>
      </c>
      <c r="BS67" s="64" t="str">
        <v/>
      </c>
      <c r="BT67" s="74" t="str">
        <v/>
      </c>
      <c r="BU67" s="46"/>
      <c r="BV67" s="65" t="str">
        <v/>
      </c>
      <c r="BW67" s="66" t="str">
        <v/>
      </c>
      <c r="BX67" s="46"/>
    </row>
    <row r="68" spans="1:76">
      <c r="A68" s="43"/>
      <c r="B68" s="81"/>
      <c r="C68" s="45"/>
      <c r="D68" s="45"/>
      <c r="E68" s="45"/>
      <c r="F68" s="46"/>
      <c r="G68" s="67" t="str">
        <v/>
      </c>
      <c r="H68" s="67" t="str">
        <v/>
      </c>
      <c r="I68" s="46"/>
      <c r="J68" s="67" t="str">
        <v/>
      </c>
      <c r="K68" s="67" t="str">
        <v/>
      </c>
      <c r="L68" s="67" t="str">
        <v/>
      </c>
      <c r="M68" s="67" t="str">
        <v/>
      </c>
      <c r="N68" s="68" t="str">
        <v/>
      </c>
      <c r="O68" s="67" t="str">
        <v/>
      </c>
      <c r="P68" s="67" t="str">
        <v/>
      </c>
      <c r="Q68" s="67" t="str">
        <v/>
      </c>
      <c r="R68" s="67" t="str">
        <v/>
      </c>
      <c r="S68" s="67" t="str">
        <v/>
      </c>
      <c r="T68" s="49"/>
      <c r="U68" s="50"/>
      <c r="V68" s="50"/>
      <c r="W68" s="51"/>
      <c r="X68" s="50"/>
      <c r="Y68" s="50"/>
      <c r="Z68" s="50"/>
      <c r="AA68" s="50"/>
      <c r="AB68" s="51"/>
      <c r="AC68" s="68" t="str">
        <v/>
      </c>
      <c r="AD68" s="68" t="str">
        <v/>
      </c>
      <c r="AE68" s="68" t="str">
        <v/>
      </c>
      <c r="AF68" s="68" t="str">
        <v/>
      </c>
      <c r="AG68" s="69" t="str">
        <v/>
      </c>
      <c r="AH68" s="67" t="str">
        <v/>
      </c>
      <c r="AI68" s="67" t="str">
        <v/>
      </c>
      <c r="AJ68" s="70" t="str">
        <v/>
      </c>
      <c r="AK68" s="67" t="str">
        <v/>
      </c>
      <c r="AL68" s="67" t="str">
        <v/>
      </c>
      <c r="AM68" s="67" t="str">
        <v/>
      </c>
      <c r="AN68" s="67" t="str">
        <v/>
      </c>
      <c r="AO68" s="67" t="str">
        <v/>
      </c>
      <c r="AP68" s="46"/>
      <c r="AQ68" s="82"/>
      <c r="AR68" s="80"/>
      <c r="AS68" s="80" t="str">
        <v/>
      </c>
      <c r="AT68" s="78" t="str">
        <v/>
      </c>
      <c r="AU68" s="79"/>
      <c r="AV68" s="71" t="str">
        <v/>
      </c>
      <c r="AW68" s="68" t="str">
        <v/>
      </c>
      <c r="AX68" s="68" t="str">
        <v/>
      </c>
      <c r="AY68" s="72" t="str">
        <v/>
      </c>
      <c r="AZ68" s="67" t="str">
        <v/>
      </c>
      <c r="BA68" s="67" t="str">
        <v/>
      </c>
      <c r="BB68" s="67" t="str">
        <v/>
      </c>
      <c r="BC68" s="70" t="str">
        <v/>
      </c>
      <c r="BD68" s="67" t="str">
        <v/>
      </c>
      <c r="BE68" s="67" t="str">
        <v/>
      </c>
      <c r="BF68" s="67" t="str">
        <v/>
      </c>
      <c r="BG68" s="67" t="str">
        <v/>
      </c>
      <c r="BH68" s="67" t="str">
        <v/>
      </c>
      <c r="BI68" s="46"/>
      <c r="BJ68" s="73"/>
      <c r="BK68" s="64"/>
      <c r="BL68" s="64" t="str">
        <v/>
      </c>
      <c r="BM68" s="64" t="str">
        <v/>
      </c>
      <c r="BN68" s="64" t="str">
        <v/>
      </c>
      <c r="BO68" s="64" t="str">
        <v/>
      </c>
      <c r="BP68" s="64" t="str">
        <v/>
      </c>
      <c r="BQ68" s="64" t="str">
        <v/>
      </c>
      <c r="BR68" s="64" t="str">
        <v/>
      </c>
      <c r="BS68" s="64" t="str">
        <v/>
      </c>
      <c r="BT68" s="74" t="str">
        <v/>
      </c>
      <c r="BU68" s="46"/>
      <c r="BV68" s="65" t="str">
        <v/>
      </c>
      <c r="BW68" s="66" t="str">
        <v/>
      </c>
      <c r="BX68" s="46"/>
    </row>
    <row r="69" spans="1:76">
      <c r="A69" s="43"/>
      <c r="B69" s="81"/>
      <c r="C69" s="45"/>
      <c r="D69" s="45"/>
      <c r="E69" s="45"/>
      <c r="F69" s="46"/>
      <c r="G69" s="67" t="str">
        <v/>
      </c>
      <c r="H69" s="67" t="str">
        <v/>
      </c>
      <c r="I69" s="46"/>
      <c r="J69" s="67" t="str">
        <v/>
      </c>
      <c r="K69" s="67" t="str">
        <v/>
      </c>
      <c r="L69" s="67" t="str">
        <v/>
      </c>
      <c r="M69" s="67" t="str">
        <v/>
      </c>
      <c r="N69" s="68" t="str">
        <v/>
      </c>
      <c r="O69" s="67" t="str">
        <v/>
      </c>
      <c r="P69" s="67" t="str">
        <v/>
      </c>
      <c r="Q69" s="67" t="str">
        <v/>
      </c>
      <c r="R69" s="67" t="str">
        <v/>
      </c>
      <c r="S69" s="67" t="str">
        <v/>
      </c>
      <c r="T69" s="49"/>
      <c r="U69" s="50"/>
      <c r="V69" s="50"/>
      <c r="W69" s="51"/>
      <c r="X69" s="50"/>
      <c r="Y69" s="50"/>
      <c r="Z69" s="50"/>
      <c r="AA69" s="50"/>
      <c r="AB69" s="51"/>
      <c r="AC69" s="68" t="str">
        <v/>
      </c>
      <c r="AD69" s="68" t="str">
        <v/>
      </c>
      <c r="AE69" s="68" t="str">
        <v/>
      </c>
      <c r="AF69" s="68" t="str">
        <v/>
      </c>
      <c r="AG69" s="69" t="str">
        <v/>
      </c>
      <c r="AH69" s="67" t="str">
        <v/>
      </c>
      <c r="AI69" s="67" t="str">
        <v/>
      </c>
      <c r="AJ69" s="70" t="str">
        <v/>
      </c>
      <c r="AK69" s="67" t="str">
        <v/>
      </c>
      <c r="AL69" s="67" t="str">
        <v/>
      </c>
      <c r="AM69" s="67" t="str">
        <v/>
      </c>
      <c r="AN69" s="67" t="str">
        <v/>
      </c>
      <c r="AO69" s="67" t="str">
        <v/>
      </c>
      <c r="AP69" s="46"/>
      <c r="AQ69" s="82"/>
      <c r="AR69" s="80"/>
      <c r="AS69" s="80" t="str">
        <v/>
      </c>
      <c r="AT69" s="78" t="str">
        <v/>
      </c>
      <c r="AU69" s="79"/>
      <c r="AV69" s="71" t="str">
        <v/>
      </c>
      <c r="AW69" s="68" t="str">
        <v/>
      </c>
      <c r="AX69" s="68" t="str">
        <v/>
      </c>
      <c r="AY69" s="72" t="str">
        <v/>
      </c>
      <c r="AZ69" s="67" t="str">
        <v/>
      </c>
      <c r="BA69" s="67" t="str">
        <v/>
      </c>
      <c r="BB69" s="67" t="str">
        <v/>
      </c>
      <c r="BC69" s="70" t="str">
        <v/>
      </c>
      <c r="BD69" s="67" t="str">
        <v/>
      </c>
      <c r="BE69" s="67" t="str">
        <v/>
      </c>
      <c r="BF69" s="67" t="str">
        <v/>
      </c>
      <c r="BG69" s="67" t="str">
        <v/>
      </c>
      <c r="BH69" s="67" t="str">
        <v/>
      </c>
      <c r="BI69" s="46"/>
      <c r="BJ69" s="73"/>
      <c r="BK69" s="64"/>
      <c r="BL69" s="64" t="str">
        <v/>
      </c>
      <c r="BM69" s="64" t="str">
        <v/>
      </c>
      <c r="BN69" s="64" t="str">
        <v/>
      </c>
      <c r="BO69" s="64" t="str">
        <v/>
      </c>
      <c r="BP69" s="64" t="str">
        <v/>
      </c>
      <c r="BQ69" s="64" t="str">
        <v/>
      </c>
      <c r="BR69" s="64" t="str">
        <v/>
      </c>
      <c r="BS69" s="64" t="str">
        <v/>
      </c>
      <c r="BT69" s="74" t="str">
        <v/>
      </c>
      <c r="BU69" s="46"/>
      <c r="BV69" s="65" t="str">
        <v/>
      </c>
      <c r="BW69" s="66" t="str">
        <v/>
      </c>
      <c r="BX69" s="46"/>
    </row>
    <row r="70" spans="1:76">
      <c r="A70" s="43"/>
      <c r="B70" s="81"/>
      <c r="C70" s="45"/>
      <c r="D70" s="45"/>
      <c r="E70" s="45"/>
      <c r="F70" s="46"/>
      <c r="G70" s="67" t="str">
        <v/>
      </c>
      <c r="H70" s="67" t="str">
        <v/>
      </c>
      <c r="I70" s="46"/>
      <c r="J70" s="67" t="str">
        <v/>
      </c>
      <c r="K70" s="67" t="str">
        <v/>
      </c>
      <c r="L70" s="67" t="str">
        <v/>
      </c>
      <c r="M70" s="67" t="str">
        <v/>
      </c>
      <c r="N70" s="68" t="str">
        <v/>
      </c>
      <c r="O70" s="67" t="str">
        <v/>
      </c>
      <c r="P70" s="67" t="str">
        <v/>
      </c>
      <c r="Q70" s="67" t="str">
        <v/>
      </c>
      <c r="R70" s="67" t="str">
        <v/>
      </c>
      <c r="S70" s="67" t="str">
        <v/>
      </c>
      <c r="T70" s="49"/>
      <c r="U70" s="50"/>
      <c r="V70" s="50"/>
      <c r="W70" s="51"/>
      <c r="X70" s="50"/>
      <c r="Y70" s="50"/>
      <c r="Z70" s="50"/>
      <c r="AA70" s="50"/>
      <c r="AB70" s="51"/>
      <c r="AC70" s="68" t="str">
        <v/>
      </c>
      <c r="AD70" s="68" t="str">
        <v/>
      </c>
      <c r="AE70" s="68" t="str">
        <v/>
      </c>
      <c r="AF70" s="68" t="str">
        <v/>
      </c>
      <c r="AG70" s="69" t="str">
        <v/>
      </c>
      <c r="AH70" s="67" t="str">
        <v/>
      </c>
      <c r="AI70" s="67" t="str">
        <v/>
      </c>
      <c r="AJ70" s="70" t="str">
        <v/>
      </c>
      <c r="AK70" s="67" t="str">
        <v/>
      </c>
      <c r="AL70" s="67" t="str">
        <v/>
      </c>
      <c r="AM70" s="67" t="str">
        <v/>
      </c>
      <c r="AN70" s="67" t="str">
        <v/>
      </c>
      <c r="AO70" s="67" t="str">
        <v/>
      </c>
      <c r="AP70" s="46"/>
      <c r="AQ70" s="82"/>
      <c r="AR70" s="80"/>
      <c r="AS70" s="80" t="str">
        <v/>
      </c>
      <c r="AT70" s="78" t="str">
        <v/>
      </c>
      <c r="AU70" s="79"/>
      <c r="AV70" s="71" t="str">
        <v/>
      </c>
      <c r="AW70" s="68" t="str">
        <v/>
      </c>
      <c r="AX70" s="68" t="str">
        <v/>
      </c>
      <c r="AY70" s="72" t="str">
        <v/>
      </c>
      <c r="AZ70" s="67" t="str">
        <v/>
      </c>
      <c r="BA70" s="67" t="str">
        <v/>
      </c>
      <c r="BB70" s="67" t="str">
        <v/>
      </c>
      <c r="BC70" s="70" t="str">
        <v/>
      </c>
      <c r="BD70" s="67" t="str">
        <v/>
      </c>
      <c r="BE70" s="67" t="str">
        <v/>
      </c>
      <c r="BF70" s="67" t="str">
        <v/>
      </c>
      <c r="BG70" s="67" t="str">
        <v/>
      </c>
      <c r="BH70" s="67" t="str">
        <v/>
      </c>
      <c r="BI70" s="46"/>
      <c r="BJ70" s="73"/>
      <c r="BK70" s="64"/>
      <c r="BL70" s="64" t="str">
        <v/>
      </c>
      <c r="BM70" s="64" t="str">
        <v/>
      </c>
      <c r="BN70" s="64" t="str">
        <v/>
      </c>
      <c r="BO70" s="64" t="str">
        <v/>
      </c>
      <c r="BP70" s="64" t="str">
        <v/>
      </c>
      <c r="BQ70" s="64" t="str">
        <v/>
      </c>
      <c r="BR70" s="64" t="str">
        <v/>
      </c>
      <c r="BS70" s="64" t="str">
        <v/>
      </c>
      <c r="BT70" s="74" t="str">
        <v/>
      </c>
      <c r="BU70" s="46"/>
      <c r="BV70" s="65" t="str">
        <v/>
      </c>
      <c r="BW70" s="66" t="str">
        <v/>
      </c>
      <c r="BX70" s="46"/>
    </row>
    <row r="71" spans="1:76">
      <c r="A71" s="43"/>
      <c r="B71" s="81"/>
      <c r="C71" s="45"/>
      <c r="D71" s="45"/>
      <c r="E71" s="45"/>
      <c r="F71" s="46"/>
      <c r="G71" s="67" t="str">
        <v/>
      </c>
      <c r="H71" s="67" t="str">
        <v/>
      </c>
      <c r="I71" s="46"/>
      <c r="J71" s="67" t="str">
        <v/>
      </c>
      <c r="K71" s="67" t="str">
        <v/>
      </c>
      <c r="L71" s="67" t="str">
        <v/>
      </c>
      <c r="M71" s="67" t="str">
        <v/>
      </c>
      <c r="N71" s="68" t="str">
        <v/>
      </c>
      <c r="O71" s="67" t="str">
        <v/>
      </c>
      <c r="P71" s="67" t="str">
        <v/>
      </c>
      <c r="Q71" s="67" t="str">
        <v/>
      </c>
      <c r="R71" s="67" t="str">
        <v/>
      </c>
      <c r="S71" s="67" t="str">
        <v/>
      </c>
      <c r="T71" s="49"/>
      <c r="U71" s="50"/>
      <c r="V71" s="50"/>
      <c r="W71" s="51"/>
      <c r="X71" s="50"/>
      <c r="Y71" s="50"/>
      <c r="Z71" s="50"/>
      <c r="AA71" s="50"/>
      <c r="AB71" s="51"/>
      <c r="AC71" s="68" t="str">
        <v/>
      </c>
      <c r="AD71" s="68" t="str">
        <v/>
      </c>
      <c r="AE71" s="68" t="str">
        <v/>
      </c>
      <c r="AF71" s="68" t="str">
        <v/>
      </c>
      <c r="AG71" s="69" t="str">
        <v/>
      </c>
      <c r="AH71" s="67" t="str">
        <v/>
      </c>
      <c r="AI71" s="67" t="str">
        <v/>
      </c>
      <c r="AJ71" s="70" t="str">
        <v/>
      </c>
      <c r="AK71" s="67" t="str">
        <v/>
      </c>
      <c r="AL71" s="67" t="str">
        <v/>
      </c>
      <c r="AM71" s="67" t="str">
        <v/>
      </c>
      <c r="AN71" s="67" t="str">
        <v/>
      </c>
      <c r="AO71" s="67" t="str">
        <v/>
      </c>
      <c r="AP71" s="46"/>
      <c r="AQ71" s="82"/>
      <c r="AR71" s="80"/>
      <c r="AS71" s="80" t="str">
        <v/>
      </c>
      <c r="AT71" s="78" t="str">
        <v/>
      </c>
      <c r="AU71" s="79"/>
      <c r="AV71" s="71" t="str">
        <v/>
      </c>
      <c r="AW71" s="68" t="str">
        <v/>
      </c>
      <c r="AX71" s="68" t="str">
        <v/>
      </c>
      <c r="AY71" s="72" t="str">
        <v/>
      </c>
      <c r="AZ71" s="67" t="str">
        <v/>
      </c>
      <c r="BA71" s="67" t="str">
        <v/>
      </c>
      <c r="BB71" s="67" t="str">
        <v/>
      </c>
      <c r="BC71" s="70" t="str">
        <v/>
      </c>
      <c r="BD71" s="67" t="str">
        <v/>
      </c>
      <c r="BE71" s="67" t="str">
        <v/>
      </c>
      <c r="BF71" s="67" t="str">
        <v/>
      </c>
      <c r="BG71" s="67" t="str">
        <v/>
      </c>
      <c r="BH71" s="67" t="str">
        <v/>
      </c>
      <c r="BI71" s="46"/>
      <c r="BJ71" s="73"/>
      <c r="BK71" s="64"/>
      <c r="BL71" s="64" t="str">
        <v/>
      </c>
      <c r="BM71" s="64" t="str">
        <v/>
      </c>
      <c r="BN71" s="64" t="str">
        <v/>
      </c>
      <c r="BO71" s="64" t="str">
        <v/>
      </c>
      <c r="BP71" s="64" t="str">
        <v/>
      </c>
      <c r="BQ71" s="64" t="str">
        <v/>
      </c>
      <c r="BR71" s="64" t="str">
        <v/>
      </c>
      <c r="BS71" s="64" t="str">
        <v/>
      </c>
      <c r="BT71" s="74" t="str">
        <v/>
      </c>
      <c r="BU71" s="46"/>
      <c r="BV71" s="65" t="str">
        <v/>
      </c>
      <c r="BW71" s="66" t="str">
        <v/>
      </c>
      <c r="BX71" s="46"/>
    </row>
    <row r="72" spans="1:76">
      <c r="A72" s="43"/>
      <c r="B72" s="81"/>
      <c r="C72" s="45"/>
      <c r="D72" s="45"/>
      <c r="E72" s="45"/>
      <c r="F72" s="46"/>
      <c r="G72" s="67" t="str">
        <v/>
      </c>
      <c r="H72" s="67" t="str">
        <v/>
      </c>
      <c r="I72" s="46"/>
      <c r="J72" s="67" t="str">
        <v/>
      </c>
      <c r="K72" s="67" t="str">
        <v/>
      </c>
      <c r="L72" s="67" t="str">
        <v/>
      </c>
      <c r="M72" s="67" t="str">
        <v/>
      </c>
      <c r="N72" s="68" t="str">
        <v/>
      </c>
      <c r="O72" s="67" t="str">
        <v/>
      </c>
      <c r="P72" s="67" t="str">
        <v/>
      </c>
      <c r="Q72" s="67" t="str">
        <v/>
      </c>
      <c r="R72" s="67" t="str">
        <v/>
      </c>
      <c r="S72" s="67" t="str">
        <v/>
      </c>
      <c r="T72" s="49"/>
      <c r="U72" s="50"/>
      <c r="V72" s="50"/>
      <c r="W72" s="51"/>
      <c r="X72" s="50"/>
      <c r="Y72" s="50"/>
      <c r="Z72" s="50"/>
      <c r="AA72" s="50"/>
      <c r="AB72" s="51"/>
      <c r="AC72" s="68" t="str">
        <v/>
      </c>
      <c r="AD72" s="68" t="str">
        <v/>
      </c>
      <c r="AE72" s="68" t="str">
        <v/>
      </c>
      <c r="AF72" s="68" t="str">
        <v/>
      </c>
      <c r="AG72" s="69" t="str">
        <v/>
      </c>
      <c r="AH72" s="67" t="str">
        <v/>
      </c>
      <c r="AI72" s="67" t="str">
        <v/>
      </c>
      <c r="AJ72" s="70" t="str">
        <v/>
      </c>
      <c r="AK72" s="67" t="str">
        <v/>
      </c>
      <c r="AL72" s="67" t="str">
        <v/>
      </c>
      <c r="AM72" s="67" t="str">
        <v/>
      </c>
      <c r="AN72" s="67" t="str">
        <v/>
      </c>
      <c r="AO72" s="67" t="str">
        <v/>
      </c>
      <c r="AP72" s="46"/>
      <c r="AQ72" s="82"/>
      <c r="AR72" s="80"/>
      <c r="AS72" s="80" t="str">
        <v/>
      </c>
      <c r="AT72" s="78" t="str">
        <v/>
      </c>
      <c r="AU72" s="79"/>
      <c r="AV72" s="71" t="str">
        <v/>
      </c>
      <c r="AW72" s="68" t="str">
        <v/>
      </c>
      <c r="AX72" s="68" t="str">
        <v/>
      </c>
      <c r="AY72" s="72" t="str">
        <v/>
      </c>
      <c r="AZ72" s="67" t="str">
        <v/>
      </c>
      <c r="BA72" s="67" t="str">
        <v/>
      </c>
      <c r="BB72" s="67" t="str">
        <v/>
      </c>
      <c r="BC72" s="70" t="str">
        <v/>
      </c>
      <c r="BD72" s="67" t="str">
        <v/>
      </c>
      <c r="BE72" s="67" t="str">
        <v/>
      </c>
      <c r="BF72" s="67" t="str">
        <v/>
      </c>
      <c r="BG72" s="67" t="str">
        <v/>
      </c>
      <c r="BH72" s="67" t="str">
        <v/>
      </c>
      <c r="BI72" s="46"/>
      <c r="BJ72" s="73"/>
      <c r="BK72" s="64"/>
      <c r="BL72" s="64" t="str">
        <v/>
      </c>
      <c r="BM72" s="64" t="str">
        <v/>
      </c>
      <c r="BN72" s="64" t="str">
        <v/>
      </c>
      <c r="BO72" s="64" t="str">
        <v/>
      </c>
      <c r="BP72" s="64" t="str">
        <v/>
      </c>
      <c r="BQ72" s="64" t="str">
        <v/>
      </c>
      <c r="BR72" s="64" t="str">
        <v/>
      </c>
      <c r="BS72" s="64" t="str">
        <v/>
      </c>
      <c r="BT72" s="74" t="str">
        <v/>
      </c>
      <c r="BU72" s="46"/>
      <c r="BV72" s="65" t="str">
        <v/>
      </c>
      <c r="BW72" s="66" t="str">
        <v/>
      </c>
      <c r="BX72" s="46"/>
    </row>
    <row r="73" spans="1:76">
      <c r="A73" s="43"/>
      <c r="B73" s="81"/>
      <c r="C73" s="45"/>
      <c r="D73" s="45"/>
      <c r="E73" s="45"/>
      <c r="F73" s="46"/>
      <c r="G73" s="67" t="str">
        <v/>
      </c>
      <c r="H73" s="67" t="str">
        <v/>
      </c>
      <c r="I73" s="46"/>
      <c r="J73" s="67" t="str">
        <v/>
      </c>
      <c r="K73" s="67" t="str">
        <v/>
      </c>
      <c r="L73" s="67" t="str">
        <v/>
      </c>
      <c r="M73" s="67" t="str">
        <v/>
      </c>
      <c r="N73" s="68" t="str">
        <v/>
      </c>
      <c r="O73" s="67" t="str">
        <v/>
      </c>
      <c r="P73" s="67" t="str">
        <v/>
      </c>
      <c r="Q73" s="67" t="str">
        <v/>
      </c>
      <c r="R73" s="67" t="str">
        <v/>
      </c>
      <c r="S73" s="67" t="str">
        <v/>
      </c>
      <c r="T73" s="49"/>
      <c r="U73" s="50"/>
      <c r="V73" s="50"/>
      <c r="W73" s="51"/>
      <c r="X73" s="50"/>
      <c r="Y73" s="50"/>
      <c r="Z73" s="50"/>
      <c r="AA73" s="50"/>
      <c r="AB73" s="51"/>
      <c r="AC73" s="68" t="str">
        <v/>
      </c>
      <c r="AD73" s="68" t="str">
        <v/>
      </c>
      <c r="AE73" s="68" t="str">
        <v/>
      </c>
      <c r="AF73" s="68" t="str">
        <v/>
      </c>
      <c r="AG73" s="69" t="str">
        <v/>
      </c>
      <c r="AH73" s="67" t="str">
        <v/>
      </c>
      <c r="AI73" s="67" t="str">
        <v/>
      </c>
      <c r="AJ73" s="70" t="str">
        <v/>
      </c>
      <c r="AK73" s="67" t="str">
        <v/>
      </c>
      <c r="AL73" s="67" t="str">
        <v/>
      </c>
      <c r="AM73" s="67" t="str">
        <v/>
      </c>
      <c r="AN73" s="67" t="str">
        <v/>
      </c>
      <c r="AO73" s="67" t="str">
        <v/>
      </c>
      <c r="AP73" s="46"/>
      <c r="AQ73" s="82"/>
      <c r="AR73" s="80"/>
      <c r="AS73" s="80" t="str">
        <v/>
      </c>
      <c r="AT73" s="78" t="str">
        <v/>
      </c>
      <c r="AU73" s="79"/>
      <c r="AV73" s="71" t="str">
        <v/>
      </c>
      <c r="AW73" s="68" t="str">
        <v/>
      </c>
      <c r="AX73" s="68" t="str">
        <v/>
      </c>
      <c r="AY73" s="72" t="str">
        <v/>
      </c>
      <c r="AZ73" s="67" t="str">
        <v/>
      </c>
      <c r="BA73" s="67" t="str">
        <v/>
      </c>
      <c r="BB73" s="67" t="str">
        <v/>
      </c>
      <c r="BC73" s="70" t="str">
        <v/>
      </c>
      <c r="BD73" s="67" t="str">
        <v/>
      </c>
      <c r="BE73" s="67" t="str">
        <v/>
      </c>
      <c r="BF73" s="67" t="str">
        <v/>
      </c>
      <c r="BG73" s="67" t="str">
        <v/>
      </c>
      <c r="BH73" s="67" t="str">
        <v/>
      </c>
      <c r="BI73" s="46"/>
      <c r="BJ73" s="73"/>
      <c r="BK73" s="64"/>
      <c r="BL73" s="64" t="str">
        <v/>
      </c>
      <c r="BM73" s="64" t="str">
        <v/>
      </c>
      <c r="BN73" s="64" t="str">
        <v/>
      </c>
      <c r="BO73" s="64" t="str">
        <v/>
      </c>
      <c r="BP73" s="64" t="str">
        <v/>
      </c>
      <c r="BQ73" s="64" t="str">
        <v/>
      </c>
      <c r="BR73" s="64" t="str">
        <v/>
      </c>
      <c r="BS73" s="64" t="str">
        <v/>
      </c>
      <c r="BT73" s="74" t="str">
        <v/>
      </c>
      <c r="BU73" s="46"/>
      <c r="BV73" s="65" t="str">
        <v/>
      </c>
      <c r="BW73" s="66" t="str">
        <v/>
      </c>
      <c r="BX73" s="46"/>
    </row>
    <row r="74" spans="1:76">
      <c r="A74" s="43"/>
      <c r="B74" s="81"/>
      <c r="C74" s="45"/>
      <c r="D74" s="45"/>
      <c r="E74" s="45"/>
      <c r="F74" s="46"/>
      <c r="G74" s="67" t="str">
        <v/>
      </c>
      <c r="H74" s="67" t="str">
        <v/>
      </c>
      <c r="I74" s="46"/>
      <c r="J74" s="67" t="str">
        <v/>
      </c>
      <c r="K74" s="67" t="str">
        <v/>
      </c>
      <c r="L74" s="67" t="str">
        <v/>
      </c>
      <c r="M74" s="67" t="str">
        <v/>
      </c>
      <c r="N74" s="68" t="str">
        <v/>
      </c>
      <c r="O74" s="67" t="str">
        <v/>
      </c>
      <c r="P74" s="67" t="str">
        <v/>
      </c>
      <c r="Q74" s="67" t="str">
        <v/>
      </c>
      <c r="R74" s="67" t="str">
        <v/>
      </c>
      <c r="S74" s="67" t="str">
        <v/>
      </c>
      <c r="T74" s="49"/>
      <c r="U74" s="50"/>
      <c r="V74" s="50"/>
      <c r="W74" s="51"/>
      <c r="X74" s="50"/>
      <c r="Y74" s="50"/>
      <c r="Z74" s="50"/>
      <c r="AA74" s="50"/>
      <c r="AB74" s="51"/>
      <c r="AC74" s="68" t="str">
        <v/>
      </c>
      <c r="AD74" s="68" t="str">
        <v/>
      </c>
      <c r="AE74" s="68" t="str">
        <v/>
      </c>
      <c r="AF74" s="68" t="str">
        <v/>
      </c>
      <c r="AG74" s="69" t="str">
        <v/>
      </c>
      <c r="AH74" s="67" t="str">
        <v/>
      </c>
      <c r="AI74" s="67" t="str">
        <v/>
      </c>
      <c r="AJ74" s="70" t="str">
        <v/>
      </c>
      <c r="AK74" s="67" t="str">
        <v/>
      </c>
      <c r="AL74" s="67" t="str">
        <v/>
      </c>
      <c r="AM74" s="67" t="str">
        <v/>
      </c>
      <c r="AN74" s="67" t="str">
        <v/>
      </c>
      <c r="AO74" s="67" t="str">
        <v/>
      </c>
      <c r="AP74" s="46"/>
      <c r="AQ74" s="82"/>
      <c r="AR74" s="80"/>
      <c r="AS74" s="80" t="str">
        <v/>
      </c>
      <c r="AT74" s="78" t="str">
        <v/>
      </c>
      <c r="AU74" s="79"/>
      <c r="AV74" s="71" t="str">
        <v/>
      </c>
      <c r="AW74" s="68" t="str">
        <v/>
      </c>
      <c r="AX74" s="68" t="str">
        <v/>
      </c>
      <c r="AY74" s="72" t="str">
        <v/>
      </c>
      <c r="AZ74" s="67" t="str">
        <v/>
      </c>
      <c r="BA74" s="67" t="str">
        <v/>
      </c>
      <c r="BB74" s="67" t="str">
        <v/>
      </c>
      <c r="BC74" s="70" t="str">
        <v/>
      </c>
      <c r="BD74" s="67" t="str">
        <v/>
      </c>
      <c r="BE74" s="67" t="str">
        <v/>
      </c>
      <c r="BF74" s="67" t="str">
        <v/>
      </c>
      <c r="BG74" s="67" t="str">
        <v/>
      </c>
      <c r="BH74" s="67" t="str">
        <v/>
      </c>
      <c r="BI74" s="46"/>
      <c r="BJ74" s="73"/>
      <c r="BK74" s="64"/>
      <c r="BL74" s="64" t="str">
        <v/>
      </c>
      <c r="BM74" s="64" t="str">
        <v/>
      </c>
      <c r="BN74" s="64" t="str">
        <v/>
      </c>
      <c r="BO74" s="64" t="str">
        <v/>
      </c>
      <c r="BP74" s="64" t="str">
        <v/>
      </c>
      <c r="BQ74" s="64" t="str">
        <v/>
      </c>
      <c r="BR74" s="64" t="str">
        <v/>
      </c>
      <c r="BS74" s="64" t="str">
        <v/>
      </c>
      <c r="BT74" s="74" t="str">
        <v/>
      </c>
      <c r="BU74" s="46"/>
      <c r="BV74" s="65" t="str">
        <v/>
      </c>
      <c r="BW74" s="66" t="str">
        <v/>
      </c>
      <c r="BX74" s="46"/>
    </row>
    <row r="75" spans="1:76">
      <c r="A75" s="43"/>
      <c r="B75" s="81"/>
      <c r="C75" s="45"/>
      <c r="D75" s="45"/>
      <c r="E75" s="45"/>
      <c r="F75" s="46"/>
      <c r="G75" s="67" t="str">
        <v/>
      </c>
      <c r="H75" s="67" t="str">
        <v/>
      </c>
      <c r="I75" s="46"/>
      <c r="J75" s="67" t="str">
        <v/>
      </c>
      <c r="K75" s="67" t="str">
        <v/>
      </c>
      <c r="L75" s="67" t="str">
        <v/>
      </c>
      <c r="M75" s="67" t="str">
        <v/>
      </c>
      <c r="N75" s="68" t="str">
        <v/>
      </c>
      <c r="O75" s="67" t="str">
        <v/>
      </c>
      <c r="P75" s="67" t="str">
        <v/>
      </c>
      <c r="Q75" s="67" t="str">
        <v/>
      </c>
      <c r="R75" s="67" t="str">
        <v/>
      </c>
      <c r="S75" s="67" t="str">
        <v/>
      </c>
      <c r="T75" s="49"/>
      <c r="U75" s="50"/>
      <c r="V75" s="50"/>
      <c r="W75" s="51"/>
      <c r="X75" s="50"/>
      <c r="Y75" s="50"/>
      <c r="Z75" s="50"/>
      <c r="AA75" s="50"/>
      <c r="AB75" s="51"/>
      <c r="AC75" s="68" t="str">
        <v/>
      </c>
      <c r="AD75" s="68" t="str">
        <v/>
      </c>
      <c r="AE75" s="68" t="str">
        <v/>
      </c>
      <c r="AF75" s="68" t="str">
        <v/>
      </c>
      <c r="AG75" s="69" t="str">
        <v/>
      </c>
      <c r="AH75" s="67" t="str">
        <v/>
      </c>
      <c r="AI75" s="67" t="str">
        <v/>
      </c>
      <c r="AJ75" s="70" t="str">
        <v/>
      </c>
      <c r="AK75" s="67" t="str">
        <v/>
      </c>
      <c r="AL75" s="67" t="str">
        <v/>
      </c>
      <c r="AM75" s="67" t="str">
        <v/>
      </c>
      <c r="AN75" s="67" t="str">
        <v/>
      </c>
      <c r="AO75" s="67" t="str">
        <v/>
      </c>
      <c r="AP75" s="46"/>
      <c r="AQ75" s="82"/>
      <c r="AR75" s="80"/>
      <c r="AS75" s="80" t="str">
        <v/>
      </c>
      <c r="AT75" s="78" t="str">
        <v/>
      </c>
      <c r="AU75" s="79"/>
      <c r="AV75" s="71" t="str">
        <v/>
      </c>
      <c r="AW75" s="68" t="str">
        <v/>
      </c>
      <c r="AX75" s="68" t="str">
        <v/>
      </c>
      <c r="AY75" s="72" t="str">
        <v/>
      </c>
      <c r="AZ75" s="67" t="str">
        <v/>
      </c>
      <c r="BA75" s="67" t="str">
        <v/>
      </c>
      <c r="BB75" s="67" t="str">
        <v/>
      </c>
      <c r="BC75" s="70" t="str">
        <v/>
      </c>
      <c r="BD75" s="67" t="str">
        <v/>
      </c>
      <c r="BE75" s="67" t="str">
        <v/>
      </c>
      <c r="BF75" s="67" t="str">
        <v/>
      </c>
      <c r="BG75" s="67" t="str">
        <v/>
      </c>
      <c r="BH75" s="67" t="str">
        <v/>
      </c>
      <c r="BI75" s="46"/>
      <c r="BJ75" s="73"/>
      <c r="BK75" s="64"/>
      <c r="BL75" s="64" t="str">
        <v/>
      </c>
      <c r="BM75" s="64" t="str">
        <v/>
      </c>
      <c r="BN75" s="64" t="str">
        <v/>
      </c>
      <c r="BO75" s="64" t="str">
        <v/>
      </c>
      <c r="BP75" s="64" t="str">
        <v/>
      </c>
      <c r="BQ75" s="64" t="str">
        <v/>
      </c>
      <c r="BR75" s="64" t="str">
        <v/>
      </c>
      <c r="BS75" s="64" t="str">
        <v/>
      </c>
      <c r="BT75" s="74" t="str">
        <v/>
      </c>
      <c r="BU75" s="46"/>
      <c r="BV75" s="65" t="str">
        <v/>
      </c>
      <c r="BW75" s="66" t="str">
        <v/>
      </c>
      <c r="BX75" s="46"/>
    </row>
    <row r="76" spans="1:76">
      <c r="A76" s="43"/>
      <c r="B76" s="81"/>
      <c r="C76" s="45"/>
      <c r="D76" s="45"/>
      <c r="E76" s="45"/>
      <c r="F76" s="46"/>
      <c r="G76" s="67" t="str">
        <v/>
      </c>
      <c r="H76" s="67" t="str">
        <v/>
      </c>
      <c r="I76" s="46"/>
      <c r="J76" s="67" t="str">
        <v/>
      </c>
      <c r="K76" s="67" t="str">
        <v/>
      </c>
      <c r="L76" s="67" t="str">
        <v/>
      </c>
      <c r="M76" s="67" t="str">
        <v/>
      </c>
      <c r="N76" s="68" t="str">
        <v/>
      </c>
      <c r="O76" s="67" t="str">
        <v/>
      </c>
      <c r="P76" s="67" t="str">
        <v/>
      </c>
      <c r="Q76" s="67" t="str">
        <v/>
      </c>
      <c r="R76" s="67" t="str">
        <v/>
      </c>
      <c r="S76" s="67" t="str">
        <v/>
      </c>
      <c r="T76" s="49"/>
      <c r="U76" s="50"/>
      <c r="V76" s="50"/>
      <c r="W76" s="51"/>
      <c r="X76" s="50"/>
      <c r="Y76" s="50"/>
      <c r="Z76" s="50"/>
      <c r="AA76" s="50"/>
      <c r="AB76" s="51"/>
      <c r="AC76" s="68" t="str">
        <v/>
      </c>
      <c r="AD76" s="68" t="str">
        <v/>
      </c>
      <c r="AE76" s="68" t="str">
        <v/>
      </c>
      <c r="AF76" s="68" t="str">
        <v/>
      </c>
      <c r="AG76" s="69" t="str">
        <v/>
      </c>
      <c r="AH76" s="67" t="str">
        <v/>
      </c>
      <c r="AI76" s="67" t="str">
        <v/>
      </c>
      <c r="AJ76" s="70" t="str">
        <v/>
      </c>
      <c r="AK76" s="67" t="str">
        <v/>
      </c>
      <c r="AL76" s="67" t="str">
        <v/>
      </c>
      <c r="AM76" s="67" t="str">
        <v/>
      </c>
      <c r="AN76" s="67" t="str">
        <v/>
      </c>
      <c r="AO76" s="67" t="str">
        <v/>
      </c>
      <c r="AP76" s="46"/>
      <c r="AQ76" s="82"/>
      <c r="AR76" s="80"/>
      <c r="AS76" s="80" t="str">
        <v/>
      </c>
      <c r="AT76" s="78" t="str">
        <v/>
      </c>
      <c r="AU76" s="79"/>
      <c r="AV76" s="71" t="str">
        <v/>
      </c>
      <c r="AW76" s="68" t="str">
        <v/>
      </c>
      <c r="AX76" s="68" t="str">
        <v/>
      </c>
      <c r="AY76" s="72" t="str">
        <v/>
      </c>
      <c r="AZ76" s="67" t="str">
        <v/>
      </c>
      <c r="BA76" s="67" t="str">
        <v/>
      </c>
      <c r="BB76" s="67" t="str">
        <v/>
      </c>
      <c r="BC76" s="70" t="str">
        <v/>
      </c>
      <c r="BD76" s="67" t="str">
        <v/>
      </c>
      <c r="BE76" s="67" t="str">
        <v/>
      </c>
      <c r="BF76" s="67" t="str">
        <v/>
      </c>
      <c r="BG76" s="67" t="str">
        <v/>
      </c>
      <c r="BH76" s="67" t="str">
        <v/>
      </c>
      <c r="BI76" s="46"/>
      <c r="BJ76" s="73"/>
      <c r="BK76" s="64"/>
      <c r="BL76" s="64" t="str">
        <v/>
      </c>
      <c r="BM76" s="64" t="str">
        <v/>
      </c>
      <c r="BN76" s="64" t="str">
        <v/>
      </c>
      <c r="BO76" s="64" t="str">
        <v/>
      </c>
      <c r="BP76" s="64" t="str">
        <v/>
      </c>
      <c r="BQ76" s="64" t="str">
        <v/>
      </c>
      <c r="BR76" s="64" t="str">
        <v/>
      </c>
      <c r="BS76" s="64" t="str">
        <v/>
      </c>
      <c r="BT76" s="74" t="str">
        <v/>
      </c>
      <c r="BU76" s="46"/>
      <c r="BV76" s="65" t="str">
        <v/>
      </c>
      <c r="BW76" s="66" t="str">
        <v/>
      </c>
      <c r="BX76" s="46"/>
    </row>
    <row r="77" spans="1:76">
      <c r="A77" s="43"/>
      <c r="B77" s="81"/>
      <c r="C77" s="45"/>
      <c r="D77" s="45"/>
      <c r="E77" s="45"/>
      <c r="F77" s="46"/>
      <c r="G77" s="67" t="str">
        <v/>
      </c>
      <c r="H77" s="67" t="str">
        <v/>
      </c>
      <c r="I77" s="46"/>
      <c r="J77" s="67" t="str">
        <v/>
      </c>
      <c r="K77" s="67" t="str">
        <v/>
      </c>
      <c r="L77" s="67" t="str">
        <v/>
      </c>
      <c r="M77" s="67" t="str">
        <v/>
      </c>
      <c r="N77" s="68" t="str">
        <v/>
      </c>
      <c r="O77" s="67" t="str">
        <v/>
      </c>
      <c r="P77" s="67" t="str">
        <v/>
      </c>
      <c r="Q77" s="67" t="str">
        <v/>
      </c>
      <c r="R77" s="67" t="str">
        <v/>
      </c>
      <c r="S77" s="67" t="str">
        <v/>
      </c>
      <c r="T77" s="49"/>
      <c r="U77" s="50"/>
      <c r="V77" s="50"/>
      <c r="W77" s="51"/>
      <c r="X77" s="50"/>
      <c r="Y77" s="50"/>
      <c r="Z77" s="50"/>
      <c r="AA77" s="50"/>
      <c r="AB77" s="51"/>
      <c r="AC77" s="68" t="str">
        <v/>
      </c>
      <c r="AD77" s="68" t="str">
        <v/>
      </c>
      <c r="AE77" s="68" t="str">
        <v/>
      </c>
      <c r="AF77" s="68" t="str">
        <v/>
      </c>
      <c r="AG77" s="69" t="str">
        <v/>
      </c>
      <c r="AH77" s="67" t="str">
        <v/>
      </c>
      <c r="AI77" s="67" t="str">
        <v/>
      </c>
      <c r="AJ77" s="70" t="str">
        <v/>
      </c>
      <c r="AK77" s="67" t="str">
        <v/>
      </c>
      <c r="AL77" s="67" t="str">
        <v/>
      </c>
      <c r="AM77" s="67" t="str">
        <v/>
      </c>
      <c r="AN77" s="67" t="str">
        <v/>
      </c>
      <c r="AO77" s="67" t="str">
        <v/>
      </c>
      <c r="AP77" s="46"/>
      <c r="AQ77" s="82"/>
      <c r="AR77" s="80"/>
      <c r="AS77" s="80" t="str">
        <v/>
      </c>
      <c r="AT77" s="78" t="str">
        <v/>
      </c>
      <c r="AU77" s="79"/>
      <c r="AV77" s="71" t="str">
        <v/>
      </c>
      <c r="AW77" s="68" t="str">
        <v/>
      </c>
      <c r="AX77" s="68" t="str">
        <v/>
      </c>
      <c r="AY77" s="72" t="str">
        <v/>
      </c>
      <c r="AZ77" s="67" t="str">
        <v/>
      </c>
      <c r="BA77" s="67" t="str">
        <v/>
      </c>
      <c r="BB77" s="67" t="str">
        <v/>
      </c>
      <c r="BC77" s="70" t="str">
        <v/>
      </c>
      <c r="BD77" s="67" t="str">
        <v/>
      </c>
      <c r="BE77" s="67" t="str">
        <v/>
      </c>
      <c r="BF77" s="67" t="str">
        <v/>
      </c>
      <c r="BG77" s="67" t="str">
        <v/>
      </c>
      <c r="BH77" s="67" t="str">
        <v/>
      </c>
      <c r="BI77" s="46"/>
      <c r="BJ77" s="73"/>
      <c r="BK77" s="64"/>
      <c r="BL77" s="64" t="str">
        <v/>
      </c>
      <c r="BM77" s="64" t="str">
        <v/>
      </c>
      <c r="BN77" s="64" t="str">
        <v/>
      </c>
      <c r="BO77" s="64" t="str">
        <v/>
      </c>
      <c r="BP77" s="64" t="str">
        <v/>
      </c>
      <c r="BQ77" s="64" t="str">
        <v/>
      </c>
      <c r="BR77" s="64" t="str">
        <v/>
      </c>
      <c r="BS77" s="64" t="str">
        <v/>
      </c>
      <c r="BT77" s="74" t="str">
        <v/>
      </c>
      <c r="BU77" s="46"/>
      <c r="BV77" s="65" t="str">
        <v/>
      </c>
      <c r="BW77" s="66" t="str">
        <v/>
      </c>
      <c r="BX77" s="46"/>
    </row>
    <row r="78" spans="1:76">
      <c r="A78" s="43"/>
      <c r="B78" s="81"/>
      <c r="C78" s="45"/>
      <c r="D78" s="45"/>
      <c r="E78" s="45"/>
      <c r="F78" s="46"/>
      <c r="G78" s="67" t="str">
        <v/>
      </c>
      <c r="H78" s="67" t="str">
        <v/>
      </c>
      <c r="I78" s="46"/>
      <c r="J78" s="67" t="str">
        <v/>
      </c>
      <c r="K78" s="67" t="str">
        <v/>
      </c>
      <c r="L78" s="67" t="str">
        <v/>
      </c>
      <c r="M78" s="67" t="str">
        <v/>
      </c>
      <c r="N78" s="68" t="str">
        <v/>
      </c>
      <c r="O78" s="67" t="str">
        <v/>
      </c>
      <c r="P78" s="67" t="str">
        <v/>
      </c>
      <c r="Q78" s="67" t="str">
        <v/>
      </c>
      <c r="R78" s="67" t="str">
        <v/>
      </c>
      <c r="S78" s="67" t="str">
        <v/>
      </c>
      <c r="T78" s="49"/>
      <c r="U78" s="50"/>
      <c r="V78" s="50"/>
      <c r="W78" s="51"/>
      <c r="X78" s="50"/>
      <c r="Y78" s="50"/>
      <c r="Z78" s="50"/>
      <c r="AA78" s="50"/>
      <c r="AB78" s="51"/>
      <c r="AC78" s="68" t="str">
        <v/>
      </c>
      <c r="AD78" s="68" t="str">
        <v/>
      </c>
      <c r="AE78" s="68" t="str">
        <v/>
      </c>
      <c r="AF78" s="68" t="str">
        <v/>
      </c>
      <c r="AG78" s="69" t="str">
        <v/>
      </c>
      <c r="AH78" s="67" t="str">
        <v/>
      </c>
      <c r="AI78" s="67" t="str">
        <v/>
      </c>
      <c r="AJ78" s="70" t="str">
        <v/>
      </c>
      <c r="AK78" s="67" t="str">
        <v/>
      </c>
      <c r="AL78" s="67" t="str">
        <v/>
      </c>
      <c r="AM78" s="67" t="str">
        <v/>
      </c>
      <c r="AN78" s="67" t="str">
        <v/>
      </c>
      <c r="AO78" s="67" t="str">
        <v/>
      </c>
      <c r="AP78" s="46"/>
      <c r="AQ78" s="82"/>
      <c r="AR78" s="80"/>
      <c r="AS78" s="80" t="str">
        <v/>
      </c>
      <c r="AT78" s="78" t="str">
        <v/>
      </c>
      <c r="AU78" s="79"/>
      <c r="AV78" s="71" t="str">
        <v/>
      </c>
      <c r="AW78" s="68" t="str">
        <v/>
      </c>
      <c r="AX78" s="68" t="str">
        <v/>
      </c>
      <c r="AY78" s="72" t="str">
        <v/>
      </c>
      <c r="AZ78" s="67" t="str">
        <v/>
      </c>
      <c r="BA78" s="67" t="str">
        <v/>
      </c>
      <c r="BB78" s="67" t="str">
        <v/>
      </c>
      <c r="BC78" s="70" t="str">
        <v/>
      </c>
      <c r="BD78" s="67" t="str">
        <v/>
      </c>
      <c r="BE78" s="67" t="str">
        <v/>
      </c>
      <c r="BF78" s="67" t="str">
        <v/>
      </c>
      <c r="BG78" s="67" t="str">
        <v/>
      </c>
      <c r="BH78" s="67" t="str">
        <v/>
      </c>
      <c r="BI78" s="46"/>
      <c r="BJ78" s="73"/>
      <c r="BK78" s="64"/>
      <c r="BL78" s="64" t="str">
        <v/>
      </c>
      <c r="BM78" s="64" t="str">
        <v/>
      </c>
      <c r="BN78" s="64" t="str">
        <v/>
      </c>
      <c r="BO78" s="64" t="str">
        <v/>
      </c>
      <c r="BP78" s="64" t="str">
        <v/>
      </c>
      <c r="BQ78" s="64" t="str">
        <v/>
      </c>
      <c r="BR78" s="64" t="str">
        <v/>
      </c>
      <c r="BS78" s="64" t="str">
        <v/>
      </c>
      <c r="BT78" s="74" t="str">
        <v/>
      </c>
      <c r="BU78" s="46"/>
      <c r="BV78" s="65" t="str">
        <v/>
      </c>
      <c r="BW78" s="66" t="str">
        <v/>
      </c>
      <c r="BX78" s="46"/>
    </row>
    <row r="79" spans="1:76">
      <c r="A79" s="43"/>
      <c r="B79" s="81"/>
      <c r="C79" s="45"/>
      <c r="D79" s="45"/>
      <c r="E79" s="45"/>
      <c r="F79" s="46"/>
      <c r="G79" s="67" t="str">
        <v/>
      </c>
      <c r="H79" s="67" t="str">
        <v/>
      </c>
      <c r="I79" s="46"/>
      <c r="J79" s="67" t="str">
        <v/>
      </c>
      <c r="K79" s="67" t="str">
        <v/>
      </c>
      <c r="L79" s="67" t="str">
        <v/>
      </c>
      <c r="M79" s="67" t="str">
        <v/>
      </c>
      <c r="N79" s="68" t="str">
        <v/>
      </c>
      <c r="O79" s="67" t="str">
        <v/>
      </c>
      <c r="P79" s="67" t="str">
        <v/>
      </c>
      <c r="Q79" s="67" t="str">
        <v/>
      </c>
      <c r="R79" s="67" t="str">
        <v/>
      </c>
      <c r="S79" s="67" t="str">
        <v/>
      </c>
      <c r="T79" s="49"/>
      <c r="U79" s="50"/>
      <c r="V79" s="50"/>
      <c r="W79" s="51"/>
      <c r="X79" s="50"/>
      <c r="Y79" s="50"/>
      <c r="Z79" s="50"/>
      <c r="AA79" s="50"/>
      <c r="AB79" s="51"/>
      <c r="AC79" s="68" t="str">
        <v/>
      </c>
      <c r="AD79" s="68" t="str">
        <v/>
      </c>
      <c r="AE79" s="68" t="str">
        <v/>
      </c>
      <c r="AF79" s="68" t="str">
        <v/>
      </c>
      <c r="AG79" s="69" t="str">
        <v/>
      </c>
      <c r="AH79" s="67" t="str">
        <v/>
      </c>
      <c r="AI79" s="67" t="str">
        <v/>
      </c>
      <c r="AJ79" s="70" t="str">
        <v/>
      </c>
      <c r="AK79" s="67" t="str">
        <v/>
      </c>
      <c r="AL79" s="67" t="str">
        <v/>
      </c>
      <c r="AM79" s="67" t="str">
        <v/>
      </c>
      <c r="AN79" s="67" t="str">
        <v/>
      </c>
      <c r="AO79" s="67" t="str">
        <v/>
      </c>
      <c r="AP79" s="46"/>
      <c r="AQ79" s="82"/>
      <c r="AR79" s="80"/>
      <c r="AS79" s="80" t="str">
        <v/>
      </c>
      <c r="AT79" s="78" t="str">
        <v/>
      </c>
      <c r="AU79" s="79"/>
      <c r="AV79" s="71" t="str">
        <v/>
      </c>
      <c r="AW79" s="68" t="str">
        <v/>
      </c>
      <c r="AX79" s="68" t="str">
        <v/>
      </c>
      <c r="AY79" s="72" t="str">
        <v/>
      </c>
      <c r="AZ79" s="67" t="str">
        <v/>
      </c>
      <c r="BA79" s="67" t="str">
        <v/>
      </c>
      <c r="BB79" s="67" t="str">
        <v/>
      </c>
      <c r="BC79" s="70" t="str">
        <v/>
      </c>
      <c r="BD79" s="67" t="str">
        <v/>
      </c>
      <c r="BE79" s="67" t="str">
        <v/>
      </c>
      <c r="BF79" s="67" t="str">
        <v/>
      </c>
      <c r="BG79" s="67" t="str">
        <v/>
      </c>
      <c r="BH79" s="67" t="str">
        <v/>
      </c>
      <c r="BI79" s="46"/>
      <c r="BJ79" s="73"/>
      <c r="BK79" s="64"/>
      <c r="BL79" s="64" t="str">
        <v/>
      </c>
      <c r="BM79" s="64" t="str">
        <v/>
      </c>
      <c r="BN79" s="64" t="str">
        <v/>
      </c>
      <c r="BO79" s="64" t="str">
        <v/>
      </c>
      <c r="BP79" s="64" t="str">
        <v/>
      </c>
      <c r="BQ79" s="64" t="str">
        <v/>
      </c>
      <c r="BR79" s="64" t="str">
        <v/>
      </c>
      <c r="BS79" s="64" t="str">
        <v/>
      </c>
      <c r="BT79" s="74" t="str">
        <v/>
      </c>
      <c r="BU79" s="46"/>
      <c r="BV79" s="65" t="str">
        <v/>
      </c>
      <c r="BW79" s="66" t="str">
        <v/>
      </c>
      <c r="BX79" s="46"/>
    </row>
    <row r="80" spans="1:76">
      <c r="A80" s="43"/>
      <c r="B80" s="81"/>
      <c r="C80" s="45"/>
      <c r="D80" s="45"/>
      <c r="E80" s="45"/>
      <c r="F80" s="46"/>
      <c r="G80" s="67" t="str">
        <v/>
      </c>
      <c r="H80" s="67" t="str">
        <v/>
      </c>
      <c r="I80" s="46"/>
      <c r="J80" s="67" t="str">
        <v/>
      </c>
      <c r="K80" s="67" t="str">
        <v/>
      </c>
      <c r="L80" s="67" t="str">
        <v/>
      </c>
      <c r="M80" s="67" t="str">
        <v/>
      </c>
      <c r="N80" s="68" t="str">
        <v/>
      </c>
      <c r="O80" s="67" t="str">
        <v/>
      </c>
      <c r="P80" s="67" t="str">
        <v/>
      </c>
      <c r="Q80" s="67" t="str">
        <v/>
      </c>
      <c r="R80" s="67" t="str">
        <v/>
      </c>
      <c r="S80" s="67" t="str">
        <v/>
      </c>
      <c r="T80" s="49"/>
      <c r="U80" s="50"/>
      <c r="V80" s="50"/>
      <c r="W80" s="51"/>
      <c r="X80" s="50"/>
      <c r="Y80" s="50"/>
      <c r="Z80" s="50"/>
      <c r="AA80" s="50"/>
      <c r="AB80" s="51"/>
      <c r="AC80" s="68" t="str">
        <v/>
      </c>
      <c r="AD80" s="68" t="str">
        <v/>
      </c>
      <c r="AE80" s="68" t="str">
        <v/>
      </c>
      <c r="AF80" s="68" t="str">
        <v/>
      </c>
      <c r="AG80" s="69" t="str">
        <v/>
      </c>
      <c r="AH80" s="67" t="str">
        <v/>
      </c>
      <c r="AI80" s="67" t="str">
        <v/>
      </c>
      <c r="AJ80" s="70" t="str">
        <v/>
      </c>
      <c r="AK80" s="67" t="str">
        <v/>
      </c>
      <c r="AL80" s="67" t="str">
        <v/>
      </c>
      <c r="AM80" s="67" t="str">
        <v/>
      </c>
      <c r="AN80" s="67" t="str">
        <v/>
      </c>
      <c r="AO80" s="67" t="str">
        <v/>
      </c>
      <c r="AP80" s="46"/>
      <c r="AQ80" s="82"/>
      <c r="AR80" s="80"/>
      <c r="AS80" s="80" t="str">
        <v/>
      </c>
      <c r="AT80" s="78" t="str">
        <v/>
      </c>
      <c r="AU80" s="79"/>
      <c r="AV80" s="71" t="str">
        <v/>
      </c>
      <c r="AW80" s="68" t="str">
        <v/>
      </c>
      <c r="AX80" s="68" t="str">
        <v/>
      </c>
      <c r="AY80" s="72" t="str">
        <v/>
      </c>
      <c r="AZ80" s="67" t="str">
        <v/>
      </c>
      <c r="BA80" s="67" t="str">
        <v/>
      </c>
      <c r="BB80" s="67" t="str">
        <v/>
      </c>
      <c r="BC80" s="70" t="str">
        <v/>
      </c>
      <c r="BD80" s="67" t="str">
        <v/>
      </c>
      <c r="BE80" s="67" t="str">
        <v/>
      </c>
      <c r="BF80" s="67" t="str">
        <v/>
      </c>
      <c r="BG80" s="67" t="str">
        <v/>
      </c>
      <c r="BH80" s="67" t="str">
        <v/>
      </c>
      <c r="BI80" s="46"/>
      <c r="BJ80" s="73"/>
      <c r="BK80" s="64"/>
      <c r="BL80" s="64" t="str">
        <v/>
      </c>
      <c r="BM80" s="64" t="str">
        <v/>
      </c>
      <c r="BN80" s="64" t="str">
        <v/>
      </c>
      <c r="BO80" s="64" t="str">
        <v/>
      </c>
      <c r="BP80" s="64" t="str">
        <v/>
      </c>
      <c r="BQ80" s="64" t="str">
        <v/>
      </c>
      <c r="BR80" s="64" t="str">
        <v/>
      </c>
      <c r="BS80" s="64" t="str">
        <v/>
      </c>
      <c r="BT80" s="74" t="str">
        <v/>
      </c>
      <c r="BU80" s="46"/>
      <c r="BV80" s="65" t="str">
        <v/>
      </c>
      <c r="BW80" s="66" t="str">
        <v/>
      </c>
      <c r="BX80" s="46"/>
    </row>
    <row r="81" spans="1:76">
      <c r="A81" s="43"/>
      <c r="B81" s="81"/>
      <c r="C81" s="45"/>
      <c r="D81" s="45"/>
      <c r="E81" s="45"/>
      <c r="F81" s="46"/>
      <c r="G81" s="67" t="str">
        <v/>
      </c>
      <c r="H81" s="67" t="str">
        <v/>
      </c>
      <c r="I81" s="46"/>
      <c r="J81" s="67" t="str">
        <v/>
      </c>
      <c r="K81" s="67" t="str">
        <v/>
      </c>
      <c r="L81" s="67" t="str">
        <v/>
      </c>
      <c r="M81" s="67" t="str">
        <v/>
      </c>
      <c r="N81" s="68" t="str">
        <v/>
      </c>
      <c r="O81" s="67" t="str">
        <v/>
      </c>
      <c r="P81" s="67" t="str">
        <v/>
      </c>
      <c r="Q81" s="67" t="str">
        <v/>
      </c>
      <c r="R81" s="67" t="str">
        <v/>
      </c>
      <c r="S81" s="67" t="str">
        <v/>
      </c>
      <c r="T81" s="49"/>
      <c r="U81" s="50"/>
      <c r="V81" s="50"/>
      <c r="W81" s="51"/>
      <c r="X81" s="50"/>
      <c r="Y81" s="50"/>
      <c r="Z81" s="50"/>
      <c r="AA81" s="50"/>
      <c r="AB81" s="51"/>
      <c r="AC81" s="68" t="str">
        <v/>
      </c>
      <c r="AD81" s="68" t="str">
        <v/>
      </c>
      <c r="AE81" s="68" t="str">
        <v/>
      </c>
      <c r="AF81" s="68" t="str">
        <v/>
      </c>
      <c r="AG81" s="69" t="str">
        <v/>
      </c>
      <c r="AH81" s="67" t="str">
        <v/>
      </c>
      <c r="AI81" s="67" t="str">
        <v/>
      </c>
      <c r="AJ81" s="70" t="str">
        <v/>
      </c>
      <c r="AK81" s="67" t="str">
        <v/>
      </c>
      <c r="AL81" s="67" t="str">
        <v/>
      </c>
      <c r="AM81" s="67" t="str">
        <v/>
      </c>
      <c r="AN81" s="67" t="str">
        <v/>
      </c>
      <c r="AO81" s="67" t="str">
        <v/>
      </c>
      <c r="AP81" s="46"/>
      <c r="AQ81" s="82"/>
      <c r="AR81" s="80"/>
      <c r="AS81" s="80" t="str">
        <v/>
      </c>
      <c r="AT81" s="78" t="str">
        <v/>
      </c>
      <c r="AU81" s="79"/>
      <c r="AV81" s="71" t="str">
        <v/>
      </c>
      <c r="AW81" s="68" t="str">
        <v/>
      </c>
      <c r="AX81" s="68" t="str">
        <v/>
      </c>
      <c r="AY81" s="72" t="str">
        <v/>
      </c>
      <c r="AZ81" s="67" t="str">
        <v/>
      </c>
      <c r="BA81" s="67" t="str">
        <v/>
      </c>
      <c r="BB81" s="67" t="str">
        <v/>
      </c>
      <c r="BC81" s="70" t="str">
        <v/>
      </c>
      <c r="BD81" s="67" t="str">
        <v/>
      </c>
      <c r="BE81" s="67" t="str">
        <v/>
      </c>
      <c r="BF81" s="67" t="str">
        <v/>
      </c>
      <c r="BG81" s="67" t="str">
        <v/>
      </c>
      <c r="BH81" s="67" t="str">
        <v/>
      </c>
      <c r="BI81" s="46"/>
      <c r="BJ81" s="73"/>
      <c r="BK81" s="64"/>
      <c r="BL81" s="64" t="str">
        <v/>
      </c>
      <c r="BM81" s="64" t="str">
        <v/>
      </c>
      <c r="BN81" s="64" t="str">
        <v/>
      </c>
      <c r="BO81" s="64" t="str">
        <v/>
      </c>
      <c r="BP81" s="64" t="str">
        <v/>
      </c>
      <c r="BQ81" s="64" t="str">
        <v/>
      </c>
      <c r="BR81" s="64" t="str">
        <v/>
      </c>
      <c r="BS81" s="64" t="str">
        <v/>
      </c>
      <c r="BT81" s="74" t="str">
        <v/>
      </c>
      <c r="BU81" s="46"/>
      <c r="BV81" s="65" t="str">
        <v/>
      </c>
      <c r="BW81" s="66" t="str">
        <v/>
      </c>
      <c r="BX81" s="46"/>
    </row>
    <row r="82" spans="1:76">
      <c r="A82" s="43"/>
      <c r="B82" s="81"/>
      <c r="C82" s="45"/>
      <c r="D82" s="45"/>
      <c r="E82" s="45"/>
      <c r="F82" s="46"/>
      <c r="G82" s="67" t="str">
        <v/>
      </c>
      <c r="H82" s="67" t="str">
        <v/>
      </c>
      <c r="I82" s="46"/>
      <c r="J82" s="67" t="str">
        <v/>
      </c>
      <c r="K82" s="67" t="str">
        <v/>
      </c>
      <c r="L82" s="67" t="str">
        <v/>
      </c>
      <c r="M82" s="67" t="str">
        <v/>
      </c>
      <c r="N82" s="68" t="str">
        <v/>
      </c>
      <c r="O82" s="67" t="str">
        <v/>
      </c>
      <c r="P82" s="67" t="str">
        <v/>
      </c>
      <c r="Q82" s="67" t="str">
        <v/>
      </c>
      <c r="R82" s="67" t="str">
        <v/>
      </c>
      <c r="S82" s="67" t="str">
        <v/>
      </c>
      <c r="T82" s="49"/>
      <c r="U82" s="50"/>
      <c r="V82" s="50"/>
      <c r="W82" s="51"/>
      <c r="X82" s="50"/>
      <c r="Y82" s="50"/>
      <c r="Z82" s="50"/>
      <c r="AA82" s="50"/>
      <c r="AB82" s="51"/>
      <c r="AC82" s="68" t="str">
        <v/>
      </c>
      <c r="AD82" s="68" t="str">
        <v/>
      </c>
      <c r="AE82" s="68" t="str">
        <v/>
      </c>
      <c r="AF82" s="68" t="str">
        <v/>
      </c>
      <c r="AG82" s="69" t="str">
        <v/>
      </c>
      <c r="AH82" s="67" t="str">
        <v/>
      </c>
      <c r="AI82" s="67" t="str">
        <v/>
      </c>
      <c r="AJ82" s="70" t="str">
        <v/>
      </c>
      <c r="AK82" s="67" t="str">
        <v/>
      </c>
      <c r="AL82" s="67" t="str">
        <v/>
      </c>
      <c r="AM82" s="67" t="str">
        <v/>
      </c>
      <c r="AN82" s="67" t="str">
        <v/>
      </c>
      <c r="AO82" s="67" t="str">
        <v/>
      </c>
      <c r="AP82" s="46"/>
      <c r="AQ82" s="82"/>
      <c r="AR82" s="80"/>
      <c r="AS82" s="80" t="str">
        <v/>
      </c>
      <c r="AT82" s="78" t="str">
        <v/>
      </c>
      <c r="AU82" s="79"/>
      <c r="AV82" s="71" t="str">
        <v/>
      </c>
      <c r="AW82" s="68" t="str">
        <v/>
      </c>
      <c r="AX82" s="68" t="str">
        <v/>
      </c>
      <c r="AY82" s="72" t="str">
        <v/>
      </c>
      <c r="AZ82" s="67" t="str">
        <v/>
      </c>
      <c r="BA82" s="67" t="str">
        <v/>
      </c>
      <c r="BB82" s="67" t="str">
        <v/>
      </c>
      <c r="BC82" s="70" t="str">
        <v/>
      </c>
      <c r="BD82" s="67" t="str">
        <v/>
      </c>
      <c r="BE82" s="67" t="str">
        <v/>
      </c>
      <c r="BF82" s="67" t="str">
        <v/>
      </c>
      <c r="BG82" s="67" t="str">
        <v/>
      </c>
      <c r="BH82" s="67" t="str">
        <v/>
      </c>
      <c r="BI82" s="46"/>
      <c r="BJ82" s="73"/>
      <c r="BK82" s="64"/>
      <c r="BL82" s="64" t="str">
        <v/>
      </c>
      <c r="BM82" s="64" t="str">
        <v/>
      </c>
      <c r="BN82" s="64" t="str">
        <v/>
      </c>
      <c r="BO82" s="64" t="str">
        <v/>
      </c>
      <c r="BP82" s="64" t="str">
        <v/>
      </c>
      <c r="BQ82" s="64" t="str">
        <v/>
      </c>
      <c r="BR82" s="64" t="str">
        <v/>
      </c>
      <c r="BS82" s="64" t="str">
        <v/>
      </c>
      <c r="BT82" s="74" t="str">
        <v/>
      </c>
      <c r="BU82" s="46"/>
      <c r="BV82" s="65" t="str">
        <v/>
      </c>
      <c r="BW82" s="66" t="str">
        <v/>
      </c>
      <c r="BX82" s="46"/>
    </row>
    <row r="83" spans="1:76">
      <c r="A83" s="43"/>
      <c r="B83" s="81"/>
      <c r="C83" s="45"/>
      <c r="D83" s="45"/>
      <c r="E83" s="45"/>
      <c r="F83" s="46"/>
      <c r="G83" s="67" t="str">
        <v/>
      </c>
      <c r="H83" s="67" t="str">
        <v/>
      </c>
      <c r="I83" s="46"/>
      <c r="J83" s="67" t="str">
        <v/>
      </c>
      <c r="K83" s="67" t="str">
        <v/>
      </c>
      <c r="L83" s="67" t="str">
        <v/>
      </c>
      <c r="M83" s="67" t="str">
        <v/>
      </c>
      <c r="N83" s="68" t="str">
        <v/>
      </c>
      <c r="O83" s="67" t="str">
        <v/>
      </c>
      <c r="P83" s="67" t="str">
        <v/>
      </c>
      <c r="Q83" s="67" t="str">
        <v/>
      </c>
      <c r="R83" s="67" t="str">
        <v/>
      </c>
      <c r="S83" s="67" t="str">
        <v/>
      </c>
      <c r="T83" s="49"/>
      <c r="U83" s="50"/>
      <c r="V83" s="50"/>
      <c r="W83" s="51"/>
      <c r="X83" s="50"/>
      <c r="Y83" s="50"/>
      <c r="Z83" s="50"/>
      <c r="AA83" s="50"/>
      <c r="AB83" s="51"/>
      <c r="AC83" s="68" t="str">
        <v/>
      </c>
      <c r="AD83" s="68" t="str">
        <v/>
      </c>
      <c r="AE83" s="68" t="str">
        <v/>
      </c>
      <c r="AF83" s="68" t="str">
        <v/>
      </c>
      <c r="AG83" s="69" t="str">
        <v/>
      </c>
      <c r="AH83" s="67" t="str">
        <v/>
      </c>
      <c r="AI83" s="67" t="str">
        <v/>
      </c>
      <c r="AJ83" s="70" t="str">
        <v/>
      </c>
      <c r="AK83" s="67" t="str">
        <v/>
      </c>
      <c r="AL83" s="67" t="str">
        <v/>
      </c>
      <c r="AM83" s="67" t="str">
        <v/>
      </c>
      <c r="AN83" s="67" t="str">
        <v/>
      </c>
      <c r="AO83" s="67" t="str">
        <v/>
      </c>
      <c r="AP83" s="46"/>
      <c r="AQ83" s="82"/>
      <c r="AR83" s="80"/>
      <c r="AS83" s="80" t="str">
        <v/>
      </c>
      <c r="AT83" s="78" t="str">
        <v/>
      </c>
      <c r="AU83" s="79"/>
      <c r="AV83" s="71" t="str">
        <v/>
      </c>
      <c r="AW83" s="68" t="str">
        <v/>
      </c>
      <c r="AX83" s="68" t="str">
        <v/>
      </c>
      <c r="AY83" s="72" t="str">
        <v/>
      </c>
      <c r="AZ83" s="67" t="str">
        <v/>
      </c>
      <c r="BA83" s="67" t="str">
        <v/>
      </c>
      <c r="BB83" s="67" t="str">
        <v/>
      </c>
      <c r="BC83" s="70" t="str">
        <v/>
      </c>
      <c r="BD83" s="67" t="str">
        <v/>
      </c>
      <c r="BE83" s="67" t="str">
        <v/>
      </c>
      <c r="BF83" s="67" t="str">
        <v/>
      </c>
      <c r="BG83" s="67" t="str">
        <v/>
      </c>
      <c r="BH83" s="67" t="str">
        <v/>
      </c>
      <c r="BI83" s="46"/>
      <c r="BJ83" s="73"/>
      <c r="BK83" s="64"/>
      <c r="BL83" s="64" t="str">
        <v/>
      </c>
      <c r="BM83" s="64" t="str">
        <v/>
      </c>
      <c r="BN83" s="64" t="str">
        <v/>
      </c>
      <c r="BO83" s="64" t="str">
        <v/>
      </c>
      <c r="BP83" s="64" t="str">
        <v/>
      </c>
      <c r="BQ83" s="64" t="str">
        <v/>
      </c>
      <c r="BR83" s="64" t="str">
        <v/>
      </c>
      <c r="BS83" s="64" t="str">
        <v/>
      </c>
      <c r="BT83" s="74" t="str">
        <v/>
      </c>
      <c r="BU83" s="46"/>
      <c r="BV83" s="65" t="str">
        <v/>
      </c>
      <c r="BW83" s="66" t="str">
        <v/>
      </c>
      <c r="BX83" s="46"/>
    </row>
    <row r="84" spans="1:76">
      <c r="A84" s="43"/>
      <c r="B84" s="81"/>
      <c r="C84" s="45"/>
      <c r="D84" s="45"/>
      <c r="E84" s="45"/>
      <c r="F84" s="46"/>
      <c r="G84" s="67" t="str">
        <v/>
      </c>
      <c r="H84" s="67" t="str">
        <v/>
      </c>
      <c r="I84" s="46"/>
      <c r="J84" s="67" t="str">
        <v/>
      </c>
      <c r="K84" s="67" t="str">
        <v/>
      </c>
      <c r="L84" s="67" t="str">
        <v/>
      </c>
      <c r="M84" s="67" t="str">
        <v/>
      </c>
      <c r="N84" s="68" t="str">
        <v/>
      </c>
      <c r="O84" s="67" t="str">
        <v/>
      </c>
      <c r="P84" s="67" t="str">
        <v/>
      </c>
      <c r="Q84" s="67" t="str">
        <v/>
      </c>
      <c r="R84" s="67" t="str">
        <v/>
      </c>
      <c r="S84" s="67" t="str">
        <v/>
      </c>
      <c r="T84" s="49"/>
      <c r="U84" s="50"/>
      <c r="V84" s="50"/>
      <c r="W84" s="51"/>
      <c r="X84" s="50"/>
      <c r="Y84" s="50"/>
      <c r="Z84" s="50"/>
      <c r="AA84" s="50"/>
      <c r="AB84" s="51"/>
      <c r="AC84" s="68" t="str">
        <v/>
      </c>
      <c r="AD84" s="68" t="str">
        <v/>
      </c>
      <c r="AE84" s="68" t="str">
        <v/>
      </c>
      <c r="AF84" s="68" t="str">
        <v/>
      </c>
      <c r="AG84" s="69" t="str">
        <v/>
      </c>
      <c r="AH84" s="67" t="str">
        <v/>
      </c>
      <c r="AI84" s="67" t="str">
        <v/>
      </c>
      <c r="AJ84" s="70" t="str">
        <v/>
      </c>
      <c r="AK84" s="67" t="str">
        <v/>
      </c>
      <c r="AL84" s="67" t="str">
        <v/>
      </c>
      <c r="AM84" s="67" t="str">
        <v/>
      </c>
      <c r="AN84" s="67" t="str">
        <v/>
      </c>
      <c r="AO84" s="67" t="str">
        <v/>
      </c>
      <c r="AP84" s="46"/>
      <c r="AQ84" s="82"/>
      <c r="AR84" s="80"/>
      <c r="AS84" s="80" t="str">
        <v/>
      </c>
      <c r="AT84" s="78" t="str">
        <v/>
      </c>
      <c r="AU84" s="79"/>
      <c r="AV84" s="71" t="str">
        <v/>
      </c>
      <c r="AW84" s="68" t="str">
        <v/>
      </c>
      <c r="AX84" s="68" t="str">
        <v/>
      </c>
      <c r="AY84" s="72" t="str">
        <v/>
      </c>
      <c r="AZ84" s="67" t="str">
        <v/>
      </c>
      <c r="BA84" s="67" t="str">
        <v/>
      </c>
      <c r="BB84" s="67" t="str">
        <v/>
      </c>
      <c r="BC84" s="70" t="str">
        <v/>
      </c>
      <c r="BD84" s="67" t="str">
        <v/>
      </c>
      <c r="BE84" s="67" t="str">
        <v/>
      </c>
      <c r="BF84" s="67" t="str">
        <v/>
      </c>
      <c r="BG84" s="67" t="str">
        <v/>
      </c>
      <c r="BH84" s="67" t="str">
        <v/>
      </c>
      <c r="BI84" s="46"/>
      <c r="BJ84" s="73"/>
      <c r="BK84" s="64"/>
      <c r="BL84" s="64" t="str">
        <v/>
      </c>
      <c r="BM84" s="64" t="str">
        <v/>
      </c>
      <c r="BN84" s="64" t="str">
        <v/>
      </c>
      <c r="BO84" s="64" t="str">
        <v/>
      </c>
      <c r="BP84" s="64" t="str">
        <v/>
      </c>
      <c r="BQ84" s="64" t="str">
        <v/>
      </c>
      <c r="BR84" s="64" t="str">
        <v/>
      </c>
      <c r="BS84" s="64" t="str">
        <v/>
      </c>
      <c r="BT84" s="74" t="str">
        <v/>
      </c>
      <c r="BU84" s="46"/>
      <c r="BV84" s="65" t="str">
        <v/>
      </c>
      <c r="BW84" s="66" t="str">
        <v/>
      </c>
      <c r="BX84" s="46"/>
    </row>
    <row r="85" spans="1:76">
      <c r="A85" s="43"/>
      <c r="B85" s="81"/>
      <c r="C85" s="45"/>
      <c r="D85" s="45"/>
      <c r="E85" s="45"/>
      <c r="F85" s="46"/>
      <c r="G85" s="67" t="str">
        <v/>
      </c>
      <c r="H85" s="67" t="str">
        <v/>
      </c>
      <c r="I85" s="46"/>
      <c r="J85" s="67" t="str">
        <v/>
      </c>
      <c r="K85" s="67" t="str">
        <v/>
      </c>
      <c r="L85" s="67" t="str">
        <v/>
      </c>
      <c r="M85" s="67" t="str">
        <v/>
      </c>
      <c r="N85" s="68" t="str">
        <v/>
      </c>
      <c r="O85" s="67" t="str">
        <v/>
      </c>
      <c r="P85" s="67" t="str">
        <v/>
      </c>
      <c r="Q85" s="67" t="str">
        <v/>
      </c>
      <c r="R85" s="67" t="str">
        <v/>
      </c>
      <c r="S85" s="67" t="str">
        <v/>
      </c>
      <c r="T85" s="49"/>
      <c r="U85" s="50"/>
      <c r="V85" s="50"/>
      <c r="W85" s="51"/>
      <c r="X85" s="50"/>
      <c r="Y85" s="50"/>
      <c r="Z85" s="50"/>
      <c r="AA85" s="50"/>
      <c r="AB85" s="51"/>
      <c r="AC85" s="68" t="str">
        <v/>
      </c>
      <c r="AD85" s="68" t="str">
        <v/>
      </c>
      <c r="AE85" s="68" t="str">
        <v/>
      </c>
      <c r="AF85" s="68" t="str">
        <v/>
      </c>
      <c r="AG85" s="69" t="str">
        <v/>
      </c>
      <c r="AH85" s="67" t="str">
        <v/>
      </c>
      <c r="AI85" s="67" t="str">
        <v/>
      </c>
      <c r="AJ85" s="70" t="str">
        <v/>
      </c>
      <c r="AK85" s="67" t="str">
        <v/>
      </c>
      <c r="AL85" s="67" t="str">
        <v/>
      </c>
      <c r="AM85" s="67" t="str">
        <v/>
      </c>
      <c r="AN85" s="67" t="str">
        <v/>
      </c>
      <c r="AO85" s="67" t="str">
        <v/>
      </c>
      <c r="AP85" s="46"/>
      <c r="AQ85" s="82"/>
      <c r="AR85" s="80"/>
      <c r="AS85" s="80" t="str">
        <v/>
      </c>
      <c r="AT85" s="78" t="str">
        <v/>
      </c>
      <c r="AU85" s="79"/>
      <c r="AV85" s="71" t="str">
        <v/>
      </c>
      <c r="AW85" s="68" t="str">
        <v/>
      </c>
      <c r="AX85" s="68" t="str">
        <v/>
      </c>
      <c r="AY85" s="72" t="str">
        <v/>
      </c>
      <c r="AZ85" s="67" t="str">
        <v/>
      </c>
      <c r="BA85" s="67" t="str">
        <v/>
      </c>
      <c r="BB85" s="67" t="str">
        <v/>
      </c>
      <c r="BC85" s="70" t="str">
        <v/>
      </c>
      <c r="BD85" s="67" t="str">
        <v/>
      </c>
      <c r="BE85" s="67" t="str">
        <v/>
      </c>
      <c r="BF85" s="67" t="str">
        <v/>
      </c>
      <c r="BG85" s="67" t="str">
        <v/>
      </c>
      <c r="BH85" s="67" t="str">
        <v/>
      </c>
      <c r="BI85" s="46"/>
      <c r="BJ85" s="73"/>
      <c r="BK85" s="64"/>
      <c r="BL85" s="64" t="str">
        <v/>
      </c>
      <c r="BM85" s="64" t="str">
        <v/>
      </c>
      <c r="BN85" s="64" t="str">
        <v/>
      </c>
      <c r="BO85" s="64" t="str">
        <v/>
      </c>
      <c r="BP85" s="64" t="str">
        <v/>
      </c>
      <c r="BQ85" s="64" t="str">
        <v/>
      </c>
      <c r="BR85" s="64" t="str">
        <v/>
      </c>
      <c r="BS85" s="64" t="str">
        <v/>
      </c>
      <c r="BT85" s="74" t="str">
        <v/>
      </c>
      <c r="BU85" s="46"/>
      <c r="BV85" s="65" t="str">
        <v/>
      </c>
      <c r="BW85" s="66" t="str">
        <v/>
      </c>
      <c r="BX85" s="46"/>
    </row>
    <row r="86" spans="1:76">
      <c r="A86" s="43"/>
      <c r="B86" s="81"/>
      <c r="C86" s="45"/>
      <c r="D86" s="45"/>
      <c r="E86" s="45"/>
      <c r="F86" s="46"/>
      <c r="G86" s="67" t="str">
        <v/>
      </c>
      <c r="H86" s="67" t="str">
        <v/>
      </c>
      <c r="I86" s="46"/>
      <c r="J86" s="67" t="str">
        <v/>
      </c>
      <c r="K86" s="67" t="str">
        <v/>
      </c>
      <c r="L86" s="67" t="str">
        <v/>
      </c>
      <c r="M86" s="67" t="str">
        <v/>
      </c>
      <c r="N86" s="68" t="str">
        <v/>
      </c>
      <c r="O86" s="67" t="str">
        <v/>
      </c>
      <c r="P86" s="67" t="str">
        <v/>
      </c>
      <c r="Q86" s="67" t="str">
        <v/>
      </c>
      <c r="R86" s="67" t="str">
        <v/>
      </c>
      <c r="S86" s="67" t="str">
        <v/>
      </c>
      <c r="T86" s="49"/>
      <c r="U86" s="50"/>
      <c r="V86" s="50"/>
      <c r="W86" s="51"/>
      <c r="X86" s="50"/>
      <c r="Y86" s="50"/>
      <c r="Z86" s="50"/>
      <c r="AA86" s="50"/>
      <c r="AB86" s="51"/>
      <c r="AC86" s="68" t="str">
        <v/>
      </c>
      <c r="AD86" s="68" t="str">
        <v/>
      </c>
      <c r="AE86" s="68" t="str">
        <v/>
      </c>
      <c r="AF86" s="68" t="str">
        <v/>
      </c>
      <c r="AG86" s="69" t="str">
        <v/>
      </c>
      <c r="AH86" s="67" t="str">
        <v/>
      </c>
      <c r="AI86" s="67" t="str">
        <v/>
      </c>
      <c r="AJ86" s="70" t="str">
        <v/>
      </c>
      <c r="AK86" s="67" t="str">
        <v/>
      </c>
      <c r="AL86" s="67" t="str">
        <v/>
      </c>
      <c r="AM86" s="67" t="str">
        <v/>
      </c>
      <c r="AN86" s="67" t="str">
        <v/>
      </c>
      <c r="AO86" s="67" t="str">
        <v/>
      </c>
      <c r="AP86" s="46"/>
      <c r="AQ86" s="82"/>
      <c r="AR86" s="80"/>
      <c r="AS86" s="80" t="str">
        <v/>
      </c>
      <c r="AT86" s="78" t="str">
        <v/>
      </c>
      <c r="AU86" s="79"/>
      <c r="AV86" s="71" t="str">
        <v/>
      </c>
      <c r="AW86" s="68" t="str">
        <v/>
      </c>
      <c r="AX86" s="68" t="str">
        <v/>
      </c>
      <c r="AY86" s="72" t="str">
        <v/>
      </c>
      <c r="AZ86" s="67" t="str">
        <v/>
      </c>
      <c r="BA86" s="67" t="str">
        <v/>
      </c>
      <c r="BB86" s="67" t="str">
        <v/>
      </c>
      <c r="BC86" s="70" t="str">
        <v/>
      </c>
      <c r="BD86" s="67" t="str">
        <v/>
      </c>
      <c r="BE86" s="67" t="str">
        <v/>
      </c>
      <c r="BF86" s="67" t="str">
        <v/>
      </c>
      <c r="BG86" s="67" t="str">
        <v/>
      </c>
      <c r="BH86" s="67" t="str">
        <v/>
      </c>
      <c r="BI86" s="46"/>
      <c r="BJ86" s="73"/>
      <c r="BK86" s="64"/>
      <c r="BL86" s="64" t="str">
        <v/>
      </c>
      <c r="BM86" s="64" t="str">
        <v/>
      </c>
      <c r="BN86" s="64" t="str">
        <v/>
      </c>
      <c r="BO86" s="64" t="str">
        <v/>
      </c>
      <c r="BP86" s="64" t="str">
        <v/>
      </c>
      <c r="BQ86" s="64" t="str">
        <v/>
      </c>
      <c r="BR86" s="64" t="str">
        <v/>
      </c>
      <c r="BS86" s="64" t="str">
        <v/>
      </c>
      <c r="BT86" s="74" t="str">
        <v/>
      </c>
      <c r="BU86" s="46"/>
      <c r="BV86" s="65" t="str">
        <v/>
      </c>
      <c r="BW86" s="66" t="str">
        <v/>
      </c>
      <c r="BX86" s="46"/>
    </row>
    <row r="87" spans="1:76">
      <c r="A87" s="43"/>
      <c r="B87" s="81"/>
      <c r="C87" s="45"/>
      <c r="D87" s="45"/>
      <c r="E87" s="45"/>
      <c r="F87" s="46"/>
      <c r="G87" s="67" t="str">
        <v/>
      </c>
      <c r="H87" s="67" t="str">
        <v/>
      </c>
      <c r="I87" s="46"/>
      <c r="J87" s="67" t="str">
        <v/>
      </c>
      <c r="K87" s="67" t="str">
        <v/>
      </c>
      <c r="L87" s="67" t="str">
        <v/>
      </c>
      <c r="M87" s="67" t="str">
        <v/>
      </c>
      <c r="N87" s="68" t="str">
        <v/>
      </c>
      <c r="O87" s="67" t="str">
        <v/>
      </c>
      <c r="P87" s="67" t="str">
        <v/>
      </c>
      <c r="Q87" s="67" t="str">
        <v/>
      </c>
      <c r="R87" s="67" t="str">
        <v/>
      </c>
      <c r="S87" s="67" t="str">
        <v/>
      </c>
      <c r="T87" s="49"/>
      <c r="U87" s="50"/>
      <c r="V87" s="50"/>
      <c r="W87" s="51"/>
      <c r="X87" s="50"/>
      <c r="Y87" s="50"/>
      <c r="Z87" s="50"/>
      <c r="AA87" s="50"/>
      <c r="AB87" s="51"/>
      <c r="AC87" s="68" t="str">
        <v/>
      </c>
      <c r="AD87" s="68" t="str">
        <v/>
      </c>
      <c r="AE87" s="68" t="str">
        <v/>
      </c>
      <c r="AF87" s="68" t="str">
        <v/>
      </c>
      <c r="AG87" s="69" t="str">
        <v/>
      </c>
      <c r="AH87" s="67" t="str">
        <v/>
      </c>
      <c r="AI87" s="67" t="str">
        <v/>
      </c>
      <c r="AJ87" s="70" t="str">
        <v/>
      </c>
      <c r="AK87" s="67" t="str">
        <v/>
      </c>
      <c r="AL87" s="67" t="str">
        <v/>
      </c>
      <c r="AM87" s="67" t="str">
        <v/>
      </c>
      <c r="AN87" s="67" t="str">
        <v/>
      </c>
      <c r="AO87" s="67" t="str">
        <v/>
      </c>
      <c r="AP87" s="46"/>
      <c r="AQ87" s="82"/>
      <c r="AR87" s="80"/>
      <c r="AS87" s="80" t="str">
        <v/>
      </c>
      <c r="AT87" s="78" t="str">
        <v/>
      </c>
      <c r="AU87" s="79"/>
      <c r="AV87" s="71" t="str">
        <v/>
      </c>
      <c r="AW87" s="68" t="str">
        <v/>
      </c>
      <c r="AX87" s="68" t="str">
        <v/>
      </c>
      <c r="AY87" s="72" t="str">
        <v/>
      </c>
      <c r="AZ87" s="67" t="str">
        <v/>
      </c>
      <c r="BA87" s="67" t="str">
        <v/>
      </c>
      <c r="BB87" s="67" t="str">
        <v/>
      </c>
      <c r="BC87" s="70" t="str">
        <v/>
      </c>
      <c r="BD87" s="67" t="str">
        <v/>
      </c>
      <c r="BE87" s="67" t="str">
        <v/>
      </c>
      <c r="BF87" s="67" t="str">
        <v/>
      </c>
      <c r="BG87" s="67" t="str">
        <v/>
      </c>
      <c r="BH87" s="67" t="str">
        <v/>
      </c>
      <c r="BI87" s="46"/>
      <c r="BJ87" s="73"/>
      <c r="BK87" s="64"/>
      <c r="BL87" s="64" t="str">
        <v/>
      </c>
      <c r="BM87" s="64" t="str">
        <v/>
      </c>
      <c r="BN87" s="64" t="str">
        <v/>
      </c>
      <c r="BO87" s="64" t="str">
        <v/>
      </c>
      <c r="BP87" s="64" t="str">
        <v/>
      </c>
      <c r="BQ87" s="64" t="str">
        <v/>
      </c>
      <c r="BR87" s="64" t="str">
        <v/>
      </c>
      <c r="BS87" s="64" t="str">
        <v/>
      </c>
      <c r="BT87" s="74" t="str">
        <v/>
      </c>
      <c r="BU87" s="46"/>
      <c r="BV87" s="65" t="str">
        <v/>
      </c>
      <c r="BW87" s="66" t="str">
        <v/>
      </c>
      <c r="BX87" s="46"/>
    </row>
    <row r="88" spans="1:76">
      <c r="A88" s="43"/>
      <c r="B88" s="81"/>
      <c r="C88" s="45"/>
      <c r="D88" s="45"/>
      <c r="E88" s="45"/>
      <c r="F88" s="46"/>
      <c r="G88" s="67" t="str">
        <v/>
      </c>
      <c r="H88" s="67" t="str">
        <v/>
      </c>
      <c r="I88" s="46"/>
      <c r="J88" s="67" t="str">
        <v/>
      </c>
      <c r="K88" s="67" t="str">
        <v/>
      </c>
      <c r="L88" s="67" t="str">
        <v/>
      </c>
      <c r="M88" s="67" t="str">
        <v/>
      </c>
      <c r="N88" s="68" t="str">
        <v/>
      </c>
      <c r="O88" s="67" t="str">
        <v/>
      </c>
      <c r="P88" s="67" t="str">
        <v/>
      </c>
      <c r="Q88" s="67" t="str">
        <v/>
      </c>
      <c r="R88" s="67" t="str">
        <v/>
      </c>
      <c r="S88" s="67" t="str">
        <v/>
      </c>
      <c r="T88" s="49"/>
      <c r="U88" s="50"/>
      <c r="V88" s="50"/>
      <c r="W88" s="51"/>
      <c r="X88" s="50"/>
      <c r="Y88" s="50"/>
      <c r="Z88" s="50"/>
      <c r="AA88" s="50"/>
      <c r="AB88" s="51"/>
      <c r="AC88" s="68" t="str">
        <v/>
      </c>
      <c r="AD88" s="68" t="str">
        <v/>
      </c>
      <c r="AE88" s="68" t="str">
        <v/>
      </c>
      <c r="AF88" s="68" t="str">
        <v/>
      </c>
      <c r="AG88" s="69" t="str">
        <v/>
      </c>
      <c r="AH88" s="67" t="str">
        <v/>
      </c>
      <c r="AI88" s="67" t="str">
        <v/>
      </c>
      <c r="AJ88" s="70" t="str">
        <v/>
      </c>
      <c r="AK88" s="67" t="str">
        <v/>
      </c>
      <c r="AL88" s="67" t="str">
        <v/>
      </c>
      <c r="AM88" s="67" t="str">
        <v/>
      </c>
      <c r="AN88" s="67" t="str">
        <v/>
      </c>
      <c r="AO88" s="67" t="str">
        <v/>
      </c>
      <c r="AP88" s="46"/>
      <c r="AQ88" s="82"/>
      <c r="AR88" s="80"/>
      <c r="AS88" s="80" t="str">
        <v/>
      </c>
      <c r="AT88" s="78" t="str">
        <v/>
      </c>
      <c r="AU88" s="79"/>
      <c r="AV88" s="71" t="str">
        <v/>
      </c>
      <c r="AW88" s="68" t="str">
        <v/>
      </c>
      <c r="AX88" s="68" t="str">
        <v/>
      </c>
      <c r="AY88" s="72" t="str">
        <v/>
      </c>
      <c r="AZ88" s="67" t="str">
        <v/>
      </c>
      <c r="BA88" s="67" t="str">
        <v/>
      </c>
      <c r="BB88" s="67" t="str">
        <v/>
      </c>
      <c r="BC88" s="70" t="str">
        <v/>
      </c>
      <c r="BD88" s="67" t="str">
        <v/>
      </c>
      <c r="BE88" s="67" t="str">
        <v/>
      </c>
      <c r="BF88" s="67" t="str">
        <v/>
      </c>
      <c r="BG88" s="67" t="str">
        <v/>
      </c>
      <c r="BH88" s="67" t="str">
        <v/>
      </c>
      <c r="BI88" s="46"/>
      <c r="BJ88" s="73"/>
      <c r="BK88" s="64"/>
      <c r="BL88" s="64" t="str">
        <v/>
      </c>
      <c r="BM88" s="64" t="str">
        <v/>
      </c>
      <c r="BN88" s="64" t="str">
        <v/>
      </c>
      <c r="BO88" s="64" t="str">
        <v/>
      </c>
      <c r="BP88" s="64" t="str">
        <v/>
      </c>
      <c r="BQ88" s="64" t="str">
        <v/>
      </c>
      <c r="BR88" s="64" t="str">
        <v/>
      </c>
      <c r="BS88" s="64" t="str">
        <v/>
      </c>
      <c r="BT88" s="74" t="str">
        <v/>
      </c>
      <c r="BU88" s="46"/>
      <c r="BV88" s="65" t="str">
        <v/>
      </c>
      <c r="BW88" s="66" t="str">
        <v/>
      </c>
      <c r="BX88" s="46"/>
    </row>
    <row r="89" spans="1:76">
      <c r="A89" s="43"/>
      <c r="B89" s="81"/>
      <c r="C89" s="45"/>
      <c r="D89" s="45"/>
      <c r="E89" s="45"/>
      <c r="F89" s="46"/>
      <c r="G89" s="67" t="str">
        <v/>
      </c>
      <c r="H89" s="67" t="str">
        <v/>
      </c>
      <c r="I89" s="46"/>
      <c r="J89" s="67" t="str">
        <v/>
      </c>
      <c r="K89" s="67" t="str">
        <v/>
      </c>
      <c r="L89" s="67" t="str">
        <v/>
      </c>
      <c r="M89" s="67" t="str">
        <v/>
      </c>
      <c r="N89" s="68" t="str">
        <v/>
      </c>
      <c r="O89" s="67" t="str">
        <v/>
      </c>
      <c r="P89" s="67" t="str">
        <v/>
      </c>
      <c r="Q89" s="67" t="str">
        <v/>
      </c>
      <c r="R89" s="67" t="str">
        <v/>
      </c>
      <c r="S89" s="67" t="str">
        <v/>
      </c>
      <c r="T89" s="49"/>
      <c r="U89" s="50"/>
      <c r="V89" s="50"/>
      <c r="W89" s="51"/>
      <c r="X89" s="50"/>
      <c r="Y89" s="50"/>
      <c r="Z89" s="50"/>
      <c r="AA89" s="50"/>
      <c r="AB89" s="51"/>
      <c r="AC89" s="68" t="str">
        <v/>
      </c>
      <c r="AD89" s="68" t="str">
        <v/>
      </c>
      <c r="AE89" s="68" t="str">
        <v/>
      </c>
      <c r="AF89" s="68" t="str">
        <v/>
      </c>
      <c r="AG89" s="69" t="str">
        <v/>
      </c>
      <c r="AH89" s="67" t="str">
        <v/>
      </c>
      <c r="AI89" s="67" t="str">
        <v/>
      </c>
      <c r="AJ89" s="70" t="str">
        <v/>
      </c>
      <c r="AK89" s="67" t="str">
        <v/>
      </c>
      <c r="AL89" s="67" t="str">
        <v/>
      </c>
      <c r="AM89" s="67" t="str">
        <v/>
      </c>
      <c r="AN89" s="67" t="str">
        <v/>
      </c>
      <c r="AO89" s="67" t="str">
        <v/>
      </c>
      <c r="AP89" s="46"/>
      <c r="AQ89" s="82"/>
      <c r="AR89" s="80"/>
      <c r="AS89" s="80" t="str">
        <v/>
      </c>
      <c r="AT89" s="78" t="str">
        <v/>
      </c>
      <c r="AU89" s="79"/>
      <c r="AV89" s="71" t="str">
        <v/>
      </c>
      <c r="AW89" s="68" t="str">
        <v/>
      </c>
      <c r="AX89" s="68" t="str">
        <v/>
      </c>
      <c r="AY89" s="72" t="str">
        <v/>
      </c>
      <c r="AZ89" s="67" t="str">
        <v/>
      </c>
      <c r="BA89" s="67" t="str">
        <v/>
      </c>
      <c r="BB89" s="67" t="str">
        <v/>
      </c>
      <c r="BC89" s="70" t="str">
        <v/>
      </c>
      <c r="BD89" s="67" t="str">
        <v/>
      </c>
      <c r="BE89" s="67" t="str">
        <v/>
      </c>
      <c r="BF89" s="67" t="str">
        <v/>
      </c>
      <c r="BG89" s="67" t="str">
        <v/>
      </c>
      <c r="BH89" s="67" t="str">
        <v/>
      </c>
      <c r="BI89" s="46"/>
      <c r="BJ89" s="73"/>
      <c r="BK89" s="64"/>
      <c r="BL89" s="64" t="str">
        <v/>
      </c>
      <c r="BM89" s="64" t="str">
        <v/>
      </c>
      <c r="BN89" s="64" t="str">
        <v/>
      </c>
      <c r="BO89" s="64" t="str">
        <v/>
      </c>
      <c r="BP89" s="64" t="str">
        <v/>
      </c>
      <c r="BQ89" s="64" t="str">
        <v/>
      </c>
      <c r="BR89" s="64" t="str">
        <v/>
      </c>
      <c r="BS89" s="64" t="str">
        <v/>
      </c>
      <c r="BT89" s="74" t="str">
        <v/>
      </c>
      <c r="BU89" s="46"/>
      <c r="BV89" s="65" t="str">
        <v/>
      </c>
      <c r="BW89" s="66" t="str">
        <v/>
      </c>
      <c r="BX89" s="46"/>
    </row>
    <row r="90" spans="1:76">
      <c r="A90" s="43"/>
      <c r="B90" s="81"/>
      <c r="C90" s="45"/>
      <c r="D90" s="45"/>
      <c r="E90" s="45"/>
      <c r="F90" s="46"/>
      <c r="G90" s="67" t="str">
        <v/>
      </c>
      <c r="H90" s="67" t="str">
        <v/>
      </c>
      <c r="I90" s="46"/>
      <c r="J90" s="67" t="str">
        <v/>
      </c>
      <c r="K90" s="67" t="str">
        <v/>
      </c>
      <c r="L90" s="67" t="str">
        <v/>
      </c>
      <c r="M90" s="67" t="str">
        <v/>
      </c>
      <c r="N90" s="68" t="str">
        <v/>
      </c>
      <c r="O90" s="67" t="str">
        <v/>
      </c>
      <c r="P90" s="67" t="str">
        <v/>
      </c>
      <c r="Q90" s="67" t="str">
        <v/>
      </c>
      <c r="R90" s="67" t="str">
        <v/>
      </c>
      <c r="S90" s="67" t="str">
        <v/>
      </c>
      <c r="T90" s="49"/>
      <c r="U90" s="50"/>
      <c r="V90" s="50"/>
      <c r="W90" s="51"/>
      <c r="X90" s="50"/>
      <c r="Y90" s="50"/>
      <c r="Z90" s="50"/>
      <c r="AA90" s="50"/>
      <c r="AB90" s="51"/>
      <c r="AC90" s="68" t="str">
        <v/>
      </c>
      <c r="AD90" s="68" t="str">
        <v/>
      </c>
      <c r="AE90" s="68" t="str">
        <v/>
      </c>
      <c r="AF90" s="68" t="str">
        <v/>
      </c>
      <c r="AG90" s="69" t="str">
        <v/>
      </c>
      <c r="AH90" s="67" t="str">
        <v/>
      </c>
      <c r="AI90" s="67" t="str">
        <v/>
      </c>
      <c r="AJ90" s="70" t="str">
        <v/>
      </c>
      <c r="AK90" s="67" t="str">
        <v/>
      </c>
      <c r="AL90" s="67" t="str">
        <v/>
      </c>
      <c r="AM90" s="67" t="str">
        <v/>
      </c>
      <c r="AN90" s="67" t="str">
        <v/>
      </c>
      <c r="AO90" s="67" t="str">
        <v/>
      </c>
      <c r="AP90" s="46"/>
      <c r="AQ90" s="82"/>
      <c r="AR90" s="80"/>
      <c r="AS90" s="80" t="str">
        <v/>
      </c>
      <c r="AT90" s="78" t="str">
        <v/>
      </c>
      <c r="AU90" s="79"/>
      <c r="AV90" s="71" t="str">
        <v/>
      </c>
      <c r="AW90" s="68" t="str">
        <v/>
      </c>
      <c r="AX90" s="68" t="str">
        <v/>
      </c>
      <c r="AY90" s="72" t="str">
        <v/>
      </c>
      <c r="AZ90" s="67" t="str">
        <v/>
      </c>
      <c r="BA90" s="67" t="str">
        <v/>
      </c>
      <c r="BB90" s="67" t="str">
        <v/>
      </c>
      <c r="BC90" s="70" t="str">
        <v/>
      </c>
      <c r="BD90" s="67" t="str">
        <v/>
      </c>
      <c r="BE90" s="67" t="str">
        <v/>
      </c>
      <c r="BF90" s="67" t="str">
        <v/>
      </c>
      <c r="BG90" s="67" t="str">
        <v/>
      </c>
      <c r="BH90" s="67" t="str">
        <v/>
      </c>
      <c r="BI90" s="46"/>
      <c r="BJ90" s="73"/>
      <c r="BK90" s="64"/>
      <c r="BL90" s="64" t="str">
        <v/>
      </c>
      <c r="BM90" s="64" t="str">
        <v/>
      </c>
      <c r="BN90" s="64" t="str">
        <v/>
      </c>
      <c r="BO90" s="64" t="str">
        <v/>
      </c>
      <c r="BP90" s="64" t="str">
        <v/>
      </c>
      <c r="BQ90" s="64" t="str">
        <v/>
      </c>
      <c r="BR90" s="64" t="str">
        <v/>
      </c>
      <c r="BS90" s="64" t="str">
        <v/>
      </c>
      <c r="BT90" s="74" t="str">
        <v/>
      </c>
      <c r="BU90" s="46"/>
      <c r="BV90" s="65" t="str">
        <v/>
      </c>
      <c r="BW90" s="66" t="str">
        <v/>
      </c>
      <c r="BX90" s="46"/>
    </row>
    <row r="91" spans="1:76">
      <c r="A91" s="43"/>
      <c r="B91" s="81"/>
      <c r="C91" s="45"/>
      <c r="D91" s="45"/>
      <c r="E91" s="45"/>
      <c r="F91" s="46"/>
      <c r="G91" s="67" t="str">
        <v/>
      </c>
      <c r="H91" s="67" t="str">
        <v/>
      </c>
      <c r="I91" s="46"/>
      <c r="J91" s="67" t="str">
        <v/>
      </c>
      <c r="K91" s="67" t="str">
        <v/>
      </c>
      <c r="L91" s="67" t="str">
        <v/>
      </c>
      <c r="M91" s="67" t="str">
        <v/>
      </c>
      <c r="N91" s="68" t="str">
        <v/>
      </c>
      <c r="O91" s="67" t="str">
        <v/>
      </c>
      <c r="P91" s="67" t="str">
        <v/>
      </c>
      <c r="Q91" s="67" t="str">
        <v/>
      </c>
      <c r="R91" s="67" t="str">
        <v/>
      </c>
      <c r="S91" s="67" t="str">
        <v/>
      </c>
      <c r="T91" s="49"/>
      <c r="U91" s="50"/>
      <c r="V91" s="50"/>
      <c r="W91" s="51"/>
      <c r="X91" s="50"/>
      <c r="Y91" s="50"/>
      <c r="Z91" s="50"/>
      <c r="AA91" s="50"/>
      <c r="AB91" s="51"/>
      <c r="AC91" s="68" t="str">
        <v/>
      </c>
      <c r="AD91" s="68" t="str">
        <v/>
      </c>
      <c r="AE91" s="68" t="str">
        <v/>
      </c>
      <c r="AF91" s="68" t="str">
        <v/>
      </c>
      <c r="AG91" s="69" t="str">
        <v/>
      </c>
      <c r="AH91" s="67" t="str">
        <v/>
      </c>
      <c r="AI91" s="67" t="str">
        <v/>
      </c>
      <c r="AJ91" s="70" t="str">
        <v/>
      </c>
      <c r="AK91" s="67" t="str">
        <v/>
      </c>
      <c r="AL91" s="67" t="str">
        <v/>
      </c>
      <c r="AM91" s="67" t="str">
        <v/>
      </c>
      <c r="AN91" s="67" t="str">
        <v/>
      </c>
      <c r="AO91" s="67" t="str">
        <v/>
      </c>
      <c r="AP91" s="46"/>
      <c r="AQ91" s="82"/>
      <c r="AR91" s="80"/>
      <c r="AS91" s="80" t="str">
        <v/>
      </c>
      <c r="AT91" s="78" t="str">
        <v/>
      </c>
      <c r="AU91" s="79"/>
      <c r="AV91" s="71" t="str">
        <v/>
      </c>
      <c r="AW91" s="68" t="str">
        <v/>
      </c>
      <c r="AX91" s="68" t="str">
        <v/>
      </c>
      <c r="AY91" s="72" t="str">
        <v/>
      </c>
      <c r="AZ91" s="67" t="str">
        <v/>
      </c>
      <c r="BA91" s="67" t="str">
        <v/>
      </c>
      <c r="BB91" s="67" t="str">
        <v/>
      </c>
      <c r="BC91" s="70" t="str">
        <v/>
      </c>
      <c r="BD91" s="67" t="str">
        <v/>
      </c>
      <c r="BE91" s="67" t="str">
        <v/>
      </c>
      <c r="BF91" s="67" t="str">
        <v/>
      </c>
      <c r="BG91" s="67" t="str">
        <v/>
      </c>
      <c r="BH91" s="67" t="str">
        <v/>
      </c>
      <c r="BI91" s="46"/>
      <c r="BJ91" s="73"/>
      <c r="BK91" s="64"/>
      <c r="BL91" s="64" t="str">
        <v/>
      </c>
      <c r="BM91" s="64" t="str">
        <v/>
      </c>
      <c r="BN91" s="64" t="str">
        <v/>
      </c>
      <c r="BO91" s="64" t="str">
        <v/>
      </c>
      <c r="BP91" s="64" t="str">
        <v/>
      </c>
      <c r="BQ91" s="64" t="str">
        <v/>
      </c>
      <c r="BR91" s="64" t="str">
        <v/>
      </c>
      <c r="BS91" s="64" t="str">
        <v/>
      </c>
      <c r="BT91" s="74" t="str">
        <v/>
      </c>
      <c r="BU91" s="46"/>
      <c r="BV91" s="65" t="str">
        <v/>
      </c>
      <c r="BW91" s="66" t="str">
        <v/>
      </c>
      <c r="BX91" s="46"/>
    </row>
    <row r="92" spans="1:76">
      <c r="A92" s="43"/>
      <c r="B92" s="81"/>
      <c r="C92" s="45"/>
      <c r="D92" s="45"/>
      <c r="E92" s="45"/>
      <c r="F92" s="46"/>
      <c r="G92" s="67" t="str">
        <v/>
      </c>
      <c r="H92" s="67" t="str">
        <v/>
      </c>
      <c r="I92" s="46"/>
      <c r="J92" s="67" t="str">
        <v/>
      </c>
      <c r="K92" s="67" t="str">
        <v/>
      </c>
      <c r="L92" s="67" t="str">
        <v/>
      </c>
      <c r="M92" s="67" t="str">
        <v/>
      </c>
      <c r="N92" s="68" t="str">
        <v/>
      </c>
      <c r="O92" s="67" t="str">
        <v/>
      </c>
      <c r="P92" s="67" t="str">
        <v/>
      </c>
      <c r="Q92" s="67" t="str">
        <v/>
      </c>
      <c r="R92" s="67" t="str">
        <v/>
      </c>
      <c r="S92" s="67" t="str">
        <v/>
      </c>
      <c r="T92" s="49"/>
      <c r="U92" s="50"/>
      <c r="V92" s="50"/>
      <c r="W92" s="51"/>
      <c r="X92" s="50"/>
      <c r="Y92" s="50"/>
      <c r="Z92" s="50"/>
      <c r="AA92" s="50"/>
      <c r="AB92" s="51"/>
      <c r="AC92" s="68" t="str">
        <v/>
      </c>
      <c r="AD92" s="68" t="str">
        <v/>
      </c>
      <c r="AE92" s="68" t="str">
        <v/>
      </c>
      <c r="AF92" s="68" t="str">
        <v/>
      </c>
      <c r="AG92" s="69" t="str">
        <v/>
      </c>
      <c r="AH92" s="67" t="str">
        <v/>
      </c>
      <c r="AI92" s="67" t="str">
        <v/>
      </c>
      <c r="AJ92" s="70" t="str">
        <v/>
      </c>
      <c r="AK92" s="67" t="str">
        <v/>
      </c>
      <c r="AL92" s="67" t="str">
        <v/>
      </c>
      <c r="AM92" s="67" t="str">
        <v/>
      </c>
      <c r="AN92" s="67" t="str">
        <v/>
      </c>
      <c r="AO92" s="67" t="str">
        <v/>
      </c>
      <c r="AP92" s="46"/>
      <c r="AQ92" s="82"/>
      <c r="AR92" s="80"/>
      <c r="AS92" s="80" t="str">
        <v/>
      </c>
      <c r="AT92" s="78" t="str">
        <v/>
      </c>
      <c r="AU92" s="79"/>
      <c r="AV92" s="71" t="str">
        <v/>
      </c>
      <c r="AW92" s="68" t="str">
        <v/>
      </c>
      <c r="AX92" s="68" t="str">
        <v/>
      </c>
      <c r="AY92" s="72" t="str">
        <v/>
      </c>
      <c r="AZ92" s="67" t="str">
        <v/>
      </c>
      <c r="BA92" s="67" t="str">
        <v/>
      </c>
      <c r="BB92" s="67" t="str">
        <v/>
      </c>
      <c r="BC92" s="70" t="str">
        <v/>
      </c>
      <c r="BD92" s="67" t="str">
        <v/>
      </c>
      <c r="BE92" s="67" t="str">
        <v/>
      </c>
      <c r="BF92" s="67" t="str">
        <v/>
      </c>
      <c r="BG92" s="67" t="str">
        <v/>
      </c>
      <c r="BH92" s="67" t="str">
        <v/>
      </c>
      <c r="BI92" s="46"/>
      <c r="BJ92" s="73"/>
      <c r="BK92" s="64"/>
      <c r="BL92" s="64" t="str">
        <v/>
      </c>
      <c r="BM92" s="64" t="str">
        <v/>
      </c>
      <c r="BN92" s="64" t="str">
        <v/>
      </c>
      <c r="BO92" s="64" t="str">
        <v/>
      </c>
      <c r="BP92" s="64" t="str">
        <v/>
      </c>
      <c r="BQ92" s="64" t="str">
        <v/>
      </c>
      <c r="BR92" s="64" t="str">
        <v/>
      </c>
      <c r="BS92" s="64" t="str">
        <v/>
      </c>
      <c r="BT92" s="74" t="str">
        <v/>
      </c>
      <c r="BU92" s="46"/>
      <c r="BV92" s="65" t="str">
        <v/>
      </c>
      <c r="BW92" s="66" t="str">
        <v/>
      </c>
      <c r="BX92" s="46"/>
    </row>
    <row r="93" spans="1:76">
      <c r="A93" s="43"/>
      <c r="B93" s="81"/>
      <c r="C93" s="45"/>
      <c r="D93" s="45"/>
      <c r="E93" s="45"/>
      <c r="F93" s="46"/>
      <c r="G93" s="67" t="str">
        <v/>
      </c>
      <c r="H93" s="67" t="str">
        <v/>
      </c>
      <c r="I93" s="46"/>
      <c r="J93" s="67" t="str">
        <v/>
      </c>
      <c r="K93" s="67" t="str">
        <v/>
      </c>
      <c r="L93" s="67" t="str">
        <v/>
      </c>
      <c r="M93" s="67" t="str">
        <v/>
      </c>
      <c r="N93" s="68" t="str">
        <v/>
      </c>
      <c r="O93" s="67" t="str">
        <v/>
      </c>
      <c r="P93" s="67" t="str">
        <v/>
      </c>
      <c r="Q93" s="67" t="str">
        <v/>
      </c>
      <c r="R93" s="67" t="str">
        <v/>
      </c>
      <c r="S93" s="67" t="str">
        <v/>
      </c>
      <c r="T93" s="49"/>
      <c r="U93" s="50"/>
      <c r="V93" s="50"/>
      <c r="W93" s="51"/>
      <c r="X93" s="50"/>
      <c r="Y93" s="50"/>
      <c r="Z93" s="50"/>
      <c r="AA93" s="50"/>
      <c r="AB93" s="51"/>
      <c r="AC93" s="68" t="str">
        <v/>
      </c>
      <c r="AD93" s="68" t="str">
        <v/>
      </c>
      <c r="AE93" s="68" t="str">
        <v/>
      </c>
      <c r="AF93" s="68" t="str">
        <v/>
      </c>
      <c r="AG93" s="69" t="str">
        <v/>
      </c>
      <c r="AH93" s="67" t="str">
        <v/>
      </c>
      <c r="AI93" s="67" t="str">
        <v/>
      </c>
      <c r="AJ93" s="70" t="str">
        <v/>
      </c>
      <c r="AK93" s="67" t="str">
        <v/>
      </c>
      <c r="AL93" s="67" t="str">
        <v/>
      </c>
      <c r="AM93" s="67" t="str">
        <v/>
      </c>
      <c r="AN93" s="67" t="str">
        <v/>
      </c>
      <c r="AO93" s="67" t="str">
        <v/>
      </c>
      <c r="AP93" s="46"/>
      <c r="AQ93" s="82"/>
      <c r="AR93" s="80"/>
      <c r="AS93" s="80" t="str">
        <v/>
      </c>
      <c r="AT93" s="78" t="str">
        <v/>
      </c>
      <c r="AU93" s="79"/>
      <c r="AV93" s="71" t="str">
        <v/>
      </c>
      <c r="AW93" s="68" t="str">
        <v/>
      </c>
      <c r="AX93" s="68" t="str">
        <v/>
      </c>
      <c r="AY93" s="72" t="str">
        <v/>
      </c>
      <c r="AZ93" s="67" t="str">
        <v/>
      </c>
      <c r="BA93" s="67" t="str">
        <v/>
      </c>
      <c r="BB93" s="67" t="str">
        <v/>
      </c>
      <c r="BC93" s="70" t="str">
        <v/>
      </c>
      <c r="BD93" s="67" t="str">
        <v/>
      </c>
      <c r="BE93" s="67" t="str">
        <v/>
      </c>
      <c r="BF93" s="67" t="str">
        <v/>
      </c>
      <c r="BG93" s="67" t="str">
        <v/>
      </c>
      <c r="BH93" s="67" t="str">
        <v/>
      </c>
      <c r="BI93" s="46"/>
      <c r="BJ93" s="73"/>
      <c r="BK93" s="64"/>
      <c r="BL93" s="64" t="str">
        <v/>
      </c>
      <c r="BM93" s="64" t="str">
        <v/>
      </c>
      <c r="BN93" s="64" t="str">
        <v/>
      </c>
      <c r="BO93" s="64" t="str">
        <v/>
      </c>
      <c r="BP93" s="64" t="str">
        <v/>
      </c>
      <c r="BQ93" s="64" t="str">
        <v/>
      </c>
      <c r="BR93" s="64" t="str">
        <v/>
      </c>
      <c r="BS93" s="64" t="str">
        <v/>
      </c>
      <c r="BT93" s="74" t="str">
        <v/>
      </c>
      <c r="BU93" s="46"/>
      <c r="BV93" s="65" t="str">
        <v/>
      </c>
      <c r="BW93" s="66" t="str">
        <v/>
      </c>
      <c r="BX93" s="46"/>
    </row>
    <row r="94" spans="1:76">
      <c r="A94" s="43"/>
      <c r="B94" s="81"/>
      <c r="C94" s="45"/>
      <c r="D94" s="45"/>
      <c r="E94" s="45"/>
      <c r="F94" s="46"/>
      <c r="G94" s="67" t="str">
        <v/>
      </c>
      <c r="H94" s="67" t="str">
        <v/>
      </c>
      <c r="I94" s="46"/>
      <c r="J94" s="67" t="str">
        <v/>
      </c>
      <c r="K94" s="67" t="str">
        <v/>
      </c>
      <c r="L94" s="67" t="str">
        <v/>
      </c>
      <c r="M94" s="67" t="str">
        <v/>
      </c>
      <c r="N94" s="68" t="str">
        <v/>
      </c>
      <c r="O94" s="67" t="str">
        <v/>
      </c>
      <c r="P94" s="67" t="str">
        <v/>
      </c>
      <c r="Q94" s="67" t="str">
        <v/>
      </c>
      <c r="R94" s="67" t="str">
        <v/>
      </c>
      <c r="S94" s="67" t="str">
        <v/>
      </c>
      <c r="T94" s="49"/>
      <c r="U94" s="50"/>
      <c r="V94" s="50"/>
      <c r="W94" s="51"/>
      <c r="X94" s="50"/>
      <c r="Y94" s="50"/>
      <c r="Z94" s="50"/>
      <c r="AA94" s="50"/>
      <c r="AB94" s="51"/>
      <c r="AC94" s="68" t="str">
        <v/>
      </c>
      <c r="AD94" s="68" t="str">
        <v/>
      </c>
      <c r="AE94" s="68" t="str">
        <v/>
      </c>
      <c r="AF94" s="68" t="str">
        <v/>
      </c>
      <c r="AG94" s="69" t="str">
        <v/>
      </c>
      <c r="AH94" s="67" t="str">
        <v/>
      </c>
      <c r="AI94" s="67" t="str">
        <v/>
      </c>
      <c r="AJ94" s="70" t="str">
        <v/>
      </c>
      <c r="AK94" s="67" t="str">
        <v/>
      </c>
      <c r="AL94" s="67" t="str">
        <v/>
      </c>
      <c r="AM94" s="67" t="str">
        <v/>
      </c>
      <c r="AN94" s="67" t="str">
        <v/>
      </c>
      <c r="AO94" s="67" t="str">
        <v/>
      </c>
      <c r="AP94" s="46"/>
      <c r="AQ94" s="82"/>
      <c r="AR94" s="80"/>
      <c r="AS94" s="80" t="str">
        <v/>
      </c>
      <c r="AT94" s="78" t="str">
        <v/>
      </c>
      <c r="AU94" s="79"/>
      <c r="AV94" s="71" t="str">
        <v/>
      </c>
      <c r="AW94" s="68" t="str">
        <v/>
      </c>
      <c r="AX94" s="68" t="str">
        <v/>
      </c>
      <c r="AY94" s="72" t="str">
        <v/>
      </c>
      <c r="AZ94" s="67" t="str">
        <v/>
      </c>
      <c r="BA94" s="67" t="str">
        <v/>
      </c>
      <c r="BB94" s="67" t="str">
        <v/>
      </c>
      <c r="BC94" s="70" t="str">
        <v/>
      </c>
      <c r="BD94" s="67" t="str">
        <v/>
      </c>
      <c r="BE94" s="67" t="str">
        <v/>
      </c>
      <c r="BF94" s="67" t="str">
        <v/>
      </c>
      <c r="BG94" s="67" t="str">
        <v/>
      </c>
      <c r="BH94" s="67" t="str">
        <v/>
      </c>
      <c r="BI94" s="46"/>
      <c r="BJ94" s="73"/>
      <c r="BK94" s="64"/>
      <c r="BL94" s="64" t="str">
        <v/>
      </c>
      <c r="BM94" s="64" t="str">
        <v/>
      </c>
      <c r="BN94" s="64" t="str">
        <v/>
      </c>
      <c r="BO94" s="64" t="str">
        <v/>
      </c>
      <c r="BP94" s="64" t="str">
        <v/>
      </c>
      <c r="BQ94" s="64" t="str">
        <v/>
      </c>
      <c r="BR94" s="64" t="str">
        <v/>
      </c>
      <c r="BS94" s="64" t="str">
        <v/>
      </c>
      <c r="BT94" s="74" t="str">
        <v/>
      </c>
      <c r="BU94" s="46"/>
      <c r="BV94" s="65" t="str">
        <v/>
      </c>
      <c r="BW94" s="66" t="str">
        <v/>
      </c>
      <c r="BX94" s="46"/>
    </row>
    <row r="95" spans="1:76">
      <c r="A95" s="43"/>
      <c r="B95" s="81"/>
      <c r="C95" s="45"/>
      <c r="D95" s="45"/>
      <c r="E95" s="45"/>
      <c r="F95" s="46"/>
      <c r="G95" s="67" t="str">
        <v/>
      </c>
      <c r="H95" s="67" t="str">
        <v/>
      </c>
      <c r="I95" s="46"/>
      <c r="J95" s="67" t="str">
        <v/>
      </c>
      <c r="K95" s="67" t="str">
        <v/>
      </c>
      <c r="L95" s="67" t="str">
        <v/>
      </c>
      <c r="M95" s="67" t="str">
        <v/>
      </c>
      <c r="N95" s="68" t="str">
        <v/>
      </c>
      <c r="O95" s="67" t="str">
        <v/>
      </c>
      <c r="P95" s="67" t="str">
        <v/>
      </c>
      <c r="Q95" s="67" t="str">
        <v/>
      </c>
      <c r="R95" s="67" t="str">
        <v/>
      </c>
      <c r="S95" s="67" t="str">
        <v/>
      </c>
      <c r="T95" s="49"/>
      <c r="U95" s="50"/>
      <c r="V95" s="50"/>
      <c r="W95" s="51"/>
      <c r="X95" s="50"/>
      <c r="Y95" s="50"/>
      <c r="Z95" s="50"/>
      <c r="AA95" s="50"/>
      <c r="AB95" s="51"/>
      <c r="AC95" s="68" t="str">
        <v/>
      </c>
      <c r="AD95" s="68" t="str">
        <v/>
      </c>
      <c r="AE95" s="68" t="str">
        <v/>
      </c>
      <c r="AF95" s="68" t="str">
        <v/>
      </c>
      <c r="AG95" s="69" t="str">
        <v/>
      </c>
      <c r="AH95" s="67" t="str">
        <v/>
      </c>
      <c r="AI95" s="67" t="str">
        <v/>
      </c>
      <c r="AJ95" s="70" t="str">
        <v/>
      </c>
      <c r="AK95" s="67" t="str">
        <v/>
      </c>
      <c r="AL95" s="67" t="str">
        <v/>
      </c>
      <c r="AM95" s="67" t="str">
        <v/>
      </c>
      <c r="AN95" s="67" t="str">
        <v/>
      </c>
      <c r="AO95" s="67" t="str">
        <v/>
      </c>
      <c r="AP95" s="46"/>
      <c r="AQ95" s="82"/>
      <c r="AR95" s="80"/>
      <c r="AS95" s="80" t="str">
        <v/>
      </c>
      <c r="AT95" s="78" t="str">
        <v/>
      </c>
      <c r="AU95" s="79"/>
      <c r="AV95" s="71" t="str">
        <v/>
      </c>
      <c r="AW95" s="68" t="str">
        <v/>
      </c>
      <c r="AX95" s="68" t="str">
        <v/>
      </c>
      <c r="AY95" s="72" t="str">
        <v/>
      </c>
      <c r="AZ95" s="67" t="str">
        <v/>
      </c>
      <c r="BA95" s="67" t="str">
        <v/>
      </c>
      <c r="BB95" s="67" t="str">
        <v/>
      </c>
      <c r="BC95" s="70" t="str">
        <v/>
      </c>
      <c r="BD95" s="67" t="str">
        <v/>
      </c>
      <c r="BE95" s="67" t="str">
        <v/>
      </c>
      <c r="BF95" s="67" t="str">
        <v/>
      </c>
      <c r="BG95" s="67" t="str">
        <v/>
      </c>
      <c r="BH95" s="67" t="str">
        <v/>
      </c>
      <c r="BI95" s="46"/>
      <c r="BJ95" s="73"/>
      <c r="BK95" s="64"/>
      <c r="BL95" s="64" t="str">
        <v/>
      </c>
      <c r="BM95" s="64" t="str">
        <v/>
      </c>
      <c r="BN95" s="64" t="str">
        <v/>
      </c>
      <c r="BO95" s="64" t="str">
        <v/>
      </c>
      <c r="BP95" s="64" t="str">
        <v/>
      </c>
      <c r="BQ95" s="64" t="str">
        <v/>
      </c>
      <c r="BR95" s="64" t="str">
        <v/>
      </c>
      <c r="BS95" s="64" t="str">
        <v/>
      </c>
      <c r="BT95" s="74" t="str">
        <v/>
      </c>
      <c r="BU95" s="46"/>
      <c r="BV95" s="65" t="str">
        <v/>
      </c>
      <c r="BW95" s="66" t="str">
        <v/>
      </c>
      <c r="BX95" s="46"/>
    </row>
    <row r="96" spans="1:76">
      <c r="A96" s="43"/>
      <c r="B96" s="81"/>
      <c r="C96" s="45"/>
      <c r="D96" s="45"/>
      <c r="E96" s="45"/>
      <c r="F96" s="46"/>
      <c r="G96" s="67" t="str">
        <v/>
      </c>
      <c r="H96" s="67" t="str">
        <v/>
      </c>
      <c r="I96" s="46"/>
      <c r="J96" s="67" t="str">
        <v/>
      </c>
      <c r="K96" s="67" t="str">
        <v/>
      </c>
      <c r="L96" s="67" t="str">
        <v/>
      </c>
      <c r="M96" s="67" t="str">
        <v/>
      </c>
      <c r="N96" s="68" t="str">
        <v/>
      </c>
      <c r="O96" s="67" t="str">
        <v/>
      </c>
      <c r="P96" s="67" t="str">
        <v/>
      </c>
      <c r="Q96" s="67" t="str">
        <v/>
      </c>
      <c r="R96" s="67" t="str">
        <v/>
      </c>
      <c r="S96" s="67" t="str">
        <v/>
      </c>
      <c r="T96" s="49"/>
      <c r="U96" s="50"/>
      <c r="V96" s="50"/>
      <c r="W96" s="51"/>
      <c r="X96" s="50"/>
      <c r="Y96" s="50"/>
      <c r="Z96" s="50"/>
      <c r="AA96" s="50"/>
      <c r="AB96" s="51"/>
      <c r="AC96" s="68" t="str">
        <v/>
      </c>
      <c r="AD96" s="68" t="str">
        <v/>
      </c>
      <c r="AE96" s="68" t="str">
        <v/>
      </c>
      <c r="AF96" s="68" t="str">
        <v/>
      </c>
      <c r="AG96" s="69" t="str">
        <v/>
      </c>
      <c r="AH96" s="67" t="str">
        <v/>
      </c>
      <c r="AI96" s="67" t="str">
        <v/>
      </c>
      <c r="AJ96" s="70" t="str">
        <v/>
      </c>
      <c r="AK96" s="67" t="str">
        <v/>
      </c>
      <c r="AL96" s="67" t="str">
        <v/>
      </c>
      <c r="AM96" s="67" t="str">
        <v/>
      </c>
      <c r="AN96" s="67" t="str">
        <v/>
      </c>
      <c r="AO96" s="67" t="str">
        <v/>
      </c>
      <c r="AP96" s="46"/>
      <c r="AQ96" s="82"/>
      <c r="AR96" s="80"/>
      <c r="AS96" s="80" t="str">
        <v/>
      </c>
      <c r="AT96" s="78" t="str">
        <v/>
      </c>
      <c r="AU96" s="79"/>
      <c r="AV96" s="71" t="str">
        <v/>
      </c>
      <c r="AW96" s="68" t="str">
        <v/>
      </c>
      <c r="AX96" s="68" t="str">
        <v/>
      </c>
      <c r="AY96" s="72" t="str">
        <v/>
      </c>
      <c r="AZ96" s="67" t="str">
        <v/>
      </c>
      <c r="BA96" s="67" t="str">
        <v/>
      </c>
      <c r="BB96" s="67" t="str">
        <v/>
      </c>
      <c r="BC96" s="70" t="str">
        <v/>
      </c>
      <c r="BD96" s="67" t="str">
        <v/>
      </c>
      <c r="BE96" s="67" t="str">
        <v/>
      </c>
      <c r="BF96" s="67" t="str">
        <v/>
      </c>
      <c r="BG96" s="67" t="str">
        <v/>
      </c>
      <c r="BH96" s="67" t="str">
        <v/>
      </c>
      <c r="BI96" s="46"/>
      <c r="BJ96" s="73"/>
      <c r="BK96" s="64"/>
      <c r="BL96" s="64" t="str">
        <v/>
      </c>
      <c r="BM96" s="64" t="str">
        <v/>
      </c>
      <c r="BN96" s="64" t="str">
        <v/>
      </c>
      <c r="BO96" s="64" t="str">
        <v/>
      </c>
      <c r="BP96" s="64" t="str">
        <v/>
      </c>
      <c r="BQ96" s="64" t="str">
        <v/>
      </c>
      <c r="BR96" s="64" t="str">
        <v/>
      </c>
      <c r="BS96" s="64" t="str">
        <v/>
      </c>
      <c r="BT96" s="74" t="str">
        <v/>
      </c>
      <c r="BU96" s="46"/>
      <c r="BV96" s="65" t="str">
        <v/>
      </c>
      <c r="BW96" s="66" t="str">
        <v/>
      </c>
      <c r="BX96" s="46"/>
    </row>
    <row r="97" spans="1:76">
      <c r="A97" s="43"/>
      <c r="B97" s="81"/>
      <c r="C97" s="45"/>
      <c r="D97" s="45"/>
      <c r="E97" s="45"/>
      <c r="F97" s="46"/>
      <c r="G97" s="67" t="str">
        <v/>
      </c>
      <c r="H97" s="67" t="str">
        <v/>
      </c>
      <c r="I97" s="46"/>
      <c r="J97" s="67" t="str">
        <v/>
      </c>
      <c r="K97" s="67" t="str">
        <v/>
      </c>
      <c r="L97" s="67" t="str">
        <v/>
      </c>
      <c r="M97" s="67" t="str">
        <v/>
      </c>
      <c r="N97" s="68" t="str">
        <v/>
      </c>
      <c r="O97" s="67" t="str">
        <v/>
      </c>
      <c r="P97" s="67" t="str">
        <v/>
      </c>
      <c r="Q97" s="67" t="str">
        <v/>
      </c>
      <c r="R97" s="67" t="str">
        <v/>
      </c>
      <c r="S97" s="67" t="str">
        <v/>
      </c>
      <c r="T97" s="49"/>
      <c r="U97" s="50"/>
      <c r="V97" s="50"/>
      <c r="W97" s="51"/>
      <c r="X97" s="50"/>
      <c r="Y97" s="50"/>
      <c r="Z97" s="50"/>
      <c r="AA97" s="50"/>
      <c r="AB97" s="51"/>
      <c r="AC97" s="68" t="str">
        <v/>
      </c>
      <c r="AD97" s="68" t="str">
        <v/>
      </c>
      <c r="AE97" s="68" t="str">
        <v/>
      </c>
      <c r="AF97" s="68" t="str">
        <v/>
      </c>
      <c r="AG97" s="69" t="str">
        <v/>
      </c>
      <c r="AH97" s="67" t="str">
        <v/>
      </c>
      <c r="AI97" s="67" t="str">
        <v/>
      </c>
      <c r="AJ97" s="70" t="str">
        <v/>
      </c>
      <c r="AK97" s="67" t="str">
        <v/>
      </c>
      <c r="AL97" s="67" t="str">
        <v/>
      </c>
      <c r="AM97" s="67" t="str">
        <v/>
      </c>
      <c r="AN97" s="67" t="str">
        <v/>
      </c>
      <c r="AO97" s="67" t="str">
        <v/>
      </c>
      <c r="AP97" s="46"/>
      <c r="AQ97" s="82"/>
      <c r="AR97" s="80"/>
      <c r="AS97" s="80" t="str">
        <v/>
      </c>
      <c r="AT97" s="78" t="str">
        <v/>
      </c>
      <c r="AU97" s="79"/>
      <c r="AV97" s="71" t="str">
        <v/>
      </c>
      <c r="AW97" s="68" t="str">
        <v/>
      </c>
      <c r="AX97" s="68" t="str">
        <v/>
      </c>
      <c r="AY97" s="72" t="str">
        <v/>
      </c>
      <c r="AZ97" s="67" t="str">
        <v/>
      </c>
      <c r="BA97" s="67" t="str">
        <v/>
      </c>
      <c r="BB97" s="67" t="str">
        <v/>
      </c>
      <c r="BC97" s="70" t="str">
        <v/>
      </c>
      <c r="BD97" s="67" t="str">
        <v/>
      </c>
      <c r="BE97" s="67" t="str">
        <v/>
      </c>
      <c r="BF97" s="67" t="str">
        <v/>
      </c>
      <c r="BG97" s="67" t="str">
        <v/>
      </c>
      <c r="BH97" s="67" t="str">
        <v/>
      </c>
      <c r="BI97" s="46"/>
      <c r="BJ97" s="73"/>
      <c r="BK97" s="64"/>
      <c r="BL97" s="64" t="str">
        <v/>
      </c>
      <c r="BM97" s="64" t="str">
        <v/>
      </c>
      <c r="BN97" s="64" t="str">
        <v/>
      </c>
      <c r="BO97" s="64" t="str">
        <v/>
      </c>
      <c r="BP97" s="64" t="str">
        <v/>
      </c>
      <c r="BQ97" s="64" t="str">
        <v/>
      </c>
      <c r="BR97" s="64" t="str">
        <v/>
      </c>
      <c r="BS97" s="64" t="str">
        <v/>
      </c>
      <c r="BT97" s="74" t="str">
        <v/>
      </c>
      <c r="BU97" s="46"/>
      <c r="BV97" s="65" t="str">
        <v/>
      </c>
      <c r="BW97" s="66" t="str">
        <v/>
      </c>
      <c r="BX97" s="46"/>
    </row>
    <row r="98" spans="1:76">
      <c r="A98" s="43"/>
      <c r="B98" s="81"/>
      <c r="C98" s="45"/>
      <c r="D98" s="45"/>
      <c r="E98" s="45"/>
      <c r="F98" s="46"/>
      <c r="G98" s="67" t="str">
        <v/>
      </c>
      <c r="H98" s="67" t="str">
        <v/>
      </c>
      <c r="I98" s="46"/>
      <c r="J98" s="67" t="str">
        <v/>
      </c>
      <c r="K98" s="67" t="str">
        <v/>
      </c>
      <c r="L98" s="67" t="str">
        <v/>
      </c>
      <c r="M98" s="67" t="str">
        <v/>
      </c>
      <c r="N98" s="68" t="str">
        <v/>
      </c>
      <c r="O98" s="67" t="str">
        <v/>
      </c>
      <c r="P98" s="67" t="str">
        <v/>
      </c>
      <c r="Q98" s="67" t="str">
        <v/>
      </c>
      <c r="R98" s="67" t="str">
        <v/>
      </c>
      <c r="S98" s="67" t="str">
        <v/>
      </c>
      <c r="T98" s="49"/>
      <c r="U98" s="50"/>
      <c r="V98" s="50"/>
      <c r="W98" s="51"/>
      <c r="X98" s="50"/>
      <c r="Y98" s="50"/>
      <c r="Z98" s="50"/>
      <c r="AA98" s="50"/>
      <c r="AB98" s="51"/>
      <c r="AC98" s="68" t="str">
        <v/>
      </c>
      <c r="AD98" s="68" t="str">
        <v/>
      </c>
      <c r="AE98" s="68" t="str">
        <v/>
      </c>
      <c r="AF98" s="68" t="str">
        <v/>
      </c>
      <c r="AG98" s="69" t="str">
        <v/>
      </c>
      <c r="AH98" s="67" t="str">
        <v/>
      </c>
      <c r="AI98" s="67" t="str">
        <v/>
      </c>
      <c r="AJ98" s="70" t="str">
        <v/>
      </c>
      <c r="AK98" s="67" t="str">
        <v/>
      </c>
      <c r="AL98" s="67" t="str">
        <v/>
      </c>
      <c r="AM98" s="67" t="str">
        <v/>
      </c>
      <c r="AN98" s="67" t="str">
        <v/>
      </c>
      <c r="AO98" s="67" t="str">
        <v/>
      </c>
      <c r="AP98" s="46"/>
      <c r="AQ98" s="82"/>
      <c r="AR98" s="80"/>
      <c r="AS98" s="80" t="str">
        <v/>
      </c>
      <c r="AT98" s="78" t="str">
        <v/>
      </c>
      <c r="AU98" s="79"/>
      <c r="AV98" s="71" t="str">
        <v/>
      </c>
      <c r="AW98" s="68" t="str">
        <v/>
      </c>
      <c r="AX98" s="68" t="str">
        <v/>
      </c>
      <c r="AY98" s="72" t="str">
        <v/>
      </c>
      <c r="AZ98" s="67" t="str">
        <v/>
      </c>
      <c r="BA98" s="67" t="str">
        <v/>
      </c>
      <c r="BB98" s="67" t="str">
        <v/>
      </c>
      <c r="BC98" s="70" t="str">
        <v/>
      </c>
      <c r="BD98" s="67" t="str">
        <v/>
      </c>
      <c r="BE98" s="67" t="str">
        <v/>
      </c>
      <c r="BF98" s="67" t="str">
        <v/>
      </c>
      <c r="BG98" s="67" t="str">
        <v/>
      </c>
      <c r="BH98" s="67" t="str">
        <v/>
      </c>
      <c r="BI98" s="46"/>
      <c r="BJ98" s="73"/>
      <c r="BK98" s="64"/>
      <c r="BL98" s="64" t="str">
        <v/>
      </c>
      <c r="BM98" s="64" t="str">
        <v/>
      </c>
      <c r="BN98" s="64" t="str">
        <v/>
      </c>
      <c r="BO98" s="64" t="str">
        <v/>
      </c>
      <c r="BP98" s="64" t="str">
        <v/>
      </c>
      <c r="BQ98" s="64" t="str">
        <v/>
      </c>
      <c r="BR98" s="64" t="str">
        <v/>
      </c>
      <c r="BS98" s="64" t="str">
        <v/>
      </c>
      <c r="BT98" s="74" t="str">
        <v/>
      </c>
      <c r="BU98" s="46"/>
      <c r="BV98" s="65" t="str">
        <v/>
      </c>
      <c r="BW98" s="66" t="str">
        <v/>
      </c>
      <c r="BX98" s="46"/>
    </row>
    <row r="99" spans="1:76">
      <c r="A99" s="43"/>
      <c r="B99" s="81"/>
      <c r="C99" s="45"/>
      <c r="D99" s="45"/>
      <c r="E99" s="45"/>
      <c r="F99" s="46"/>
      <c r="G99" s="67" t="str">
        <v/>
      </c>
      <c r="H99" s="67" t="str">
        <v/>
      </c>
      <c r="I99" s="46"/>
      <c r="J99" s="67" t="str">
        <v/>
      </c>
      <c r="K99" s="67" t="str">
        <v/>
      </c>
      <c r="L99" s="67" t="str">
        <v/>
      </c>
      <c r="M99" s="67" t="str">
        <v/>
      </c>
      <c r="N99" s="68" t="str">
        <v/>
      </c>
      <c r="O99" s="67" t="str">
        <v/>
      </c>
      <c r="P99" s="67" t="str">
        <v/>
      </c>
      <c r="Q99" s="67" t="str">
        <v/>
      </c>
      <c r="R99" s="67" t="str">
        <v/>
      </c>
      <c r="S99" s="67" t="str">
        <v/>
      </c>
      <c r="T99" s="49"/>
      <c r="U99" s="50"/>
      <c r="V99" s="50"/>
      <c r="W99" s="51"/>
      <c r="X99" s="50"/>
      <c r="Y99" s="50"/>
      <c r="Z99" s="50"/>
      <c r="AA99" s="50"/>
      <c r="AB99" s="51"/>
      <c r="AC99" s="68" t="str">
        <v/>
      </c>
      <c r="AD99" s="68" t="str">
        <v/>
      </c>
      <c r="AE99" s="68" t="str">
        <v/>
      </c>
      <c r="AF99" s="68" t="str">
        <v/>
      </c>
      <c r="AG99" s="69" t="str">
        <v/>
      </c>
      <c r="AH99" s="67" t="str">
        <v/>
      </c>
      <c r="AI99" s="67" t="str">
        <v/>
      </c>
      <c r="AJ99" s="70" t="str">
        <v/>
      </c>
      <c r="AK99" s="67" t="str">
        <v/>
      </c>
      <c r="AL99" s="67" t="str">
        <v/>
      </c>
      <c r="AM99" s="67" t="str">
        <v/>
      </c>
      <c r="AN99" s="67" t="str">
        <v/>
      </c>
      <c r="AO99" s="67" t="str">
        <v/>
      </c>
      <c r="AP99" s="46"/>
      <c r="AQ99" s="82"/>
      <c r="AR99" s="80"/>
      <c r="AS99" s="80" t="str">
        <v/>
      </c>
      <c r="AT99" s="78" t="str">
        <v/>
      </c>
      <c r="AU99" s="79"/>
      <c r="AV99" s="71" t="str">
        <v/>
      </c>
      <c r="AW99" s="68" t="str">
        <v/>
      </c>
      <c r="AX99" s="68" t="str">
        <v/>
      </c>
      <c r="AY99" s="72" t="str">
        <v/>
      </c>
      <c r="AZ99" s="67" t="str">
        <v/>
      </c>
      <c r="BA99" s="67" t="str">
        <v/>
      </c>
      <c r="BB99" s="67" t="str">
        <v/>
      </c>
      <c r="BC99" s="70" t="str">
        <v/>
      </c>
      <c r="BD99" s="67" t="str">
        <v/>
      </c>
      <c r="BE99" s="67" t="str">
        <v/>
      </c>
      <c r="BF99" s="67" t="str">
        <v/>
      </c>
      <c r="BG99" s="67" t="str">
        <v/>
      </c>
      <c r="BH99" s="67" t="str">
        <v/>
      </c>
      <c r="BI99" s="46"/>
      <c r="BJ99" s="73"/>
      <c r="BK99" s="64"/>
      <c r="BL99" s="64" t="str">
        <v/>
      </c>
      <c r="BM99" s="64" t="str">
        <v/>
      </c>
      <c r="BN99" s="64" t="str">
        <v/>
      </c>
      <c r="BO99" s="64" t="str">
        <v/>
      </c>
      <c r="BP99" s="64" t="str">
        <v/>
      </c>
      <c r="BQ99" s="64" t="str">
        <v/>
      </c>
      <c r="BR99" s="64" t="str">
        <v/>
      </c>
      <c r="BS99" s="64" t="str">
        <v/>
      </c>
      <c r="BT99" s="74" t="str">
        <v/>
      </c>
      <c r="BU99" s="46"/>
      <c r="BV99" s="65" t="str">
        <v/>
      </c>
      <c r="BW99" s="66" t="str">
        <v/>
      </c>
      <c r="BX99" s="46"/>
    </row>
    <row r="100" spans="1:76">
      <c r="A100" s="43"/>
      <c r="B100" s="81"/>
      <c r="C100" s="45"/>
      <c r="D100" s="45"/>
      <c r="E100" s="45"/>
      <c r="F100" s="46"/>
      <c r="G100" s="67" t="str">
        <v/>
      </c>
      <c r="H100" s="67" t="str">
        <v/>
      </c>
      <c r="I100" s="46"/>
      <c r="J100" s="67" t="str">
        <v/>
      </c>
      <c r="K100" s="67" t="str">
        <v/>
      </c>
      <c r="L100" s="67" t="str">
        <v/>
      </c>
      <c r="M100" s="67" t="str">
        <v/>
      </c>
      <c r="N100" s="68" t="str">
        <v/>
      </c>
      <c r="O100" s="67" t="str">
        <v/>
      </c>
      <c r="P100" s="67" t="str">
        <v/>
      </c>
      <c r="Q100" s="67" t="str">
        <v/>
      </c>
      <c r="R100" s="67" t="str">
        <v/>
      </c>
      <c r="S100" s="67" t="str">
        <v/>
      </c>
      <c r="T100" s="49"/>
      <c r="U100" s="50"/>
      <c r="V100" s="50"/>
      <c r="W100" s="51"/>
      <c r="X100" s="50"/>
      <c r="Y100" s="50"/>
      <c r="Z100" s="50"/>
      <c r="AA100" s="50"/>
      <c r="AB100" s="51"/>
      <c r="AC100" s="68" t="str">
        <v/>
      </c>
      <c r="AD100" s="68" t="str">
        <v/>
      </c>
      <c r="AE100" s="68" t="str">
        <v/>
      </c>
      <c r="AF100" s="68" t="str">
        <v/>
      </c>
      <c r="AG100" s="69" t="str">
        <v/>
      </c>
      <c r="AH100" s="67" t="str">
        <v/>
      </c>
      <c r="AI100" s="67" t="str">
        <v/>
      </c>
      <c r="AJ100" s="70" t="str">
        <v/>
      </c>
      <c r="AK100" s="67" t="str">
        <v/>
      </c>
      <c r="AL100" s="67" t="str">
        <v/>
      </c>
      <c r="AM100" s="67" t="str">
        <v/>
      </c>
      <c r="AN100" s="67" t="str">
        <v/>
      </c>
      <c r="AO100" s="67" t="str">
        <v/>
      </c>
      <c r="AP100" s="46"/>
      <c r="AQ100" s="82"/>
      <c r="AR100" s="80"/>
      <c r="AS100" s="80" t="str">
        <v/>
      </c>
      <c r="AT100" s="78" t="str">
        <v/>
      </c>
      <c r="AU100" s="79"/>
      <c r="AV100" s="71" t="str">
        <v/>
      </c>
      <c r="AW100" s="68" t="str">
        <v/>
      </c>
      <c r="AX100" s="68" t="str">
        <v/>
      </c>
      <c r="AY100" s="72" t="str">
        <v/>
      </c>
      <c r="AZ100" s="67" t="str">
        <v/>
      </c>
      <c r="BA100" s="67" t="str">
        <v/>
      </c>
      <c r="BB100" s="67" t="str">
        <v/>
      </c>
      <c r="BC100" s="70" t="str">
        <v/>
      </c>
      <c r="BD100" s="67" t="str">
        <v/>
      </c>
      <c r="BE100" s="67" t="str">
        <v/>
      </c>
      <c r="BF100" s="67" t="str">
        <v/>
      </c>
      <c r="BG100" s="67" t="str">
        <v/>
      </c>
      <c r="BH100" s="67" t="str">
        <v/>
      </c>
      <c r="BI100" s="46"/>
      <c r="BJ100" s="73"/>
      <c r="BK100" s="64"/>
      <c r="BL100" s="64" t="str">
        <v/>
      </c>
      <c r="BM100" s="64" t="str">
        <v/>
      </c>
      <c r="BN100" s="64" t="str">
        <v/>
      </c>
      <c r="BO100" s="64" t="str">
        <v/>
      </c>
      <c r="BP100" s="64" t="str">
        <v/>
      </c>
      <c r="BQ100" s="64" t="str">
        <v/>
      </c>
      <c r="BR100" s="64" t="str">
        <v/>
      </c>
      <c r="BS100" s="64" t="str">
        <v/>
      </c>
      <c r="BT100" s="74" t="str">
        <v/>
      </c>
      <c r="BU100" s="46"/>
      <c r="BV100" s="65" t="str">
        <v/>
      </c>
      <c r="BW100" s="66" t="str">
        <v/>
      </c>
      <c r="BX100" s="46"/>
    </row>
  </sheetData>
  <dataValidations disablePrompts="1" count="2">
    <dataValidation type="list" allowBlank="1" showErrorMessage="1" sqref="B3:B100" xr:uid="{00000000-0002-0000-0000-000001000000}">
      <formula1>"hombre,mujer"</formula1>
    </dataValidation>
    <dataValidation type="list" allowBlank="1" showErrorMessage="1" sqref="T3:AB100" xr:uid="{00000000-0002-0000-0000-000002000000}">
      <formula1>"0,2,0,15,0,10,0,05,0,-0,05,-0,10,-0,15,-0,20"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ErrorMessage="1" xr:uid="{00000000-0002-0000-0000-000000000000}">
          <x14:formula1>
            <xm:f>Alimentacion_calc!$A$3:$A$100</xm:f>
          </x14:formula1>
          <xm:sqref>BJ3:BJ100</xm:sqref>
        </x14:dataValidation>
        <x14:dataValidation type="list" allowBlank="1" showErrorMessage="1" xr:uid="{00000000-0002-0000-0000-000003000000}">
          <x14:formula1>
            <xm:f>Alimentacion_calc!$B$3:$B$100</xm:f>
          </x14:formula1>
          <xm:sqref>BK3:BK100</xm:sqref>
        </x14:dataValidation>
        <x14:dataValidation type="list" allowBlank="1" showErrorMessage="1" xr:uid="{00000000-0002-0000-0000-000004000000}">
          <x14:formula1>
            <xm:f>Actividad_calc!$A$3:$A$30</xm:f>
          </x14:formula1>
          <xm:sqref>AR3:AR100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D7E6B"/>
    <outlinePr summaryBelow="0" summaryRight="0"/>
  </sheetPr>
  <dimension ref="A1:F100"/>
  <sheetViews>
    <sheetView workbookViewId="0">
      <pane ySplit="1" topLeftCell="A2" activePane="bottomLeft" state="frozen"/>
      <selection pane="bottomLeft" activeCell="G1" sqref="G1"/>
    </sheetView>
  </sheetViews>
  <sheetFormatPr defaultColWidth="14.42578125" defaultRowHeight="15" customHeight="1"/>
  <cols>
    <col min="1" max="1" width="28.7109375" customWidth="1"/>
  </cols>
  <sheetData>
    <row r="1" spans="1:6">
      <c r="A1" s="83" t="s">
        <v>97</v>
      </c>
      <c r="B1" s="83" t="s">
        <v>98</v>
      </c>
      <c r="C1" s="83" t="s">
        <v>99</v>
      </c>
      <c r="D1" s="83" t="s">
        <v>100</v>
      </c>
      <c r="E1" s="83" t="s">
        <v>101</v>
      </c>
      <c r="F1" s="83" t="s">
        <v>102</v>
      </c>
    </row>
    <row r="2" spans="1:6">
      <c r="A2" s="83" t="s">
        <v>103</v>
      </c>
      <c r="B2" s="83" t="s">
        <v>104</v>
      </c>
      <c r="C2" s="84">
        <v>6</v>
      </c>
      <c r="D2" s="84">
        <v>4</v>
      </c>
      <c r="E2" s="84">
        <v>90</v>
      </c>
      <c r="F2" s="84">
        <v>15</v>
      </c>
    </row>
    <row r="3" spans="1:6">
      <c r="A3" s="83" t="s">
        <v>105</v>
      </c>
      <c r="B3" s="83" t="s">
        <v>104</v>
      </c>
      <c r="C3" s="84">
        <v>5.5</v>
      </c>
      <c r="D3" s="84">
        <v>4</v>
      </c>
      <c r="E3" s="84">
        <v>90</v>
      </c>
      <c r="F3" s="84">
        <v>15</v>
      </c>
    </row>
    <row r="4" spans="1:6">
      <c r="A4" s="83" t="s">
        <v>106</v>
      </c>
      <c r="B4" s="83" t="s">
        <v>104</v>
      </c>
      <c r="C4" s="84">
        <v>5.5</v>
      </c>
      <c r="D4" s="84">
        <v>4</v>
      </c>
      <c r="E4" s="84">
        <v>90</v>
      </c>
      <c r="F4" s="84">
        <v>15</v>
      </c>
    </row>
    <row r="5" spans="1:6">
      <c r="A5" s="83" t="s">
        <v>107</v>
      </c>
      <c r="B5" s="83" t="s">
        <v>104</v>
      </c>
      <c r="C5" s="84">
        <v>4</v>
      </c>
      <c r="D5" s="84">
        <v>4</v>
      </c>
      <c r="E5" s="84">
        <v>90</v>
      </c>
      <c r="F5" s="84">
        <v>15</v>
      </c>
    </row>
    <row r="6" spans="1:6">
      <c r="A6" s="83" t="s">
        <v>108</v>
      </c>
      <c r="B6" s="83" t="s">
        <v>104</v>
      </c>
      <c r="C6" s="84">
        <v>6.5</v>
      </c>
      <c r="D6" s="84">
        <v>4</v>
      </c>
      <c r="E6" s="84">
        <v>90</v>
      </c>
      <c r="F6" s="84">
        <v>15</v>
      </c>
    </row>
    <row r="7" spans="1:6">
      <c r="A7" s="83" t="s">
        <v>109</v>
      </c>
      <c r="B7" s="83" t="s">
        <v>104</v>
      </c>
      <c r="C7" s="84">
        <v>7</v>
      </c>
      <c r="D7" s="84">
        <v>4</v>
      </c>
      <c r="E7" s="84">
        <v>90</v>
      </c>
      <c r="F7" s="84">
        <v>15</v>
      </c>
    </row>
    <row r="8" spans="1:6">
      <c r="A8" s="83" t="s">
        <v>110</v>
      </c>
      <c r="B8" s="83" t="s">
        <v>104</v>
      </c>
      <c r="C8" s="84">
        <v>5</v>
      </c>
      <c r="D8" s="84">
        <v>4</v>
      </c>
      <c r="E8" s="84">
        <v>90</v>
      </c>
      <c r="F8" s="84">
        <v>15</v>
      </c>
    </row>
    <row r="9" spans="1:6">
      <c r="A9" s="83" t="s">
        <v>111</v>
      </c>
      <c r="B9" s="83" t="s">
        <v>104</v>
      </c>
      <c r="C9" s="84">
        <v>6</v>
      </c>
      <c r="D9" s="84">
        <v>4</v>
      </c>
      <c r="E9" s="84">
        <v>90</v>
      </c>
      <c r="F9" s="84">
        <v>15</v>
      </c>
    </row>
    <row r="10" spans="1:6">
      <c r="A10" s="83" t="s">
        <v>112</v>
      </c>
      <c r="B10" s="83" t="s">
        <v>104</v>
      </c>
      <c r="C10" s="84">
        <v>5.5</v>
      </c>
      <c r="D10" s="84">
        <v>4</v>
      </c>
      <c r="E10" s="84">
        <v>90</v>
      </c>
      <c r="F10" s="84">
        <v>15</v>
      </c>
    </row>
    <row r="11" spans="1:6">
      <c r="A11" s="83" t="s">
        <v>113</v>
      </c>
      <c r="B11" s="83" t="s">
        <v>104</v>
      </c>
      <c r="C11" s="84">
        <v>4</v>
      </c>
      <c r="D11" s="84">
        <v>4</v>
      </c>
      <c r="E11" s="84">
        <v>90</v>
      </c>
      <c r="F11" s="84">
        <v>15</v>
      </c>
    </row>
    <row r="12" spans="1:6">
      <c r="A12" s="83" t="s">
        <v>114</v>
      </c>
      <c r="B12" s="83" t="s">
        <v>104</v>
      </c>
      <c r="C12" s="84">
        <v>6</v>
      </c>
      <c r="D12" s="84">
        <v>4</v>
      </c>
      <c r="E12" s="84">
        <v>90</v>
      </c>
      <c r="F12" s="84">
        <v>15</v>
      </c>
    </row>
    <row r="13" spans="1:6">
      <c r="A13" s="83" t="s">
        <v>115</v>
      </c>
      <c r="B13" s="83" t="s">
        <v>104</v>
      </c>
      <c r="C13" s="84">
        <v>4</v>
      </c>
      <c r="D13" s="84">
        <v>4</v>
      </c>
      <c r="E13" s="84">
        <v>90</v>
      </c>
      <c r="F13" s="84">
        <v>15</v>
      </c>
    </row>
    <row r="14" spans="1:6">
      <c r="A14" s="83" t="s">
        <v>116</v>
      </c>
      <c r="B14" s="83" t="s">
        <v>104</v>
      </c>
      <c r="C14" s="84">
        <v>3.5</v>
      </c>
      <c r="D14" s="84">
        <v>4</v>
      </c>
      <c r="E14" s="84">
        <v>90</v>
      </c>
      <c r="F14" s="84">
        <v>15</v>
      </c>
    </row>
    <row r="15" spans="1:6">
      <c r="A15" s="83" t="s">
        <v>117</v>
      </c>
      <c r="B15" s="83" t="s">
        <v>104</v>
      </c>
      <c r="C15" s="84">
        <v>3.5</v>
      </c>
      <c r="D15" s="84">
        <v>4</v>
      </c>
      <c r="E15" s="84">
        <v>90</v>
      </c>
      <c r="F15" s="84">
        <v>15</v>
      </c>
    </row>
    <row r="16" spans="1:6">
      <c r="A16" s="83" t="s">
        <v>118</v>
      </c>
      <c r="B16" s="83" t="s">
        <v>104</v>
      </c>
      <c r="C16" s="84">
        <v>3.5</v>
      </c>
      <c r="D16" s="84">
        <v>4</v>
      </c>
      <c r="E16" s="84">
        <v>90</v>
      </c>
      <c r="F16" s="84">
        <v>15</v>
      </c>
    </row>
    <row r="17" spans="1:6">
      <c r="A17" s="83" t="s">
        <v>119</v>
      </c>
      <c r="B17" s="83" t="s">
        <v>104</v>
      </c>
      <c r="C17" s="84">
        <v>6.5</v>
      </c>
      <c r="D17" s="84">
        <v>4</v>
      </c>
      <c r="E17" s="84">
        <v>90</v>
      </c>
      <c r="F17" s="84">
        <v>15</v>
      </c>
    </row>
    <row r="18" spans="1:6">
      <c r="A18" s="83" t="s">
        <v>120</v>
      </c>
      <c r="B18" s="83" t="s">
        <v>104</v>
      </c>
      <c r="C18" s="84">
        <v>6</v>
      </c>
      <c r="D18" s="84">
        <v>4</v>
      </c>
      <c r="E18" s="84">
        <v>90</v>
      </c>
      <c r="F18" s="84">
        <v>15</v>
      </c>
    </row>
    <row r="19" spans="1:6">
      <c r="A19" s="83" t="s">
        <v>121</v>
      </c>
      <c r="B19" s="83" t="s">
        <v>104</v>
      </c>
      <c r="C19" s="84">
        <v>7</v>
      </c>
      <c r="D19" s="84">
        <v>4</v>
      </c>
      <c r="E19" s="84">
        <v>90</v>
      </c>
      <c r="F19" s="84">
        <v>15</v>
      </c>
    </row>
    <row r="20" spans="1:6">
      <c r="A20" s="83" t="s">
        <v>122</v>
      </c>
      <c r="B20" s="83" t="s">
        <v>104</v>
      </c>
      <c r="C20" s="84">
        <v>6.5</v>
      </c>
      <c r="D20" s="84">
        <v>4</v>
      </c>
      <c r="E20" s="84">
        <v>90</v>
      </c>
      <c r="F20" s="84">
        <v>15</v>
      </c>
    </row>
    <row r="21" spans="1:6">
      <c r="A21" s="83" t="s">
        <v>123</v>
      </c>
      <c r="B21" s="83" t="s">
        <v>104</v>
      </c>
      <c r="C21" s="84">
        <v>6</v>
      </c>
      <c r="D21" s="84">
        <v>4</v>
      </c>
      <c r="E21" s="84">
        <v>90</v>
      </c>
      <c r="F21" s="84">
        <v>15</v>
      </c>
    </row>
    <row r="22" spans="1:6">
      <c r="A22" s="83" t="s">
        <v>124</v>
      </c>
      <c r="B22" s="83" t="s">
        <v>104</v>
      </c>
      <c r="C22" s="84">
        <v>6</v>
      </c>
      <c r="D22" s="84">
        <v>4</v>
      </c>
      <c r="E22" s="84">
        <v>90</v>
      </c>
      <c r="F22" s="84">
        <v>15</v>
      </c>
    </row>
    <row r="23" spans="1:6">
      <c r="A23" s="83" t="s">
        <v>125</v>
      </c>
      <c r="B23" s="83" t="s">
        <v>104</v>
      </c>
      <c r="C23" s="84">
        <v>5.5</v>
      </c>
      <c r="D23" s="84">
        <v>4</v>
      </c>
      <c r="E23" s="84">
        <v>90</v>
      </c>
      <c r="F23" s="84">
        <v>15</v>
      </c>
    </row>
    <row r="24" spans="1:6">
      <c r="A24" s="83" t="s">
        <v>126</v>
      </c>
      <c r="B24" s="83" t="s">
        <v>104</v>
      </c>
      <c r="C24" s="84">
        <v>3.5</v>
      </c>
      <c r="D24" s="84">
        <v>4</v>
      </c>
      <c r="E24" s="84">
        <v>90</v>
      </c>
      <c r="F24" s="84">
        <v>15</v>
      </c>
    </row>
    <row r="25" spans="1:6">
      <c r="A25" s="83" t="s">
        <v>127</v>
      </c>
      <c r="B25" s="83" t="s">
        <v>104</v>
      </c>
      <c r="C25" s="84">
        <v>5.5</v>
      </c>
      <c r="D25" s="84">
        <v>4</v>
      </c>
      <c r="E25" s="84">
        <v>90</v>
      </c>
      <c r="F25" s="84">
        <v>15</v>
      </c>
    </row>
    <row r="26" spans="1:6">
      <c r="A26" s="83" t="s">
        <v>128</v>
      </c>
      <c r="B26" s="83" t="s">
        <v>129</v>
      </c>
      <c r="C26" s="84">
        <v>3.5</v>
      </c>
      <c r="D26" s="85"/>
      <c r="E26" s="85"/>
      <c r="F26" s="85"/>
    </row>
    <row r="27" spans="1:6">
      <c r="A27" s="83" t="s">
        <v>130</v>
      </c>
      <c r="B27" s="83" t="s">
        <v>129</v>
      </c>
      <c r="C27" s="84">
        <v>3.5</v>
      </c>
      <c r="D27" s="85"/>
      <c r="E27" s="85"/>
      <c r="F27" s="85"/>
    </row>
    <row r="28" spans="1:6">
      <c r="A28" s="83" t="s">
        <v>131</v>
      </c>
      <c r="B28" s="83" t="s">
        <v>104</v>
      </c>
      <c r="C28" s="84">
        <v>3</v>
      </c>
      <c r="D28" s="84">
        <v>4</v>
      </c>
      <c r="E28" s="84">
        <v>90</v>
      </c>
      <c r="F28" s="84">
        <v>15</v>
      </c>
    </row>
    <row r="29" spans="1:6">
      <c r="A29" s="83" t="s">
        <v>132</v>
      </c>
      <c r="B29" s="83" t="s">
        <v>104</v>
      </c>
      <c r="C29" s="84">
        <v>4</v>
      </c>
      <c r="D29" s="84">
        <v>4</v>
      </c>
      <c r="E29" s="84">
        <v>90</v>
      </c>
      <c r="F29" s="84">
        <v>15</v>
      </c>
    </row>
    <row r="30" spans="1:6">
      <c r="A30" s="83" t="s">
        <v>133</v>
      </c>
      <c r="B30" s="83" t="s">
        <v>104</v>
      </c>
      <c r="C30" s="84">
        <v>4</v>
      </c>
      <c r="D30" s="84">
        <v>4</v>
      </c>
      <c r="E30" s="84">
        <v>90</v>
      </c>
      <c r="F30" s="84">
        <v>15</v>
      </c>
    </row>
    <row r="31" spans="1:6">
      <c r="A31" s="83" t="s">
        <v>134</v>
      </c>
      <c r="B31" s="83" t="s">
        <v>104</v>
      </c>
      <c r="C31" s="84">
        <v>8.5</v>
      </c>
      <c r="D31" s="84">
        <v>4</v>
      </c>
      <c r="E31" s="84">
        <v>90</v>
      </c>
      <c r="F31" s="84">
        <v>15</v>
      </c>
    </row>
    <row r="32" spans="1:6">
      <c r="A32" s="83" t="s">
        <v>135</v>
      </c>
      <c r="B32" s="83" t="s">
        <v>104</v>
      </c>
      <c r="C32" s="84">
        <v>9</v>
      </c>
      <c r="D32" s="84">
        <v>4</v>
      </c>
      <c r="E32" s="84">
        <v>90</v>
      </c>
      <c r="F32" s="84">
        <v>15</v>
      </c>
    </row>
    <row r="33" spans="1:6">
      <c r="A33" s="83" t="s">
        <v>136</v>
      </c>
      <c r="B33" s="83" t="s">
        <v>104</v>
      </c>
      <c r="C33" s="84">
        <v>9</v>
      </c>
      <c r="D33" s="84">
        <v>4</v>
      </c>
      <c r="E33" s="84">
        <v>90</v>
      </c>
      <c r="F33" s="84">
        <v>15</v>
      </c>
    </row>
    <row r="34" spans="1:6">
      <c r="A34" s="83" t="s">
        <v>137</v>
      </c>
      <c r="B34" s="83" t="s">
        <v>104</v>
      </c>
      <c r="C34" s="84">
        <v>8</v>
      </c>
      <c r="D34" s="84">
        <v>4</v>
      </c>
      <c r="E34" s="84">
        <v>90</v>
      </c>
      <c r="F34" s="84">
        <v>15</v>
      </c>
    </row>
    <row r="35" spans="1:6">
      <c r="A35" s="83" t="s">
        <v>138</v>
      </c>
      <c r="B35" s="83" t="s">
        <v>129</v>
      </c>
      <c r="C35" s="84">
        <v>3.5</v>
      </c>
      <c r="D35" s="85"/>
      <c r="E35" s="85"/>
      <c r="F35" s="85"/>
    </row>
    <row r="36" spans="1:6">
      <c r="A36" s="83" t="s">
        <v>139</v>
      </c>
      <c r="B36" s="83" t="s">
        <v>129</v>
      </c>
      <c r="C36" s="84">
        <v>9.8000000000000007</v>
      </c>
      <c r="D36" s="85"/>
      <c r="E36" s="85"/>
      <c r="F36" s="85"/>
    </row>
    <row r="37" spans="1:6">
      <c r="A37" s="83" t="s">
        <v>140</v>
      </c>
      <c r="B37" s="83" t="s">
        <v>129</v>
      </c>
      <c r="C37" s="84">
        <v>11</v>
      </c>
      <c r="D37" s="85"/>
      <c r="E37" s="85"/>
      <c r="F37" s="85"/>
    </row>
    <row r="38" spans="1:6">
      <c r="A38" s="83" t="s">
        <v>141</v>
      </c>
      <c r="B38" s="83" t="s">
        <v>129</v>
      </c>
      <c r="C38" s="84">
        <v>12</v>
      </c>
      <c r="D38" s="85"/>
      <c r="E38" s="85"/>
      <c r="F38" s="85"/>
    </row>
    <row r="39" spans="1:6">
      <c r="A39" s="83" t="s">
        <v>142</v>
      </c>
      <c r="B39" s="83" t="s">
        <v>129</v>
      </c>
      <c r="C39" s="84">
        <v>8</v>
      </c>
      <c r="D39" s="85"/>
      <c r="E39" s="85"/>
      <c r="F39" s="85"/>
    </row>
    <row r="40" spans="1:6">
      <c r="A40" s="83" t="s">
        <v>143</v>
      </c>
      <c r="B40" s="83" t="s">
        <v>129</v>
      </c>
      <c r="C40" s="84">
        <v>9</v>
      </c>
      <c r="D40" s="85"/>
      <c r="E40" s="85"/>
      <c r="F40" s="85"/>
    </row>
    <row r="41" spans="1:6">
      <c r="A41" s="83" t="s">
        <v>144</v>
      </c>
      <c r="B41" s="83" t="s">
        <v>129</v>
      </c>
      <c r="C41" s="84">
        <v>8</v>
      </c>
      <c r="D41" s="85"/>
      <c r="E41" s="85"/>
      <c r="F41" s="85"/>
    </row>
    <row r="42" spans="1:6">
      <c r="A42" s="83" t="s">
        <v>145</v>
      </c>
      <c r="B42" s="83" t="s">
        <v>129</v>
      </c>
      <c r="C42" s="84">
        <v>10</v>
      </c>
      <c r="D42" s="85"/>
      <c r="E42" s="85"/>
      <c r="F42" s="85"/>
    </row>
    <row r="43" spans="1:6">
      <c r="A43" s="83" t="s">
        <v>146</v>
      </c>
      <c r="B43" s="83" t="s">
        <v>129</v>
      </c>
      <c r="C43" s="84">
        <v>8.5</v>
      </c>
      <c r="D43" s="85"/>
      <c r="E43" s="85"/>
      <c r="F43" s="85"/>
    </row>
    <row r="44" spans="1:6">
      <c r="A44" s="83" t="s">
        <v>147</v>
      </c>
      <c r="B44" s="83" t="s">
        <v>129</v>
      </c>
      <c r="C44" s="84">
        <v>6.5</v>
      </c>
      <c r="D44" s="85"/>
      <c r="E44" s="85"/>
      <c r="F44" s="85"/>
    </row>
    <row r="45" spans="1:6">
      <c r="A45" s="83" t="s">
        <v>148</v>
      </c>
      <c r="B45" s="83" t="s">
        <v>129</v>
      </c>
      <c r="C45" s="84">
        <v>8.8000000000000007</v>
      </c>
      <c r="D45" s="85"/>
      <c r="E45" s="85"/>
      <c r="F45" s="85"/>
    </row>
    <row r="46" spans="1:6">
      <c r="A46" s="83" t="s">
        <v>149</v>
      </c>
      <c r="B46" s="83" t="s">
        <v>129</v>
      </c>
      <c r="C46" s="84">
        <v>6.5</v>
      </c>
      <c r="D46" s="85"/>
      <c r="E46" s="85"/>
      <c r="F46" s="85"/>
    </row>
    <row r="47" spans="1:6">
      <c r="A47" s="83" t="s">
        <v>150</v>
      </c>
      <c r="B47" s="83" t="s">
        <v>129</v>
      </c>
      <c r="C47" s="84">
        <v>7.5</v>
      </c>
      <c r="D47" s="85"/>
      <c r="E47" s="85"/>
      <c r="F47" s="85"/>
    </row>
    <row r="48" spans="1:6">
      <c r="A48" s="83" t="s">
        <v>151</v>
      </c>
      <c r="B48" s="83" t="s">
        <v>129</v>
      </c>
      <c r="C48" s="84">
        <v>8.5</v>
      </c>
      <c r="D48" s="85"/>
      <c r="E48" s="85"/>
      <c r="F48" s="85"/>
    </row>
    <row r="49" spans="1:6">
      <c r="A49" s="83" t="s">
        <v>152</v>
      </c>
      <c r="B49" s="83" t="s">
        <v>129</v>
      </c>
      <c r="C49" s="84">
        <v>11</v>
      </c>
      <c r="D49" s="85"/>
      <c r="E49" s="85"/>
      <c r="F49" s="85"/>
    </row>
    <row r="50" spans="1:6">
      <c r="A50" s="83" t="s">
        <v>153</v>
      </c>
      <c r="B50" s="83" t="s">
        <v>129</v>
      </c>
      <c r="C50" s="84">
        <v>9.5</v>
      </c>
      <c r="D50" s="85"/>
      <c r="E50" s="85"/>
      <c r="F50" s="85"/>
    </row>
    <row r="51" spans="1:6">
      <c r="A51" s="83" t="s">
        <v>154</v>
      </c>
      <c r="B51" s="83" t="s">
        <v>129</v>
      </c>
      <c r="C51" s="84">
        <v>2.2999999999999998</v>
      </c>
      <c r="D51" s="85"/>
      <c r="E51" s="85"/>
      <c r="F51" s="85"/>
    </row>
    <row r="52" spans="1:6">
      <c r="A52" s="83" t="s">
        <v>155</v>
      </c>
      <c r="B52" s="83" t="s">
        <v>129</v>
      </c>
      <c r="C52" s="84">
        <v>2.5</v>
      </c>
      <c r="D52" s="85"/>
      <c r="E52" s="85"/>
      <c r="F52" s="85"/>
    </row>
    <row r="53" spans="1:6">
      <c r="A53" s="83" t="s">
        <v>156</v>
      </c>
      <c r="B53" s="83" t="s">
        <v>129</v>
      </c>
      <c r="C53" s="84">
        <v>2</v>
      </c>
      <c r="D53" s="85"/>
      <c r="E53" s="85"/>
      <c r="F53" s="85"/>
    </row>
    <row r="54" spans="1:6">
      <c r="A54" s="83" t="s">
        <v>157</v>
      </c>
      <c r="B54" s="83" t="s">
        <v>129</v>
      </c>
      <c r="C54" s="84">
        <v>1.5</v>
      </c>
      <c r="D54" s="85"/>
      <c r="E54" s="85"/>
      <c r="F54" s="85"/>
    </row>
    <row r="55" spans="1:6">
      <c r="A55" s="86"/>
      <c r="B55" s="86"/>
      <c r="C55" s="87"/>
      <c r="D55" s="87"/>
      <c r="E55" s="87"/>
      <c r="F55" s="87"/>
    </row>
    <row r="56" spans="1:6">
      <c r="A56" s="86"/>
      <c r="B56" s="86"/>
      <c r="C56" s="87"/>
      <c r="D56" s="87"/>
      <c r="E56" s="87"/>
      <c r="F56" s="87"/>
    </row>
    <row r="57" spans="1:6">
      <c r="A57" s="86"/>
      <c r="B57" s="86"/>
      <c r="C57" s="87"/>
      <c r="D57" s="87"/>
      <c r="E57" s="87"/>
      <c r="F57" s="87"/>
    </row>
    <row r="58" spans="1:6">
      <c r="A58" s="86"/>
      <c r="B58" s="86"/>
      <c r="C58" s="87"/>
      <c r="D58" s="87"/>
      <c r="E58" s="87"/>
      <c r="F58" s="87"/>
    </row>
    <row r="59" spans="1:6">
      <c r="A59" s="86"/>
      <c r="B59" s="86"/>
      <c r="C59" s="87"/>
      <c r="D59" s="87"/>
      <c r="E59" s="87"/>
      <c r="F59" s="87"/>
    </row>
    <row r="60" spans="1:6">
      <c r="A60" s="86"/>
      <c r="B60" s="86"/>
      <c r="C60" s="87"/>
      <c r="D60" s="87"/>
      <c r="E60" s="87"/>
      <c r="F60" s="87"/>
    </row>
    <row r="61" spans="1:6">
      <c r="A61" s="86"/>
      <c r="B61" s="86"/>
      <c r="C61" s="87"/>
      <c r="D61" s="87"/>
      <c r="E61" s="87"/>
      <c r="F61" s="87"/>
    </row>
    <row r="62" spans="1:6">
      <c r="A62" s="86"/>
      <c r="B62" s="86"/>
      <c r="C62" s="87"/>
      <c r="D62" s="87"/>
      <c r="E62" s="87"/>
      <c r="F62" s="87"/>
    </row>
    <row r="63" spans="1:6">
      <c r="A63" s="86"/>
      <c r="B63" s="86"/>
      <c r="C63" s="87"/>
      <c r="D63" s="87"/>
      <c r="E63" s="87"/>
      <c r="F63" s="87"/>
    </row>
    <row r="64" spans="1:6">
      <c r="A64" s="86"/>
      <c r="B64" s="86"/>
      <c r="C64" s="87"/>
      <c r="D64" s="87"/>
      <c r="E64" s="87"/>
      <c r="F64" s="87"/>
    </row>
    <row r="65" spans="1:6">
      <c r="A65" s="86"/>
      <c r="B65" s="86"/>
      <c r="C65" s="87"/>
      <c r="D65" s="87"/>
      <c r="E65" s="87"/>
      <c r="F65" s="87"/>
    </row>
    <row r="66" spans="1:6">
      <c r="A66" s="86"/>
      <c r="B66" s="86"/>
      <c r="C66" s="87"/>
      <c r="D66" s="87"/>
      <c r="E66" s="87"/>
      <c r="F66" s="87"/>
    </row>
    <row r="67" spans="1:6">
      <c r="A67" s="86"/>
      <c r="B67" s="86"/>
      <c r="C67" s="87"/>
      <c r="D67" s="87"/>
      <c r="E67" s="87"/>
      <c r="F67" s="87"/>
    </row>
    <row r="68" spans="1:6">
      <c r="A68" s="86"/>
      <c r="B68" s="86"/>
      <c r="C68" s="87"/>
      <c r="D68" s="87"/>
      <c r="E68" s="87"/>
      <c r="F68" s="87"/>
    </row>
    <row r="69" spans="1:6">
      <c r="A69" s="86"/>
      <c r="B69" s="86"/>
      <c r="C69" s="87"/>
      <c r="D69" s="87"/>
      <c r="E69" s="87"/>
      <c r="F69" s="87"/>
    </row>
    <row r="70" spans="1:6">
      <c r="A70" s="86"/>
      <c r="B70" s="86"/>
      <c r="C70" s="87"/>
      <c r="D70" s="87"/>
      <c r="E70" s="87"/>
      <c r="F70" s="87"/>
    </row>
    <row r="71" spans="1:6">
      <c r="A71" s="86"/>
      <c r="B71" s="86"/>
      <c r="C71" s="87"/>
      <c r="D71" s="87"/>
      <c r="E71" s="87"/>
      <c r="F71" s="87"/>
    </row>
    <row r="72" spans="1:6">
      <c r="A72" s="86"/>
      <c r="B72" s="86"/>
      <c r="C72" s="87"/>
      <c r="D72" s="87"/>
      <c r="E72" s="87"/>
      <c r="F72" s="87"/>
    </row>
    <row r="73" spans="1:6">
      <c r="A73" s="86"/>
      <c r="B73" s="86"/>
      <c r="C73" s="87"/>
      <c r="D73" s="87"/>
      <c r="E73" s="87"/>
      <c r="F73" s="87"/>
    </row>
    <row r="74" spans="1:6">
      <c r="A74" s="86"/>
      <c r="B74" s="86"/>
      <c r="C74" s="87"/>
      <c r="D74" s="87"/>
      <c r="E74" s="87"/>
      <c r="F74" s="87"/>
    </row>
    <row r="75" spans="1:6">
      <c r="A75" s="86"/>
      <c r="B75" s="86"/>
      <c r="C75" s="87"/>
      <c r="D75" s="87"/>
      <c r="E75" s="87"/>
      <c r="F75" s="87"/>
    </row>
    <row r="76" spans="1:6">
      <c r="A76" s="86"/>
      <c r="B76" s="86"/>
      <c r="C76" s="87"/>
      <c r="D76" s="87"/>
      <c r="E76" s="87"/>
      <c r="F76" s="87"/>
    </row>
    <row r="77" spans="1:6">
      <c r="A77" s="86"/>
      <c r="B77" s="86"/>
      <c r="C77" s="87"/>
      <c r="D77" s="87"/>
      <c r="E77" s="87"/>
      <c r="F77" s="87"/>
    </row>
    <row r="78" spans="1:6">
      <c r="A78" s="86"/>
      <c r="B78" s="86"/>
      <c r="C78" s="87"/>
      <c r="D78" s="87"/>
      <c r="E78" s="87"/>
      <c r="F78" s="87"/>
    </row>
    <row r="79" spans="1:6">
      <c r="A79" s="86"/>
      <c r="B79" s="86"/>
      <c r="C79" s="87"/>
      <c r="D79" s="87"/>
      <c r="E79" s="87"/>
      <c r="F79" s="87"/>
    </row>
    <row r="80" spans="1:6">
      <c r="A80" s="86"/>
      <c r="B80" s="86"/>
      <c r="C80" s="87"/>
      <c r="D80" s="87"/>
      <c r="E80" s="87"/>
      <c r="F80" s="87"/>
    </row>
    <row r="81" spans="1:6">
      <c r="A81" s="86"/>
      <c r="B81" s="86"/>
      <c r="C81" s="87"/>
      <c r="D81" s="87"/>
      <c r="E81" s="87"/>
      <c r="F81" s="87"/>
    </row>
    <row r="82" spans="1:6">
      <c r="A82" s="86"/>
      <c r="B82" s="86"/>
      <c r="C82" s="87"/>
      <c r="D82" s="87"/>
      <c r="E82" s="87"/>
      <c r="F82" s="87"/>
    </row>
    <row r="83" spans="1:6">
      <c r="A83" s="86"/>
      <c r="B83" s="86"/>
      <c r="C83" s="87"/>
      <c r="D83" s="87"/>
      <c r="E83" s="87"/>
      <c r="F83" s="87"/>
    </row>
    <row r="84" spans="1:6">
      <c r="A84" s="86"/>
      <c r="B84" s="86"/>
      <c r="C84" s="87"/>
      <c r="D84" s="87"/>
      <c r="E84" s="87"/>
      <c r="F84" s="87"/>
    </row>
    <row r="85" spans="1:6">
      <c r="A85" s="86"/>
      <c r="B85" s="86"/>
      <c r="C85" s="87"/>
      <c r="D85" s="87"/>
      <c r="E85" s="87"/>
      <c r="F85" s="87"/>
    </row>
    <row r="86" spans="1:6">
      <c r="A86" s="86"/>
      <c r="B86" s="86"/>
      <c r="C86" s="87"/>
      <c r="D86" s="87"/>
      <c r="E86" s="87"/>
      <c r="F86" s="87"/>
    </row>
    <row r="87" spans="1:6">
      <c r="A87" s="86"/>
      <c r="B87" s="86"/>
      <c r="C87" s="87"/>
      <c r="D87" s="87"/>
      <c r="E87" s="87"/>
      <c r="F87" s="87"/>
    </row>
    <row r="88" spans="1:6">
      <c r="A88" s="86"/>
      <c r="B88" s="86"/>
      <c r="C88" s="87"/>
      <c r="D88" s="87"/>
      <c r="E88" s="87"/>
      <c r="F88" s="87"/>
    </row>
    <row r="89" spans="1:6">
      <c r="A89" s="86"/>
      <c r="B89" s="86"/>
      <c r="C89" s="87"/>
      <c r="D89" s="87"/>
      <c r="E89" s="87"/>
      <c r="F89" s="87"/>
    </row>
    <row r="90" spans="1:6">
      <c r="A90" s="86"/>
      <c r="B90" s="86"/>
      <c r="C90" s="87"/>
      <c r="D90" s="87"/>
      <c r="E90" s="87"/>
      <c r="F90" s="87"/>
    </row>
    <row r="91" spans="1:6">
      <c r="A91" s="86"/>
      <c r="B91" s="86"/>
      <c r="C91" s="87"/>
      <c r="D91" s="87"/>
      <c r="E91" s="87"/>
      <c r="F91" s="87"/>
    </row>
    <row r="92" spans="1:6">
      <c r="A92" s="86"/>
      <c r="B92" s="86"/>
      <c r="C92" s="87"/>
      <c r="D92" s="87"/>
      <c r="E92" s="87"/>
      <c r="F92" s="87"/>
    </row>
    <row r="93" spans="1:6">
      <c r="A93" s="86"/>
      <c r="B93" s="86"/>
      <c r="C93" s="87"/>
      <c r="D93" s="87"/>
      <c r="E93" s="87"/>
      <c r="F93" s="87"/>
    </row>
    <row r="94" spans="1:6">
      <c r="A94" s="86"/>
      <c r="B94" s="86"/>
      <c r="C94" s="87"/>
      <c r="D94" s="87"/>
      <c r="E94" s="87"/>
      <c r="F94" s="87"/>
    </row>
    <row r="95" spans="1:6">
      <c r="A95" s="86"/>
      <c r="B95" s="86"/>
      <c r="C95" s="87"/>
      <c r="D95" s="87"/>
      <c r="E95" s="87"/>
      <c r="F95" s="87"/>
    </row>
    <row r="96" spans="1:6">
      <c r="A96" s="86"/>
      <c r="B96" s="86"/>
      <c r="C96" s="87"/>
      <c r="D96" s="87"/>
      <c r="E96" s="87"/>
      <c r="F96" s="87"/>
    </row>
    <row r="97" spans="1:6">
      <c r="A97" s="86"/>
      <c r="B97" s="86"/>
      <c r="C97" s="87"/>
      <c r="D97" s="87"/>
      <c r="E97" s="87"/>
      <c r="F97" s="87"/>
    </row>
    <row r="98" spans="1:6">
      <c r="A98" s="86"/>
      <c r="B98" s="86"/>
      <c r="C98" s="87"/>
      <c r="D98" s="87"/>
      <c r="E98" s="87"/>
      <c r="F98" s="87"/>
    </row>
    <row r="99" spans="1:6">
      <c r="A99" s="86"/>
      <c r="B99" s="86"/>
      <c r="C99" s="87"/>
      <c r="D99" s="87"/>
      <c r="E99" s="87"/>
      <c r="F99" s="87"/>
    </row>
    <row r="100" spans="1:6">
      <c r="A100" s="86"/>
      <c r="B100" s="86"/>
      <c r="C100" s="87"/>
      <c r="D100" s="87"/>
      <c r="E100" s="87"/>
      <c r="F100" s="87"/>
    </row>
  </sheetData>
  <autoFilter ref="A1:F100" xr:uid="{00000000-0009-0000-0000-000001000000}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D7E6B"/>
    <outlinePr summaryBelow="0" summaryRight="0"/>
  </sheetPr>
  <dimension ref="A1:BE1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9" sqref="A9"/>
    </sheetView>
  </sheetViews>
  <sheetFormatPr defaultColWidth="14.42578125" defaultRowHeight="15" customHeight="1"/>
  <cols>
    <col min="5" max="5" width="3" customWidth="1"/>
    <col min="7" max="10" width="7.28515625" customWidth="1"/>
    <col min="12" max="15" width="7.28515625" customWidth="1"/>
    <col min="17" max="20" width="7.28515625" customWidth="1"/>
    <col min="21" max="21" width="14.42578125" customWidth="1"/>
    <col min="22" max="25" width="7.28515625" customWidth="1"/>
    <col min="26" max="26" width="14.42578125" customWidth="1"/>
    <col min="27" max="30" width="7.28515625" customWidth="1"/>
    <col min="31" max="31" width="14.42578125" customWidth="1"/>
    <col min="32" max="35" width="7.28515625" customWidth="1"/>
    <col min="36" max="36" width="14.42578125" customWidth="1"/>
    <col min="37" max="40" width="7.28515625" customWidth="1"/>
    <col min="41" max="41" width="14.42578125" customWidth="1"/>
    <col min="42" max="45" width="7.28515625" customWidth="1"/>
    <col min="46" max="46" width="14.42578125" customWidth="1"/>
    <col min="47" max="50" width="7.28515625" customWidth="1"/>
    <col min="51" max="51" width="14.42578125" customWidth="1"/>
    <col min="52" max="55" width="7.28515625" customWidth="1"/>
    <col min="56" max="57" width="14.42578125" customWidth="1"/>
  </cols>
  <sheetData>
    <row r="1" spans="1:57">
      <c r="A1" s="88"/>
      <c r="B1" s="89">
        <v>4</v>
      </c>
      <c r="C1" s="90">
        <v>4</v>
      </c>
      <c r="D1" s="91">
        <v>9</v>
      </c>
      <c r="E1" s="92"/>
      <c r="F1" s="93" t="s">
        <v>158</v>
      </c>
      <c r="G1" s="94"/>
      <c r="H1" s="94"/>
      <c r="I1" s="95"/>
      <c r="J1" s="94"/>
      <c r="K1" s="93" t="s">
        <v>159</v>
      </c>
      <c r="L1" s="94"/>
      <c r="M1" s="94"/>
      <c r="N1" s="95"/>
      <c r="O1" s="94"/>
      <c r="P1" s="93" t="s">
        <v>160</v>
      </c>
      <c r="Q1" s="94"/>
      <c r="R1" s="94"/>
      <c r="S1" s="95"/>
      <c r="T1" s="94"/>
      <c r="U1" s="96" t="s">
        <v>161</v>
      </c>
      <c r="V1" s="97"/>
      <c r="W1" s="97"/>
      <c r="X1" s="98"/>
      <c r="Y1" s="97"/>
      <c r="Z1" s="96" t="s">
        <v>162</v>
      </c>
      <c r="AA1" s="97"/>
      <c r="AB1" s="97"/>
      <c r="AC1" s="99"/>
      <c r="AD1" s="97"/>
      <c r="AE1" s="96" t="s">
        <v>163</v>
      </c>
      <c r="AF1" s="97"/>
      <c r="AG1" s="97"/>
      <c r="AH1" s="99"/>
      <c r="AI1" s="97"/>
      <c r="AJ1" s="96" t="s">
        <v>164</v>
      </c>
      <c r="AK1" s="97"/>
      <c r="AL1" s="97"/>
      <c r="AM1" s="99"/>
      <c r="AN1" s="97"/>
      <c r="AO1" s="96" t="s">
        <v>165</v>
      </c>
      <c r="AP1" s="97"/>
      <c r="AQ1" s="97"/>
      <c r="AR1" s="99"/>
      <c r="AS1" s="97"/>
      <c r="AT1" s="96" t="s">
        <v>166</v>
      </c>
      <c r="AU1" s="97"/>
      <c r="AV1" s="97"/>
      <c r="AW1" s="99"/>
      <c r="AX1" s="97"/>
      <c r="AY1" s="96" t="s">
        <v>167</v>
      </c>
      <c r="AZ1" s="97"/>
      <c r="BA1" s="97"/>
      <c r="BB1" s="99"/>
      <c r="BC1" s="100"/>
      <c r="BD1" s="101"/>
      <c r="BE1" s="102">
        <v>80</v>
      </c>
    </row>
    <row r="2" spans="1:57">
      <c r="A2" s="103" t="s">
        <v>168</v>
      </c>
      <c r="B2" s="93" t="s">
        <v>169</v>
      </c>
      <c r="C2" s="104" t="s">
        <v>170</v>
      </c>
      <c r="D2" s="105" t="s">
        <v>171</v>
      </c>
      <c r="E2" s="106"/>
      <c r="F2" s="93" t="s">
        <v>172</v>
      </c>
      <c r="G2" s="104" t="s">
        <v>173</v>
      </c>
      <c r="H2" s="104" t="s">
        <v>174</v>
      </c>
      <c r="I2" s="105" t="s">
        <v>175</v>
      </c>
      <c r="J2" s="104" t="s">
        <v>176</v>
      </c>
      <c r="K2" s="93" t="s">
        <v>177</v>
      </c>
      <c r="L2" s="104" t="s">
        <v>178</v>
      </c>
      <c r="M2" s="104" t="s">
        <v>179</v>
      </c>
      <c r="N2" s="105" t="s">
        <v>180</v>
      </c>
      <c r="O2" s="104" t="s">
        <v>181</v>
      </c>
      <c r="P2" s="93" t="s">
        <v>182</v>
      </c>
      <c r="Q2" s="104" t="s">
        <v>183</v>
      </c>
      <c r="R2" s="104" t="s">
        <v>184</v>
      </c>
      <c r="S2" s="105" t="s">
        <v>185</v>
      </c>
      <c r="T2" s="104" t="s">
        <v>186</v>
      </c>
      <c r="U2" s="96" t="s">
        <v>187</v>
      </c>
      <c r="V2" s="104" t="s">
        <v>188</v>
      </c>
      <c r="W2" s="107" t="s">
        <v>189</v>
      </c>
      <c r="X2" s="108" t="s">
        <v>190</v>
      </c>
      <c r="Y2" s="107" t="s">
        <v>191</v>
      </c>
      <c r="Z2" s="96" t="s">
        <v>192</v>
      </c>
      <c r="AA2" s="107" t="s">
        <v>193</v>
      </c>
      <c r="AB2" s="107" t="s">
        <v>194</v>
      </c>
      <c r="AC2" s="109" t="s">
        <v>195</v>
      </c>
      <c r="AD2" s="107" t="s">
        <v>196</v>
      </c>
      <c r="AE2" s="96" t="s">
        <v>197</v>
      </c>
      <c r="AF2" s="107" t="s">
        <v>198</v>
      </c>
      <c r="AG2" s="107" t="s">
        <v>199</v>
      </c>
      <c r="AH2" s="109" t="s">
        <v>200</v>
      </c>
      <c r="AI2" s="107" t="s">
        <v>201</v>
      </c>
      <c r="AJ2" s="96" t="s">
        <v>202</v>
      </c>
      <c r="AK2" s="107" t="s">
        <v>203</v>
      </c>
      <c r="AL2" s="107" t="s">
        <v>204</v>
      </c>
      <c r="AM2" s="109" t="s">
        <v>205</v>
      </c>
      <c r="AN2" s="107" t="s">
        <v>206</v>
      </c>
      <c r="AO2" s="96" t="s">
        <v>207</v>
      </c>
      <c r="AP2" s="107" t="s">
        <v>208</v>
      </c>
      <c r="AQ2" s="107" t="s">
        <v>209</v>
      </c>
      <c r="AR2" s="109" t="s">
        <v>210</v>
      </c>
      <c r="AS2" s="107" t="s">
        <v>211</v>
      </c>
      <c r="AT2" s="96" t="s">
        <v>212</v>
      </c>
      <c r="AU2" s="107" t="s">
        <v>213</v>
      </c>
      <c r="AV2" s="107" t="s">
        <v>214</v>
      </c>
      <c r="AW2" s="109" t="s">
        <v>215</v>
      </c>
      <c r="AX2" s="107" t="s">
        <v>216</v>
      </c>
      <c r="AY2" s="96" t="s">
        <v>217</v>
      </c>
      <c r="AZ2" s="107" t="s">
        <v>218</v>
      </c>
      <c r="BA2" s="107" t="s">
        <v>214</v>
      </c>
      <c r="BB2" s="109" t="s">
        <v>219</v>
      </c>
      <c r="BC2" s="107" t="s">
        <v>220</v>
      </c>
      <c r="BD2" s="110" t="s">
        <v>221</v>
      </c>
      <c r="BE2" s="107"/>
    </row>
    <row r="3" spans="1:57">
      <c r="A3" s="75" t="s">
        <v>89</v>
      </c>
      <c r="B3" s="111">
        <v>0.3</v>
      </c>
      <c r="C3" s="112">
        <v>0.2</v>
      </c>
      <c r="D3" s="113">
        <v>0.5</v>
      </c>
      <c r="E3" s="114"/>
      <c r="F3" s="115"/>
      <c r="G3" s="116"/>
      <c r="H3" s="116"/>
      <c r="I3" s="117"/>
      <c r="J3" s="118">
        <f t="array" ref="J3:J100">IF(ISBLANK($A3:$A100),"", _xlfn.LET(
 _xlpm.unidad,_xlfn.XLOOKUP(F3:F100, Actividad_data!$A$2:$A$100, Actividad_data!$B$2:$B$100,""),
 _xlpm.met, _xlfn.XLOOKUP(F3:F100, Actividad_data!$A$2:$A$100, Actividad_data!$C$2:$C$100,""),
 _xlpm.tiempo_rep, _xlfn.XLOOKUP(F3:F100, Actividad_data!$A$2:$A$100, Actividad_data!$D$2:$D$100,""),
 _xlpm.tiempo_descanso, _xlfn.XLOOKUP(F3:F100, Actividad_data!$A$2:$A$100, Actividad_data!$E$2:$E$100,""),
 _xlpm.tiempo_transicion, _xlfn.XLOOKUP(F3:F100, Actividad_data!$A$2:$A$100, Actividad_data!$F$2:$F$100,""),
 _xlpm.min_trabajo, G3:G100 * H3:H100 * _xlfn.XLOOKUP(F3:F100, Actividad_data!$A$2:$A$100, Actividad_data!$D$2:$D$100, "") / 60,
 _xlpm.min_transic, G3:G100 * _xlfn.XLOOKUP(F3:F100, Actividad_data!$A$2:$A$100, Actividad_data!$F$2:$F$100, "") / 60,
 _xlpm.min_descan, (G3:G100 - 1) * _xlfn.XLOOKUP(F3:F100,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G3:G100
   )
))</f>
        <v>0</v>
      </c>
      <c r="K3" s="115"/>
      <c r="L3" s="116"/>
      <c r="M3" s="116"/>
      <c r="N3" s="117"/>
      <c r="O3" s="118">
        <f t="array" ref="O3:O100">IF(ISBLANK($A3:$A100),"", _xlfn.LET(
 _xlpm.unidad,_xlfn.XLOOKUP(K3:K100, Actividad_data!$A$2:$A$100, Actividad_data!$B$2:$B$100,""),
 _xlpm.met, _xlfn.XLOOKUP(K3:K100, Actividad_data!$A$2:$A$100, Actividad_data!$C$2:$C$100,""),
 _xlpm.tiempo_rep, _xlfn.XLOOKUP(K3:K100, Actividad_data!$A$2:$A$100, Actividad_data!$D$2:$D$100,""),
 _xlpm.tiempo_descanso, _xlfn.XLOOKUP(K3:K100, Actividad_data!$A$2:$A$100, Actividad_data!$E$2:$E$100,""),
 _xlpm.tiempo_transicion, _xlfn.XLOOKUP(K3:K100, Actividad_data!$A$2:$A$100, Actividad_data!$F$2:$F$100,""),
 _xlpm.min_trabajo, L3:L100 * M3:M100 * _xlfn.XLOOKUP(K3:K100, Actividad_data!$A$2:$A$100, Actividad_data!$D$2:$D$100, "") / 60,
 _xlpm.min_transic, L3:L100 * _xlfn.XLOOKUP(K3:K100, Actividad_data!$A$2:$A$100, Actividad_data!$F$2:$F$100, "") / 60,
 _xlpm.min_descan, (L3:L100 - 1) * _xlfn.XLOOKUP(K3:K100,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L3:L100
   )
))</f>
        <v>0</v>
      </c>
      <c r="P3" s="115"/>
      <c r="Q3" s="116"/>
      <c r="R3" s="116"/>
      <c r="S3" s="117"/>
      <c r="T3" s="118">
        <f t="array" ref="T3:T100">IF(ISBLANK($A3:$A100),"", _xlfn.LET(
 _xlpm.unidad,_xlfn.XLOOKUP(P3:P100, Actividad_data!$A$2:$A$100, Actividad_data!$B$2:$B$100,""),
 _xlpm.met, _xlfn.XLOOKUP(P3:P100, Actividad_data!$A$2:$A$100, Actividad_data!$C$2:$C$100,""),
 _xlpm.tiempo_rep, _xlfn.XLOOKUP(P3:P100, Actividad_data!$A$2:$A$100, Actividad_data!$D$2:$D$100,""),
 _xlpm.tiempo_descanso, _xlfn.XLOOKUP(P3:P100, Actividad_data!$A$2:$A$100, Actividad_data!$E$2:$E$100,""),
 _xlpm.tiempo_transicion, _xlfn.XLOOKUP(P3:P100, Actividad_data!$A$2:$A$100, Actividad_data!$F$2:$F$100,""),
 _xlpm.min_trabajo, Q3:Q100 * R3:R100 * _xlfn.XLOOKUP(P3:P100, Actividad_data!$A$2:$A$100, Actividad_data!$D$2:$D$100, "") / 60,
 _xlpm.min_transic, Q3:Q100 * _xlfn.XLOOKUP(P3:P100, Actividad_data!$A$2:$A$100, Actividad_data!$F$2:$F$100, "") / 60,
 _xlpm.min_descan, (Q3:Q100 - 1) * _xlfn.XLOOKUP(P3:P100,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Q3:Q100
   )
))</f>
        <v>0</v>
      </c>
      <c r="U3" s="119"/>
      <c r="V3" s="120"/>
      <c r="W3" s="120"/>
      <c r="X3" s="121"/>
      <c r="Y3" s="118">
        <f t="array" ref="Y3:Y100">IF(ISBLANK($A3:$A100),"", _xlfn.LET(
 _xlpm.unidad,_xlfn.XLOOKUP(U3:U100, Actividad_data!$A$2:$A$100, Actividad_data!$B$2:$B$100,""),
 _xlpm.met, _xlfn.XLOOKUP(U3:U100, Actividad_data!$A$2:$A$100, Actividad_data!$C$2:$C$100,""),
 _xlpm.tiempo_rep, _xlfn.XLOOKUP(U3:U100, Actividad_data!$A$2:$A$100, Actividad_data!$D$2:$D$100,""),
 _xlpm.tiempo_descanso, _xlfn.XLOOKUP(U3:U100, Actividad_data!$A$2:$A$100, Actividad_data!$E$2:$E$100,""),
 _xlpm.tiempo_transicion, _xlfn.XLOOKUP(U3:U100, Actividad_data!$A$2:$A$100, Actividad_data!$F$2:$F$100,""),
 _xlpm.min_trabajo, V3:V100 * W3:W100 * _xlfn.XLOOKUP(U3:U100, Actividad_data!$A$2:$A$100, Actividad_data!$D$2:$D$100, "") / 60,
 _xlpm.min_transic, V3:V100 * _xlfn.XLOOKUP(U3:U100, Actividad_data!$A$2:$A$100, Actividad_data!$F$2:$F$100, "") / 60,
 _xlpm.min_descan, (V3:V100 - 1) * _xlfn.XLOOKUP(U3:U100,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V3:V100
   )
))</f>
        <v>0</v>
      </c>
      <c r="Z3" s="119"/>
      <c r="AA3" s="120"/>
      <c r="AB3" s="120"/>
      <c r="AC3" s="121"/>
      <c r="AD3" s="118">
        <f t="array" ref="AD3:AD100">IF(ISBLANK($A3:$A100),"", _xlfn.LET(
 _xlpm.unidad,_xlfn.XLOOKUP(Z3:Z100, Actividad_data!$A$2:$A$100, Actividad_data!$B$2:$B$100,""),
 _xlpm.met, _xlfn.XLOOKUP(Z3:Z100, Actividad_data!$A$2:$A$100, Actividad_data!$C$2:$C$100,""),
 _xlpm.tiempo_rep, _xlfn.XLOOKUP(Z3:Z100, Actividad_data!$A$2:$A$100, Actividad_data!$D$2:$D$100,""),
 _xlpm.tiempo_descanso, _xlfn.XLOOKUP(Z3:Z100, Actividad_data!$A$2:$A$100, Actividad_data!$E$2:$E$100,""),
 _xlpm.tiempo_transicion, _xlfn.XLOOKUP(Z3:Z100, Actividad_data!$A$2:$A$100, Actividad_data!$F$2:$F$100,""),
 _xlpm.min_trabajo, AA3:AA100 * AB3:AB100 * _xlfn.XLOOKUP(Z3:Z100, Actividad_data!$A$2:$A$100, Actividad_data!$D$2:$D$100, "") / 60,
 _xlpm.min_transic, AA3:AA100 * _xlfn.XLOOKUP(Z3:Z100, Actividad_data!$A$2:$A$100, Actividad_data!$F$2:$F$100, "") / 60,
 _xlpm.min_descan, (AA3:AA100 - 1) * _xlfn.XLOOKUP(Z3:Z100,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AA3:AA100
   )
))</f>
        <v>0</v>
      </c>
      <c r="AE3" s="119"/>
      <c r="AF3" s="120"/>
      <c r="AG3" s="120"/>
      <c r="AH3" s="121"/>
      <c r="AI3" s="118">
        <f t="array" ref="AI3:AI100">IF(ISBLANK($A3:$A100),"", _xlfn.LET(
 _xlpm.unidad,_xlfn.XLOOKUP(AE3:AE100, Actividad_data!$A$2:$A$100, Actividad_data!$B$2:$B$100,""),
 _xlpm.met, _xlfn.XLOOKUP(AE3:AE100, Actividad_data!$A$2:$A$100, Actividad_data!$C$2:$C$100,""),
 _xlpm.tiempo_rep, _xlfn.XLOOKUP(AE3:AE100, Actividad_data!$A$2:$A$100, Actividad_data!$D$2:$D$100,""),
 _xlpm.tiempo_descanso, _xlfn.XLOOKUP(AE3:AE100, Actividad_data!$A$2:$A$100, Actividad_data!$E$2:$E$100,""),
 _xlpm.tiempo_transicion, _xlfn.XLOOKUP(AE3:AE100, Actividad_data!$A$2:$A$100, Actividad_data!$F$2:$F$100,""),
 _xlpm.min_trabajo, AF3:AF100 * AG3:AG100 * _xlfn.XLOOKUP(AE3:AE100, Actividad_data!$A$2:$A$100, Actividad_data!$D$2:$D$100, "") / 60,
 _xlpm.min_transic, AF3:AF100 * _xlfn.XLOOKUP(AE3:AE100, Actividad_data!$A$2:$A$100, Actividad_data!$F$2:$F$100, "") / 60,
 _xlpm.min_descan, (AF3:AF100 - 1) * _xlfn.XLOOKUP(AE3:AE100,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AF3:AF100
   )
))</f>
        <v>0</v>
      </c>
      <c r="AJ3" s="119"/>
      <c r="AK3" s="120"/>
      <c r="AL3" s="120"/>
      <c r="AM3" s="121"/>
      <c r="AN3" s="118">
        <f t="array" ref="AN3:AN100">IF(ISBLANK($A3:$A100),"", _xlfn.LET(
 _xlpm.unidad,_xlfn.XLOOKUP(AJ3:AJ100, Actividad_data!$A$2:$A$100, Actividad_data!$B$2:$B$100,""),
 _xlpm.met, _xlfn.XLOOKUP(AJ3:AJ100, Actividad_data!$A$2:$A$100, Actividad_data!$C$2:$C$100,""),
 _xlpm.tiempo_rep, _xlfn.XLOOKUP(AJ3:AJ100, Actividad_data!$A$2:$A$100, Actividad_data!$D$2:$D$100,""),
 _xlpm.tiempo_descanso, _xlfn.XLOOKUP(AJ3:AJ100, Actividad_data!$A$2:$A$100, Actividad_data!$E$2:$E$100,""),
 _xlpm.tiempo_transicion, _xlfn.XLOOKUP(AJ3:AJ100, Actividad_data!$A$2:$A$100, Actividad_data!$F$2:$F$100,""),
 _xlpm.min_trabajo, AK3:AK100 * AL3:AL100 * _xlfn.XLOOKUP(AJ3:AJ100, Actividad_data!$A$2:$A$100, Actividad_data!$D$2:$D$100, "") / 60,
 _xlpm.min_transic, AK3:AK100 * _xlfn.XLOOKUP(AJ3:AJ100, Actividad_data!$A$2:$A$100, Actividad_data!$F$2:$F$100, "") / 60,
 _xlpm.min_descan, (AK3:AK100 - 1) * _xlfn.XLOOKUP(AJ3:AJ100,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AK3:AK100
   )
))</f>
        <v>0</v>
      </c>
      <c r="AO3" s="119"/>
      <c r="AP3" s="120"/>
      <c r="AQ3" s="120"/>
      <c r="AR3" s="121"/>
      <c r="AS3" s="118">
        <f t="array" ref="AS3:AS100">IF(ISBLANK($A3:$A100),"", _xlfn.LET(
 _xlpm.unidad,_xlfn.XLOOKUP(AO3:AO100, Actividad_data!$A$2:$A$100, Actividad_data!$B$2:$B$100,""),
 _xlpm.met, _xlfn.XLOOKUP(AO3:AO100, Actividad_data!$A$2:$A$100, Actividad_data!$C$2:$C$100,""),
 _xlpm.tiempo_rep, _xlfn.XLOOKUP(AO3:AO100, Actividad_data!$A$2:$A$100, Actividad_data!$D$2:$D$100,""),
 _xlpm.tiempo_descanso, _xlfn.XLOOKUP(AO3:AO100, Actividad_data!$A$2:$A$100, Actividad_data!$E$2:$E$100,""),
 _xlpm.tiempo_transicion, _xlfn.XLOOKUP(AO3:AO100, Actividad_data!$A$2:$A$100, Actividad_data!$F$2:$F$100,""),
 _xlpm.min_trabajo, AP3:AP100 * AQ3:AQ100 * _xlfn.XLOOKUP(AO3:AO100, Actividad_data!$A$2:$A$100, Actividad_data!$D$2:$D$100, "") / 60,
 _xlpm.min_transic, AP3:AP100 * _xlfn.XLOOKUP(AO3:AO100, Actividad_data!$A$2:$A$100, Actividad_data!$F$2:$F$100, "") / 60,
 _xlpm.min_descan, (AP3:AP100 - 1) * _xlfn.XLOOKUP(AO3:AO100,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AP3:AP100
   )
))</f>
        <v>0</v>
      </c>
      <c r="AT3" s="119"/>
      <c r="AU3" s="120"/>
      <c r="AV3" s="120"/>
      <c r="AW3" s="121"/>
      <c r="AX3" s="118">
        <f t="array" ref="AX3:AX100">IF(ISBLANK($A3:$A100),"", _xlfn.LET(
 _xlpm.unidad,_xlfn.XLOOKUP(AT3:AT100, Actividad_data!$A$2:$A$100, Actividad_data!$B$2:$B$100,""),
 _xlpm.met, _xlfn.XLOOKUP(AT3:AT100, Actividad_data!$A$2:$A$100, Actividad_data!$C$2:$C$100,""),
 _xlpm.tiempo_rep, _xlfn.XLOOKUP(AT3:AT100, Actividad_data!$A$2:$A$100, Actividad_data!$D$2:$D$100,""),
 _xlpm.tiempo_descanso, _xlfn.XLOOKUP(AT3:AT100, Actividad_data!$A$2:$A$100, Actividad_data!$E$2:$E$100,""),
 _xlpm.tiempo_transicion, _xlfn.XLOOKUP(AT3:AT100, Actividad_data!$A$2:$A$100, Actividad_data!$F$2:$F$100,""),
 _xlpm.min_trabajo, AU3:AU100 * AV3:AV100 * _xlfn.XLOOKUP(AT3:AT100, Actividad_data!$A$2:$A$100, Actividad_data!$D$2:$D$100, "") / 60,
 _xlpm.min_transic, AU3:AU100 * _xlfn.XLOOKUP(AT3:AT100, Actividad_data!$A$2:$A$100, Actividad_data!$F$2:$F$100, "") / 60,
 _xlpm.min_descan, (AU3:AU100 - 1) * _xlfn.XLOOKUP(AT3:AT100,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AU3:AU100
   )
))</f>
        <v>0</v>
      </c>
      <c r="AY3" s="119"/>
      <c r="AZ3" s="120"/>
      <c r="BA3" s="120"/>
      <c r="BB3" s="121"/>
      <c r="BC3" s="118">
        <f t="array" ref="BC3:BC100">IF(ISBLANK($A3:$A100),"", _xlfn.LET(
 _xlpm.unidad,_xlfn.XLOOKUP(AY3:AY100, Actividad_data!$A$2:$A$100, Actividad_data!$B$2:$B$100,""),
 _xlpm.met, _xlfn.XLOOKUP(AY3:AY100, Actividad_data!$A$2:$A$100, Actividad_data!$C$2:$C$100,""),
 _xlpm.tiempo_rep, _xlfn.XLOOKUP(AY3:AY100, Actividad_data!$A$2:$A$100, Actividad_data!$D$2:$D$100,""),
 _xlpm.tiempo_descanso, _xlfn.XLOOKUP(AY3:AY100, Actividad_data!$A$2:$A$100, Actividad_data!$E$2:$E$100,""),
 _xlpm.tiempo_transicion, _xlfn.XLOOKUP(AY3:AY100, Actividad_data!$A$2:$A$100, Actividad_data!$F$2:$F$100,""),
 _xlpm.min_trabajo, AZ3:AZ100 * BA3:BA100 * _xlfn.XLOOKUP(AY3:AY100, Actividad_data!$A$2:$A$100, Actividad_data!$D$2:$D$100, "") / 60,
 _xlpm.min_transic, AZ3:AZ100 * _xlfn.XLOOKUP(AY3:AY100, Actividad_data!$A$2:$A$100, Actividad_data!$F$2:$F$100, "") / 60,
 _xlpm.min_descan, (AZ3:AZ100 - 1) * _xlfn.XLOOKUP(AY3:AY100,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AZ3:AZ100
   )
))</f>
        <v>0</v>
      </c>
      <c r="BD3" s="122">
        <f t="array" ref="BD3:BD100">IF(ISBLANK($A3:$A100),"", J3:J100 + O3:O100 + T3:T100 + Y3:Y100 + AD3:AD100 + AI3:AI100 + AN3:AN100 + AS3:AS100 + AX3:AX100 + BC3:BC100)</f>
        <v>0</v>
      </c>
      <c r="BE3" s="123"/>
    </row>
    <row r="4" spans="1:57">
      <c r="A4" s="75" t="s">
        <v>568</v>
      </c>
      <c r="B4" s="111">
        <v>0.3</v>
      </c>
      <c r="C4" s="112">
        <v>0.25</v>
      </c>
      <c r="D4" s="113">
        <v>0.45</v>
      </c>
      <c r="E4" s="114"/>
      <c r="F4" s="124" t="s">
        <v>156</v>
      </c>
      <c r="G4" s="125">
        <v>6</v>
      </c>
      <c r="H4" s="116"/>
      <c r="I4" s="117"/>
      <c r="J4" s="126">
        <v>0.2</v>
      </c>
      <c r="K4" s="124" t="s">
        <v>154</v>
      </c>
      <c r="L4" s="125">
        <v>8</v>
      </c>
      <c r="M4" s="116"/>
      <c r="N4" s="117"/>
      <c r="O4" s="127">
        <v>0.30666666666666664</v>
      </c>
      <c r="P4" s="115"/>
      <c r="Q4" s="116"/>
      <c r="R4" s="116"/>
      <c r="S4" s="117"/>
      <c r="T4" s="127">
        <v>0</v>
      </c>
      <c r="U4" s="119"/>
      <c r="V4" s="120"/>
      <c r="W4" s="120"/>
      <c r="X4" s="121"/>
      <c r="Y4" s="128">
        <v>0</v>
      </c>
      <c r="Z4" s="119"/>
      <c r="AA4" s="120"/>
      <c r="AB4" s="120"/>
      <c r="AC4" s="121"/>
      <c r="AD4" s="128">
        <v>0</v>
      </c>
      <c r="AE4" s="119"/>
      <c r="AF4" s="120"/>
      <c r="AG4" s="120"/>
      <c r="AH4" s="121"/>
      <c r="AI4" s="128">
        <v>0</v>
      </c>
      <c r="AJ4" s="119"/>
      <c r="AK4" s="120"/>
      <c r="AL4" s="120"/>
      <c r="AM4" s="121"/>
      <c r="AN4" s="128">
        <v>0</v>
      </c>
      <c r="AO4" s="119"/>
      <c r="AP4" s="120"/>
      <c r="AQ4" s="120"/>
      <c r="AR4" s="121"/>
      <c r="AS4" s="128">
        <v>0</v>
      </c>
      <c r="AT4" s="119"/>
      <c r="AU4" s="120"/>
      <c r="AV4" s="120"/>
      <c r="AW4" s="121"/>
      <c r="AX4" s="128">
        <v>0</v>
      </c>
      <c r="AY4" s="119"/>
      <c r="AZ4" s="120"/>
      <c r="BA4" s="120"/>
      <c r="BB4" s="121"/>
      <c r="BC4" s="128">
        <v>0</v>
      </c>
      <c r="BD4" s="129">
        <v>0.5066666666666666</v>
      </c>
      <c r="BE4" s="123"/>
    </row>
    <row r="5" spans="1:57">
      <c r="A5" s="75" t="s">
        <v>222</v>
      </c>
      <c r="B5" s="111">
        <v>0.35</v>
      </c>
      <c r="C5" s="112">
        <v>0.4</v>
      </c>
      <c r="D5" s="113">
        <v>0.25</v>
      </c>
      <c r="E5" s="114"/>
      <c r="F5" s="124" t="s">
        <v>138</v>
      </c>
      <c r="G5" s="125">
        <v>80</v>
      </c>
      <c r="H5" s="125"/>
      <c r="I5" s="117"/>
      <c r="J5" s="126">
        <v>4.666666666666667</v>
      </c>
      <c r="K5" s="115"/>
      <c r="L5" s="116"/>
      <c r="M5" s="116"/>
      <c r="N5" s="117"/>
      <c r="O5" s="127">
        <v>0</v>
      </c>
      <c r="P5" s="115"/>
      <c r="Q5" s="116"/>
      <c r="R5" s="116"/>
      <c r="S5" s="117"/>
      <c r="T5" s="127">
        <v>0</v>
      </c>
      <c r="U5" s="119"/>
      <c r="V5" s="120"/>
      <c r="W5" s="120"/>
      <c r="X5" s="121"/>
      <c r="Y5" s="128">
        <v>0</v>
      </c>
      <c r="Z5" s="119"/>
      <c r="AA5" s="120"/>
      <c r="AB5" s="120"/>
      <c r="AC5" s="121"/>
      <c r="AD5" s="128">
        <v>0</v>
      </c>
      <c r="AE5" s="119"/>
      <c r="AF5" s="120"/>
      <c r="AG5" s="120"/>
      <c r="AH5" s="121"/>
      <c r="AI5" s="128">
        <v>0</v>
      </c>
      <c r="AJ5" s="119"/>
      <c r="AK5" s="120"/>
      <c r="AL5" s="120"/>
      <c r="AM5" s="121"/>
      <c r="AN5" s="128">
        <v>0</v>
      </c>
      <c r="AO5" s="119"/>
      <c r="AP5" s="120"/>
      <c r="AQ5" s="120"/>
      <c r="AR5" s="121"/>
      <c r="AS5" s="128">
        <v>0</v>
      </c>
      <c r="AT5" s="119"/>
      <c r="AU5" s="120"/>
      <c r="AV5" s="120"/>
      <c r="AW5" s="121"/>
      <c r="AX5" s="128">
        <v>0</v>
      </c>
      <c r="AY5" s="119"/>
      <c r="AZ5" s="120"/>
      <c r="BA5" s="120"/>
      <c r="BB5" s="121"/>
      <c r="BC5" s="128">
        <v>0</v>
      </c>
      <c r="BD5" s="129">
        <v>4.666666666666667</v>
      </c>
      <c r="BE5" s="123"/>
    </row>
    <row r="6" spans="1:57">
      <c r="A6" s="75" t="s">
        <v>80</v>
      </c>
      <c r="B6" s="111">
        <v>0.35</v>
      </c>
      <c r="C6" s="112">
        <v>0.4</v>
      </c>
      <c r="D6" s="113">
        <v>0.25</v>
      </c>
      <c r="E6" s="114"/>
      <c r="F6" s="124" t="s">
        <v>105</v>
      </c>
      <c r="G6" s="125">
        <v>4</v>
      </c>
      <c r="H6" s="125">
        <v>8</v>
      </c>
      <c r="I6" s="130">
        <v>30</v>
      </c>
      <c r="J6" s="126">
        <v>0.34138888888888885</v>
      </c>
      <c r="K6" s="124" t="s">
        <v>111</v>
      </c>
      <c r="L6" s="125">
        <v>4</v>
      </c>
      <c r="M6" s="125">
        <v>10</v>
      </c>
      <c r="N6" s="130">
        <v>30</v>
      </c>
      <c r="O6" s="126">
        <v>0.41249999999999998</v>
      </c>
      <c r="P6" s="124" t="s">
        <v>114</v>
      </c>
      <c r="Q6" s="125">
        <v>3</v>
      </c>
      <c r="R6" s="125">
        <v>9</v>
      </c>
      <c r="S6" s="130">
        <v>20</v>
      </c>
      <c r="T6" s="126">
        <v>0.28000000000000003</v>
      </c>
      <c r="U6" s="131" t="s">
        <v>119</v>
      </c>
      <c r="V6" s="132">
        <v>4</v>
      </c>
      <c r="W6" s="132">
        <v>8</v>
      </c>
      <c r="X6" s="133">
        <v>40</v>
      </c>
      <c r="Y6" s="126">
        <v>0.37694444444444447</v>
      </c>
      <c r="Z6" s="131" t="s">
        <v>122</v>
      </c>
      <c r="AA6" s="134">
        <v>3</v>
      </c>
      <c r="AB6" s="134">
        <v>10</v>
      </c>
      <c r="AC6" s="133">
        <v>40</v>
      </c>
      <c r="AD6" s="126">
        <v>0.31666666666666665</v>
      </c>
      <c r="AE6" s="131" t="s">
        <v>126</v>
      </c>
      <c r="AF6" s="134">
        <v>3</v>
      </c>
      <c r="AG6" s="134">
        <v>12</v>
      </c>
      <c r="AH6" s="135">
        <v>30</v>
      </c>
      <c r="AI6" s="126">
        <v>0.24</v>
      </c>
      <c r="AJ6" s="131" t="s">
        <v>128</v>
      </c>
      <c r="AK6" s="134">
        <v>3</v>
      </c>
      <c r="AL6" s="132"/>
      <c r="AM6" s="135"/>
      <c r="AN6" s="126">
        <v>0.17499999999999999</v>
      </c>
      <c r="AO6" s="131" t="s">
        <v>131</v>
      </c>
      <c r="AP6" s="134">
        <v>3</v>
      </c>
      <c r="AQ6" s="134">
        <v>16</v>
      </c>
      <c r="AR6" s="133">
        <v>0</v>
      </c>
      <c r="AS6" s="126">
        <v>0.26</v>
      </c>
      <c r="AT6" s="131" t="s">
        <v>156</v>
      </c>
      <c r="AU6" s="134">
        <v>6</v>
      </c>
      <c r="AV6" s="132"/>
      <c r="AW6" s="135"/>
      <c r="AX6" s="126">
        <v>0.2</v>
      </c>
      <c r="AY6" s="131" t="s">
        <v>154</v>
      </c>
      <c r="AZ6" s="132">
        <v>4</v>
      </c>
      <c r="BA6" s="132"/>
      <c r="BB6" s="135"/>
      <c r="BC6" s="126">
        <v>0.15333333333333332</v>
      </c>
      <c r="BD6" s="129">
        <v>2.7558333333333334</v>
      </c>
      <c r="BE6" s="102">
        <f t="shared" ref="BE6:BE7" si="0">ROUND(BD6 * $BE$1,0)</f>
        <v>220</v>
      </c>
    </row>
    <row r="7" spans="1:57">
      <c r="A7" s="75" t="s">
        <v>83</v>
      </c>
      <c r="B7" s="111">
        <v>0.35</v>
      </c>
      <c r="C7" s="112">
        <v>0.4</v>
      </c>
      <c r="D7" s="113">
        <v>0.25</v>
      </c>
      <c r="E7" s="114"/>
      <c r="F7" s="124" t="s">
        <v>106</v>
      </c>
      <c r="G7" s="125">
        <v>4</v>
      </c>
      <c r="H7" s="125">
        <v>8</v>
      </c>
      <c r="I7" s="130">
        <v>30</v>
      </c>
      <c r="J7" s="127">
        <v>0.34138888888888885</v>
      </c>
      <c r="K7" s="124" t="s">
        <v>112</v>
      </c>
      <c r="L7" s="125">
        <v>3</v>
      </c>
      <c r="M7" s="125">
        <v>10</v>
      </c>
      <c r="N7" s="130">
        <v>20</v>
      </c>
      <c r="O7" s="127">
        <v>0.28333333333333333</v>
      </c>
      <c r="P7" s="131" t="s">
        <v>114</v>
      </c>
      <c r="Q7" s="134">
        <v>3</v>
      </c>
      <c r="R7" s="134">
        <v>9</v>
      </c>
      <c r="S7" s="133">
        <v>20</v>
      </c>
      <c r="T7" s="127">
        <v>0.28000000000000003</v>
      </c>
      <c r="U7" s="131" t="s">
        <v>115</v>
      </c>
      <c r="V7" s="134">
        <v>3</v>
      </c>
      <c r="W7" s="134">
        <v>13</v>
      </c>
      <c r="X7" s="133">
        <v>8</v>
      </c>
      <c r="Y7" s="127">
        <v>0.27333333333333332</v>
      </c>
      <c r="Z7" s="131" t="s">
        <v>116</v>
      </c>
      <c r="AA7" s="134">
        <v>3</v>
      </c>
      <c r="AB7" s="134">
        <v>11</v>
      </c>
      <c r="AC7" s="133">
        <v>15</v>
      </c>
      <c r="AD7" s="127">
        <v>0.22833333333333336</v>
      </c>
      <c r="AE7" s="131" t="s">
        <v>118</v>
      </c>
      <c r="AF7" s="134">
        <v>3</v>
      </c>
      <c r="AG7" s="134">
        <v>11</v>
      </c>
      <c r="AH7" s="133">
        <v>15</v>
      </c>
      <c r="AI7" s="127">
        <v>0.22833333333333336</v>
      </c>
      <c r="AJ7" s="131" t="s">
        <v>130</v>
      </c>
      <c r="AK7" s="134">
        <v>4</v>
      </c>
      <c r="AL7" s="120"/>
      <c r="AM7" s="121"/>
      <c r="AN7" s="127">
        <v>0.23333333333333334</v>
      </c>
      <c r="AO7" s="131" t="s">
        <v>133</v>
      </c>
      <c r="AP7" s="134">
        <v>3</v>
      </c>
      <c r="AQ7" s="134">
        <v>20</v>
      </c>
      <c r="AR7" s="133">
        <v>5</v>
      </c>
      <c r="AS7" s="127">
        <v>0.3666666666666667</v>
      </c>
      <c r="AT7" s="131" t="s">
        <v>156</v>
      </c>
      <c r="AU7" s="134">
        <v>6</v>
      </c>
      <c r="AV7" s="120"/>
      <c r="AW7" s="121"/>
      <c r="AX7" s="127">
        <v>0.2</v>
      </c>
      <c r="AY7" s="131" t="s">
        <v>154</v>
      </c>
      <c r="AZ7" s="134">
        <v>4</v>
      </c>
      <c r="BA7" s="120"/>
      <c r="BB7" s="121"/>
      <c r="BC7" s="127">
        <v>0.15333333333333332</v>
      </c>
      <c r="BD7" s="136">
        <v>2.5880555555555556</v>
      </c>
      <c r="BE7" s="102">
        <f t="shared" si="0"/>
        <v>207</v>
      </c>
    </row>
    <row r="8" spans="1:57">
      <c r="A8" s="75" t="s">
        <v>87</v>
      </c>
      <c r="B8" s="111">
        <v>0.35</v>
      </c>
      <c r="C8" s="112">
        <v>0.4</v>
      </c>
      <c r="D8" s="113">
        <v>0.25</v>
      </c>
      <c r="E8" s="114"/>
      <c r="F8" s="124" t="s">
        <v>120</v>
      </c>
      <c r="G8" s="125">
        <v>4</v>
      </c>
      <c r="H8" s="125">
        <v>10</v>
      </c>
      <c r="I8" s="130">
        <v>20</v>
      </c>
      <c r="J8" s="127">
        <v>0.41249999999999998</v>
      </c>
      <c r="K8" s="124" t="s">
        <v>121</v>
      </c>
      <c r="L8" s="125">
        <v>4</v>
      </c>
      <c r="M8" s="125">
        <v>7</v>
      </c>
      <c r="N8" s="130">
        <v>50</v>
      </c>
      <c r="O8" s="127">
        <v>0.36361111111111111</v>
      </c>
      <c r="P8" s="124" t="s">
        <v>123</v>
      </c>
      <c r="Q8" s="125">
        <v>3</v>
      </c>
      <c r="R8" s="125">
        <v>11</v>
      </c>
      <c r="S8" s="130">
        <v>12</v>
      </c>
      <c r="T8" s="127">
        <v>0.32000000000000006</v>
      </c>
      <c r="U8" s="131" t="s">
        <v>125</v>
      </c>
      <c r="V8" s="134">
        <v>3</v>
      </c>
      <c r="W8" s="134">
        <v>10</v>
      </c>
      <c r="X8" s="130">
        <v>40</v>
      </c>
      <c r="Y8" s="128">
        <v>0.28333333333333333</v>
      </c>
      <c r="Z8" s="131" t="s">
        <v>124</v>
      </c>
      <c r="AA8" s="134">
        <v>3</v>
      </c>
      <c r="AB8" s="134">
        <v>11</v>
      </c>
      <c r="AC8" s="130">
        <v>80</v>
      </c>
      <c r="AD8" s="128">
        <v>0.32000000000000006</v>
      </c>
      <c r="AE8" s="131" t="s">
        <v>126</v>
      </c>
      <c r="AF8" s="134">
        <v>3</v>
      </c>
      <c r="AG8" s="134">
        <v>13</v>
      </c>
      <c r="AH8" s="130">
        <v>30</v>
      </c>
      <c r="AI8" s="128">
        <v>0.25166666666666671</v>
      </c>
      <c r="AJ8" s="131" t="s">
        <v>128</v>
      </c>
      <c r="AK8" s="134">
        <v>3</v>
      </c>
      <c r="AL8" s="120"/>
      <c r="AM8" s="121"/>
      <c r="AN8" s="128">
        <v>0.17499999999999999</v>
      </c>
      <c r="AO8" s="131" t="s">
        <v>132</v>
      </c>
      <c r="AP8" s="134">
        <v>3</v>
      </c>
      <c r="AQ8" s="134">
        <v>12</v>
      </c>
      <c r="AR8" s="133">
        <v>0</v>
      </c>
      <c r="AS8" s="128">
        <v>0.26</v>
      </c>
      <c r="AT8" s="131" t="s">
        <v>156</v>
      </c>
      <c r="AU8" s="134">
        <v>6</v>
      </c>
      <c r="AV8" s="120"/>
      <c r="AW8" s="121"/>
      <c r="AX8" s="128">
        <v>0.2</v>
      </c>
      <c r="AY8" s="131" t="s">
        <v>154</v>
      </c>
      <c r="AZ8" s="134">
        <v>4</v>
      </c>
      <c r="BA8" s="120"/>
      <c r="BB8" s="121"/>
      <c r="BC8" s="128">
        <v>0.15333333333333332</v>
      </c>
      <c r="BD8" s="136">
        <v>2.7394444444444446</v>
      </c>
      <c r="BE8" s="123"/>
    </row>
    <row r="9" spans="1:57">
      <c r="A9" s="43"/>
      <c r="B9" s="137"/>
      <c r="C9" s="138"/>
      <c r="D9" s="139"/>
      <c r="E9" s="114"/>
      <c r="F9" s="115"/>
      <c r="G9" s="116"/>
      <c r="H9" s="116"/>
      <c r="I9" s="117"/>
      <c r="J9" s="127" t="str">
        <v/>
      </c>
      <c r="K9" s="115"/>
      <c r="L9" s="116"/>
      <c r="M9" s="116"/>
      <c r="N9" s="117"/>
      <c r="O9" s="127" t="str">
        <v/>
      </c>
      <c r="P9" s="115"/>
      <c r="Q9" s="116"/>
      <c r="R9" s="116"/>
      <c r="S9" s="117"/>
      <c r="T9" s="127" t="str">
        <v/>
      </c>
      <c r="U9" s="119"/>
      <c r="V9" s="120"/>
      <c r="W9" s="120"/>
      <c r="X9" s="121"/>
      <c r="Y9" s="128" t="str">
        <v/>
      </c>
      <c r="Z9" s="119"/>
      <c r="AA9" s="120"/>
      <c r="AB9" s="120"/>
      <c r="AC9" s="121"/>
      <c r="AD9" s="128" t="str">
        <v/>
      </c>
      <c r="AE9" s="119"/>
      <c r="AF9" s="120"/>
      <c r="AG9" s="120"/>
      <c r="AH9" s="121"/>
      <c r="AI9" s="128" t="str">
        <v/>
      </c>
      <c r="AJ9" s="119"/>
      <c r="AK9" s="120"/>
      <c r="AL9" s="120"/>
      <c r="AM9" s="121"/>
      <c r="AN9" s="128" t="str">
        <v/>
      </c>
      <c r="AO9" s="119"/>
      <c r="AP9" s="120"/>
      <c r="AQ9" s="120"/>
      <c r="AR9" s="121"/>
      <c r="AS9" s="128" t="str">
        <v/>
      </c>
      <c r="AT9" s="119"/>
      <c r="AU9" s="120"/>
      <c r="AV9" s="120"/>
      <c r="AW9" s="121"/>
      <c r="AX9" s="128" t="str">
        <v/>
      </c>
      <c r="AY9" s="119"/>
      <c r="AZ9" s="120"/>
      <c r="BA9" s="120"/>
      <c r="BB9" s="121"/>
      <c r="BC9" s="128" t="str">
        <v/>
      </c>
      <c r="BD9" s="136" t="str">
        <v/>
      </c>
      <c r="BE9" s="123"/>
    </row>
    <row r="10" spans="1:57">
      <c r="A10" s="43"/>
      <c r="B10" s="137"/>
      <c r="C10" s="138"/>
      <c r="D10" s="139"/>
      <c r="E10" s="114"/>
      <c r="F10" s="115"/>
      <c r="G10" s="116"/>
      <c r="H10" s="116"/>
      <c r="I10" s="117"/>
      <c r="J10" s="127" t="str">
        <v/>
      </c>
      <c r="K10" s="115"/>
      <c r="L10" s="116"/>
      <c r="M10" s="116"/>
      <c r="N10" s="117"/>
      <c r="O10" s="127" t="str">
        <v/>
      </c>
      <c r="P10" s="115"/>
      <c r="Q10" s="116"/>
      <c r="R10" s="116"/>
      <c r="S10" s="117"/>
      <c r="T10" s="127" t="str">
        <v/>
      </c>
      <c r="U10" s="119"/>
      <c r="V10" s="120"/>
      <c r="W10" s="120"/>
      <c r="X10" s="121"/>
      <c r="Y10" s="128" t="str">
        <v/>
      </c>
      <c r="Z10" s="119"/>
      <c r="AA10" s="120"/>
      <c r="AB10" s="120"/>
      <c r="AC10" s="121"/>
      <c r="AD10" s="128" t="str">
        <v/>
      </c>
      <c r="AE10" s="119"/>
      <c r="AF10" s="120"/>
      <c r="AG10" s="120"/>
      <c r="AH10" s="121"/>
      <c r="AI10" s="128" t="str">
        <v/>
      </c>
      <c r="AJ10" s="119"/>
      <c r="AK10" s="120"/>
      <c r="AL10" s="120"/>
      <c r="AM10" s="121"/>
      <c r="AN10" s="128" t="str">
        <v/>
      </c>
      <c r="AO10" s="119"/>
      <c r="AP10" s="120"/>
      <c r="AQ10" s="120"/>
      <c r="AR10" s="121"/>
      <c r="AS10" s="128" t="str">
        <v/>
      </c>
      <c r="AT10" s="119"/>
      <c r="AU10" s="120"/>
      <c r="AV10" s="120"/>
      <c r="AW10" s="121"/>
      <c r="AX10" s="128" t="str">
        <v/>
      </c>
      <c r="AY10" s="119"/>
      <c r="AZ10" s="120"/>
      <c r="BA10" s="120"/>
      <c r="BB10" s="121"/>
      <c r="BC10" s="128" t="str">
        <v/>
      </c>
      <c r="BD10" s="136" t="str">
        <v/>
      </c>
      <c r="BE10" s="123"/>
    </row>
    <row r="11" spans="1:57">
      <c r="A11" s="43"/>
      <c r="B11" s="137"/>
      <c r="C11" s="138"/>
      <c r="D11" s="139"/>
      <c r="E11" s="114"/>
      <c r="F11" s="115"/>
      <c r="G11" s="116"/>
      <c r="H11" s="116"/>
      <c r="I11" s="117"/>
      <c r="J11" s="127" t="str">
        <v/>
      </c>
      <c r="K11" s="115"/>
      <c r="L11" s="116"/>
      <c r="M11" s="116"/>
      <c r="N11" s="117"/>
      <c r="O11" s="127" t="str">
        <v/>
      </c>
      <c r="P11" s="115"/>
      <c r="Q11" s="116"/>
      <c r="R11" s="116"/>
      <c r="S11" s="117"/>
      <c r="T11" s="127" t="str">
        <v/>
      </c>
      <c r="U11" s="119"/>
      <c r="V11" s="120"/>
      <c r="W11" s="120"/>
      <c r="X11" s="121"/>
      <c r="Y11" s="128" t="str">
        <v/>
      </c>
      <c r="Z11" s="119"/>
      <c r="AA11" s="120"/>
      <c r="AB11" s="120"/>
      <c r="AC11" s="121"/>
      <c r="AD11" s="128" t="str">
        <v/>
      </c>
      <c r="AE11" s="119"/>
      <c r="AF11" s="120"/>
      <c r="AG11" s="120"/>
      <c r="AH11" s="121"/>
      <c r="AI11" s="128" t="str">
        <v/>
      </c>
      <c r="AJ11" s="119"/>
      <c r="AK11" s="120"/>
      <c r="AL11" s="120"/>
      <c r="AM11" s="121"/>
      <c r="AN11" s="128" t="str">
        <v/>
      </c>
      <c r="AO11" s="119"/>
      <c r="AP11" s="120"/>
      <c r="AQ11" s="120"/>
      <c r="AR11" s="121"/>
      <c r="AS11" s="128" t="str">
        <v/>
      </c>
      <c r="AT11" s="119"/>
      <c r="AU11" s="120"/>
      <c r="AV11" s="120"/>
      <c r="AW11" s="121"/>
      <c r="AX11" s="128" t="str">
        <v/>
      </c>
      <c r="AY11" s="119"/>
      <c r="AZ11" s="120"/>
      <c r="BA11" s="120"/>
      <c r="BB11" s="121"/>
      <c r="BC11" s="128" t="str">
        <v/>
      </c>
      <c r="BD11" s="136" t="str">
        <v/>
      </c>
      <c r="BE11" s="123"/>
    </row>
    <row r="12" spans="1:57">
      <c r="A12" s="43"/>
      <c r="B12" s="137"/>
      <c r="C12" s="138"/>
      <c r="D12" s="139"/>
      <c r="E12" s="114"/>
      <c r="F12" s="115"/>
      <c r="G12" s="116"/>
      <c r="H12" s="116"/>
      <c r="I12" s="117"/>
      <c r="J12" s="127" t="str">
        <v/>
      </c>
      <c r="K12" s="115"/>
      <c r="L12" s="116"/>
      <c r="M12" s="116"/>
      <c r="N12" s="117"/>
      <c r="O12" s="127" t="str">
        <v/>
      </c>
      <c r="P12" s="115"/>
      <c r="Q12" s="116"/>
      <c r="R12" s="116"/>
      <c r="S12" s="117"/>
      <c r="T12" s="127" t="str">
        <v/>
      </c>
      <c r="U12" s="119"/>
      <c r="V12" s="120"/>
      <c r="W12" s="120"/>
      <c r="X12" s="121"/>
      <c r="Y12" s="128" t="str">
        <v/>
      </c>
      <c r="Z12" s="119"/>
      <c r="AA12" s="120"/>
      <c r="AB12" s="120"/>
      <c r="AC12" s="121"/>
      <c r="AD12" s="128" t="str">
        <v/>
      </c>
      <c r="AE12" s="119"/>
      <c r="AF12" s="120"/>
      <c r="AG12" s="120"/>
      <c r="AH12" s="121"/>
      <c r="AI12" s="128" t="str">
        <v/>
      </c>
      <c r="AJ12" s="119"/>
      <c r="AK12" s="120"/>
      <c r="AL12" s="120"/>
      <c r="AM12" s="121"/>
      <c r="AN12" s="128" t="str">
        <v/>
      </c>
      <c r="AO12" s="119"/>
      <c r="AP12" s="120"/>
      <c r="AQ12" s="120"/>
      <c r="AR12" s="121"/>
      <c r="AS12" s="128" t="str">
        <v/>
      </c>
      <c r="AT12" s="119"/>
      <c r="AU12" s="120"/>
      <c r="AV12" s="120"/>
      <c r="AW12" s="121"/>
      <c r="AX12" s="128" t="str">
        <v/>
      </c>
      <c r="AY12" s="119"/>
      <c r="AZ12" s="120"/>
      <c r="BA12" s="120"/>
      <c r="BB12" s="121"/>
      <c r="BC12" s="128" t="str">
        <v/>
      </c>
      <c r="BD12" s="136" t="str">
        <v/>
      </c>
      <c r="BE12" s="123"/>
    </row>
    <row r="13" spans="1:57">
      <c r="A13" s="43"/>
      <c r="B13" s="137"/>
      <c r="C13" s="112"/>
      <c r="D13" s="139"/>
      <c r="E13" s="114"/>
      <c r="F13" s="115"/>
      <c r="G13" s="116"/>
      <c r="H13" s="116"/>
      <c r="I13" s="117"/>
      <c r="J13" s="127" t="str">
        <v/>
      </c>
      <c r="K13" s="115"/>
      <c r="L13" s="116"/>
      <c r="M13" s="116"/>
      <c r="N13" s="117"/>
      <c r="O13" s="127" t="str">
        <v/>
      </c>
      <c r="P13" s="115"/>
      <c r="Q13" s="116"/>
      <c r="R13" s="116"/>
      <c r="S13" s="117"/>
      <c r="T13" s="127" t="str">
        <v/>
      </c>
      <c r="U13" s="119"/>
      <c r="V13" s="120"/>
      <c r="W13" s="120"/>
      <c r="X13" s="121"/>
      <c r="Y13" s="128" t="str">
        <v/>
      </c>
      <c r="Z13" s="119"/>
      <c r="AA13" s="120"/>
      <c r="AB13" s="120"/>
      <c r="AC13" s="121"/>
      <c r="AD13" s="128" t="str">
        <v/>
      </c>
      <c r="AE13" s="119"/>
      <c r="AF13" s="120"/>
      <c r="AG13" s="120"/>
      <c r="AH13" s="121"/>
      <c r="AI13" s="128" t="str">
        <v/>
      </c>
      <c r="AJ13" s="119"/>
      <c r="AK13" s="120"/>
      <c r="AL13" s="120"/>
      <c r="AM13" s="121"/>
      <c r="AN13" s="128" t="str">
        <v/>
      </c>
      <c r="AO13" s="119"/>
      <c r="AP13" s="120"/>
      <c r="AQ13" s="120"/>
      <c r="AR13" s="121"/>
      <c r="AS13" s="128" t="str">
        <v/>
      </c>
      <c r="AT13" s="119"/>
      <c r="AU13" s="120"/>
      <c r="AV13" s="120"/>
      <c r="AW13" s="121"/>
      <c r="AX13" s="128" t="str">
        <v/>
      </c>
      <c r="AY13" s="119"/>
      <c r="AZ13" s="120"/>
      <c r="BA13" s="120"/>
      <c r="BB13" s="121"/>
      <c r="BC13" s="128" t="str">
        <v/>
      </c>
      <c r="BD13" s="136" t="str">
        <v/>
      </c>
      <c r="BE13" s="123"/>
    </row>
    <row r="14" spans="1:57">
      <c r="A14" s="43"/>
      <c r="B14" s="111"/>
      <c r="C14" s="112"/>
      <c r="D14" s="139"/>
      <c r="E14" s="114"/>
      <c r="F14" s="115"/>
      <c r="G14" s="116"/>
      <c r="H14" s="116"/>
      <c r="I14" s="117"/>
      <c r="J14" s="127" t="str">
        <v/>
      </c>
      <c r="K14" s="115"/>
      <c r="L14" s="116"/>
      <c r="M14" s="116"/>
      <c r="N14" s="117"/>
      <c r="O14" s="127" t="str">
        <v/>
      </c>
      <c r="P14" s="115"/>
      <c r="Q14" s="116"/>
      <c r="R14" s="116"/>
      <c r="S14" s="117"/>
      <c r="T14" s="127" t="str">
        <v/>
      </c>
      <c r="U14" s="119"/>
      <c r="V14" s="120"/>
      <c r="W14" s="120"/>
      <c r="X14" s="121"/>
      <c r="Y14" s="128" t="str">
        <v/>
      </c>
      <c r="Z14" s="119"/>
      <c r="AA14" s="120"/>
      <c r="AB14" s="120"/>
      <c r="AC14" s="121"/>
      <c r="AD14" s="128" t="str">
        <v/>
      </c>
      <c r="AE14" s="119"/>
      <c r="AF14" s="120"/>
      <c r="AG14" s="120"/>
      <c r="AH14" s="121"/>
      <c r="AI14" s="128" t="str">
        <v/>
      </c>
      <c r="AJ14" s="119"/>
      <c r="AK14" s="120"/>
      <c r="AL14" s="120"/>
      <c r="AM14" s="121"/>
      <c r="AN14" s="128" t="str">
        <v/>
      </c>
      <c r="AO14" s="119"/>
      <c r="AP14" s="120"/>
      <c r="AQ14" s="120"/>
      <c r="AR14" s="121"/>
      <c r="AS14" s="128" t="str">
        <v/>
      </c>
      <c r="AT14" s="119"/>
      <c r="AU14" s="120"/>
      <c r="AV14" s="120"/>
      <c r="AW14" s="121"/>
      <c r="AX14" s="128" t="str">
        <v/>
      </c>
      <c r="AY14" s="119"/>
      <c r="AZ14" s="120"/>
      <c r="BA14" s="120"/>
      <c r="BB14" s="121"/>
      <c r="BC14" s="128" t="str">
        <v/>
      </c>
      <c r="BD14" s="136" t="str">
        <v/>
      </c>
      <c r="BE14" s="123"/>
    </row>
    <row r="15" spans="1:57">
      <c r="A15" s="43"/>
      <c r="B15" s="137"/>
      <c r="C15" s="138"/>
      <c r="D15" s="139"/>
      <c r="E15" s="114"/>
      <c r="F15" s="115"/>
      <c r="G15" s="116"/>
      <c r="H15" s="116"/>
      <c r="I15" s="117"/>
      <c r="J15" s="127" t="str">
        <v/>
      </c>
      <c r="K15" s="115"/>
      <c r="L15" s="116"/>
      <c r="M15" s="116"/>
      <c r="N15" s="117"/>
      <c r="O15" s="127" t="str">
        <v/>
      </c>
      <c r="P15" s="115"/>
      <c r="Q15" s="116"/>
      <c r="R15" s="116"/>
      <c r="S15" s="117"/>
      <c r="T15" s="127" t="str">
        <v/>
      </c>
      <c r="U15" s="119"/>
      <c r="V15" s="120"/>
      <c r="W15" s="120"/>
      <c r="X15" s="121"/>
      <c r="Y15" s="128" t="str">
        <v/>
      </c>
      <c r="Z15" s="119"/>
      <c r="AA15" s="120"/>
      <c r="AB15" s="120"/>
      <c r="AC15" s="121"/>
      <c r="AD15" s="128" t="str">
        <v/>
      </c>
      <c r="AE15" s="119"/>
      <c r="AF15" s="120"/>
      <c r="AG15" s="120"/>
      <c r="AH15" s="121"/>
      <c r="AI15" s="128" t="str">
        <v/>
      </c>
      <c r="AJ15" s="119"/>
      <c r="AK15" s="120"/>
      <c r="AL15" s="120"/>
      <c r="AM15" s="121"/>
      <c r="AN15" s="128" t="str">
        <v/>
      </c>
      <c r="AO15" s="119"/>
      <c r="AP15" s="120"/>
      <c r="AQ15" s="120"/>
      <c r="AR15" s="121"/>
      <c r="AS15" s="128" t="str">
        <v/>
      </c>
      <c r="AT15" s="119"/>
      <c r="AU15" s="120"/>
      <c r="AV15" s="120"/>
      <c r="AW15" s="121"/>
      <c r="AX15" s="128" t="str">
        <v/>
      </c>
      <c r="AY15" s="119"/>
      <c r="AZ15" s="120"/>
      <c r="BA15" s="120"/>
      <c r="BB15" s="121"/>
      <c r="BC15" s="128" t="str">
        <v/>
      </c>
      <c r="BD15" s="136" t="str">
        <v/>
      </c>
      <c r="BE15" s="123"/>
    </row>
    <row r="16" spans="1:57">
      <c r="A16" s="43"/>
      <c r="B16" s="137"/>
      <c r="C16" s="138"/>
      <c r="D16" s="139"/>
      <c r="E16" s="114"/>
      <c r="F16" s="115"/>
      <c r="G16" s="116"/>
      <c r="H16" s="116"/>
      <c r="I16" s="117"/>
      <c r="J16" s="127" t="str">
        <v/>
      </c>
      <c r="K16" s="115"/>
      <c r="L16" s="116"/>
      <c r="M16" s="116"/>
      <c r="N16" s="117"/>
      <c r="O16" s="127" t="str">
        <v/>
      </c>
      <c r="P16" s="115"/>
      <c r="Q16" s="116"/>
      <c r="R16" s="116"/>
      <c r="S16" s="117"/>
      <c r="T16" s="127" t="str">
        <v/>
      </c>
      <c r="U16" s="119"/>
      <c r="V16" s="120"/>
      <c r="W16" s="120"/>
      <c r="X16" s="121"/>
      <c r="Y16" s="128" t="str">
        <v/>
      </c>
      <c r="Z16" s="119"/>
      <c r="AA16" s="120"/>
      <c r="AB16" s="120"/>
      <c r="AC16" s="121"/>
      <c r="AD16" s="128" t="str">
        <v/>
      </c>
      <c r="AE16" s="119"/>
      <c r="AF16" s="120"/>
      <c r="AG16" s="120"/>
      <c r="AH16" s="121"/>
      <c r="AI16" s="128" t="str">
        <v/>
      </c>
      <c r="AJ16" s="119"/>
      <c r="AK16" s="120"/>
      <c r="AL16" s="120"/>
      <c r="AM16" s="121"/>
      <c r="AN16" s="128" t="str">
        <v/>
      </c>
      <c r="AO16" s="119"/>
      <c r="AP16" s="120"/>
      <c r="AQ16" s="120"/>
      <c r="AR16" s="121"/>
      <c r="AS16" s="128" t="str">
        <v/>
      </c>
      <c r="AT16" s="119"/>
      <c r="AU16" s="120"/>
      <c r="AV16" s="120"/>
      <c r="AW16" s="121"/>
      <c r="AX16" s="128" t="str">
        <v/>
      </c>
      <c r="AY16" s="119"/>
      <c r="AZ16" s="120"/>
      <c r="BA16" s="120"/>
      <c r="BB16" s="121"/>
      <c r="BC16" s="128" t="str">
        <v/>
      </c>
      <c r="BD16" s="136" t="str">
        <v/>
      </c>
      <c r="BE16" s="123"/>
    </row>
    <row r="17" spans="1:57">
      <c r="A17" s="43"/>
      <c r="B17" s="137"/>
      <c r="C17" s="138"/>
      <c r="D17" s="139"/>
      <c r="E17" s="114"/>
      <c r="F17" s="115"/>
      <c r="G17" s="116"/>
      <c r="H17" s="116"/>
      <c r="I17" s="117"/>
      <c r="J17" s="127" t="str">
        <v/>
      </c>
      <c r="K17" s="115"/>
      <c r="L17" s="116"/>
      <c r="M17" s="116"/>
      <c r="N17" s="117"/>
      <c r="O17" s="127" t="str">
        <v/>
      </c>
      <c r="P17" s="115"/>
      <c r="Q17" s="116"/>
      <c r="R17" s="116"/>
      <c r="S17" s="117"/>
      <c r="T17" s="127" t="str">
        <v/>
      </c>
      <c r="U17" s="119"/>
      <c r="V17" s="120"/>
      <c r="W17" s="120"/>
      <c r="X17" s="121"/>
      <c r="Y17" s="128" t="str">
        <v/>
      </c>
      <c r="Z17" s="119"/>
      <c r="AA17" s="120"/>
      <c r="AB17" s="120"/>
      <c r="AC17" s="121"/>
      <c r="AD17" s="128" t="str">
        <v/>
      </c>
      <c r="AE17" s="119"/>
      <c r="AF17" s="120"/>
      <c r="AG17" s="120"/>
      <c r="AH17" s="121"/>
      <c r="AI17" s="128" t="str">
        <v/>
      </c>
      <c r="AJ17" s="119"/>
      <c r="AK17" s="120"/>
      <c r="AL17" s="120"/>
      <c r="AM17" s="121"/>
      <c r="AN17" s="128" t="str">
        <v/>
      </c>
      <c r="AO17" s="119"/>
      <c r="AP17" s="120"/>
      <c r="AQ17" s="120"/>
      <c r="AR17" s="121"/>
      <c r="AS17" s="128" t="str">
        <v/>
      </c>
      <c r="AT17" s="119"/>
      <c r="AU17" s="120"/>
      <c r="AV17" s="120"/>
      <c r="AW17" s="121"/>
      <c r="AX17" s="128" t="str">
        <v/>
      </c>
      <c r="AY17" s="119"/>
      <c r="AZ17" s="120"/>
      <c r="BA17" s="120"/>
      <c r="BB17" s="121"/>
      <c r="BC17" s="128" t="str">
        <v/>
      </c>
      <c r="BD17" s="136" t="str">
        <v/>
      </c>
      <c r="BE17" s="123"/>
    </row>
    <row r="18" spans="1:57">
      <c r="A18" s="43"/>
      <c r="B18" s="137"/>
      <c r="C18" s="138"/>
      <c r="D18" s="140"/>
      <c r="E18" s="114"/>
      <c r="F18" s="115"/>
      <c r="G18" s="116"/>
      <c r="H18" s="116"/>
      <c r="I18" s="117"/>
      <c r="J18" s="127" t="str">
        <v/>
      </c>
      <c r="K18" s="115"/>
      <c r="L18" s="116"/>
      <c r="M18" s="116"/>
      <c r="N18" s="117"/>
      <c r="O18" s="127" t="str">
        <v/>
      </c>
      <c r="P18" s="115"/>
      <c r="Q18" s="116"/>
      <c r="R18" s="116"/>
      <c r="S18" s="117"/>
      <c r="T18" s="127" t="str">
        <v/>
      </c>
      <c r="U18" s="119"/>
      <c r="V18" s="120"/>
      <c r="W18" s="120"/>
      <c r="X18" s="121"/>
      <c r="Y18" s="128" t="str">
        <v/>
      </c>
      <c r="Z18" s="119"/>
      <c r="AA18" s="120"/>
      <c r="AB18" s="120"/>
      <c r="AC18" s="121"/>
      <c r="AD18" s="128" t="str">
        <v/>
      </c>
      <c r="AE18" s="119"/>
      <c r="AF18" s="120"/>
      <c r="AG18" s="120"/>
      <c r="AH18" s="121"/>
      <c r="AI18" s="128" t="str">
        <v/>
      </c>
      <c r="AJ18" s="119"/>
      <c r="AK18" s="120"/>
      <c r="AL18" s="120"/>
      <c r="AM18" s="121"/>
      <c r="AN18" s="128" t="str">
        <v/>
      </c>
      <c r="AO18" s="119"/>
      <c r="AP18" s="120"/>
      <c r="AQ18" s="120"/>
      <c r="AR18" s="121"/>
      <c r="AS18" s="128" t="str">
        <v/>
      </c>
      <c r="AT18" s="119"/>
      <c r="AU18" s="120"/>
      <c r="AV18" s="120"/>
      <c r="AW18" s="121"/>
      <c r="AX18" s="128" t="str">
        <v/>
      </c>
      <c r="AY18" s="119"/>
      <c r="AZ18" s="120"/>
      <c r="BA18" s="120"/>
      <c r="BB18" s="121"/>
      <c r="BC18" s="128" t="str">
        <v/>
      </c>
      <c r="BD18" s="136" t="str">
        <v/>
      </c>
      <c r="BE18" s="123"/>
    </row>
    <row r="19" spans="1:57">
      <c r="A19" s="43"/>
      <c r="B19" s="137"/>
      <c r="C19" s="138"/>
      <c r="D19" s="139"/>
      <c r="E19" s="114"/>
      <c r="F19" s="115"/>
      <c r="G19" s="116"/>
      <c r="H19" s="116"/>
      <c r="I19" s="117"/>
      <c r="J19" s="127" t="str">
        <v/>
      </c>
      <c r="K19" s="115"/>
      <c r="L19" s="116"/>
      <c r="M19" s="116"/>
      <c r="N19" s="117"/>
      <c r="O19" s="127" t="str">
        <v/>
      </c>
      <c r="P19" s="115"/>
      <c r="Q19" s="116"/>
      <c r="R19" s="116"/>
      <c r="S19" s="117"/>
      <c r="T19" s="127" t="str">
        <v/>
      </c>
      <c r="U19" s="119"/>
      <c r="V19" s="120"/>
      <c r="W19" s="120"/>
      <c r="X19" s="121"/>
      <c r="Y19" s="128" t="str">
        <v/>
      </c>
      <c r="Z19" s="119"/>
      <c r="AA19" s="120"/>
      <c r="AB19" s="120"/>
      <c r="AC19" s="121"/>
      <c r="AD19" s="128" t="str">
        <v/>
      </c>
      <c r="AE19" s="119"/>
      <c r="AF19" s="120"/>
      <c r="AG19" s="120"/>
      <c r="AH19" s="121"/>
      <c r="AI19" s="128" t="str">
        <v/>
      </c>
      <c r="AJ19" s="119"/>
      <c r="AK19" s="120"/>
      <c r="AL19" s="120"/>
      <c r="AM19" s="121"/>
      <c r="AN19" s="128" t="str">
        <v/>
      </c>
      <c r="AO19" s="119"/>
      <c r="AP19" s="120"/>
      <c r="AQ19" s="120"/>
      <c r="AR19" s="121"/>
      <c r="AS19" s="128" t="str">
        <v/>
      </c>
      <c r="AT19" s="119"/>
      <c r="AU19" s="120"/>
      <c r="AV19" s="120"/>
      <c r="AW19" s="121"/>
      <c r="AX19" s="128" t="str">
        <v/>
      </c>
      <c r="AY19" s="119"/>
      <c r="AZ19" s="120"/>
      <c r="BA19" s="120"/>
      <c r="BB19" s="121"/>
      <c r="BC19" s="128" t="str">
        <v/>
      </c>
      <c r="BD19" s="136" t="str">
        <v/>
      </c>
      <c r="BE19" s="123"/>
    </row>
    <row r="20" spans="1:57">
      <c r="A20" s="43"/>
      <c r="B20" s="137"/>
      <c r="C20" s="138"/>
      <c r="D20" s="139"/>
      <c r="E20" s="114"/>
      <c r="F20" s="115"/>
      <c r="G20" s="116"/>
      <c r="H20" s="116"/>
      <c r="I20" s="117"/>
      <c r="J20" s="127" t="str">
        <v/>
      </c>
      <c r="K20" s="115"/>
      <c r="L20" s="116"/>
      <c r="M20" s="116"/>
      <c r="N20" s="117"/>
      <c r="O20" s="127" t="str">
        <v/>
      </c>
      <c r="P20" s="115"/>
      <c r="Q20" s="116"/>
      <c r="R20" s="116"/>
      <c r="S20" s="117"/>
      <c r="T20" s="127" t="str">
        <v/>
      </c>
      <c r="U20" s="119"/>
      <c r="V20" s="120"/>
      <c r="W20" s="120"/>
      <c r="X20" s="121"/>
      <c r="Y20" s="128" t="str">
        <v/>
      </c>
      <c r="Z20" s="119"/>
      <c r="AA20" s="120"/>
      <c r="AB20" s="120"/>
      <c r="AC20" s="121"/>
      <c r="AD20" s="128" t="str">
        <v/>
      </c>
      <c r="AE20" s="119"/>
      <c r="AF20" s="120"/>
      <c r="AG20" s="120"/>
      <c r="AH20" s="121"/>
      <c r="AI20" s="128" t="str">
        <v/>
      </c>
      <c r="AJ20" s="119"/>
      <c r="AK20" s="120"/>
      <c r="AL20" s="120"/>
      <c r="AM20" s="121"/>
      <c r="AN20" s="128" t="str">
        <v/>
      </c>
      <c r="AO20" s="119"/>
      <c r="AP20" s="120"/>
      <c r="AQ20" s="120"/>
      <c r="AR20" s="121"/>
      <c r="AS20" s="128" t="str">
        <v/>
      </c>
      <c r="AT20" s="119"/>
      <c r="AU20" s="120"/>
      <c r="AV20" s="120"/>
      <c r="AW20" s="121"/>
      <c r="AX20" s="128" t="str">
        <v/>
      </c>
      <c r="AY20" s="119"/>
      <c r="AZ20" s="120"/>
      <c r="BA20" s="120"/>
      <c r="BB20" s="121"/>
      <c r="BC20" s="128" t="str">
        <v/>
      </c>
      <c r="BD20" s="136" t="str">
        <v/>
      </c>
      <c r="BE20" s="123"/>
    </row>
    <row r="21" spans="1:57">
      <c r="A21" s="43"/>
      <c r="B21" s="137"/>
      <c r="C21" s="138"/>
      <c r="D21" s="139"/>
      <c r="E21" s="114"/>
      <c r="F21" s="115"/>
      <c r="G21" s="116"/>
      <c r="H21" s="116"/>
      <c r="I21" s="117"/>
      <c r="J21" s="127" t="str">
        <v/>
      </c>
      <c r="K21" s="115"/>
      <c r="L21" s="116"/>
      <c r="M21" s="116"/>
      <c r="N21" s="117"/>
      <c r="O21" s="127" t="str">
        <v/>
      </c>
      <c r="P21" s="115"/>
      <c r="Q21" s="116"/>
      <c r="R21" s="116"/>
      <c r="S21" s="117"/>
      <c r="T21" s="127" t="str">
        <v/>
      </c>
      <c r="U21" s="119"/>
      <c r="V21" s="120"/>
      <c r="W21" s="120"/>
      <c r="X21" s="121"/>
      <c r="Y21" s="128" t="str">
        <v/>
      </c>
      <c r="Z21" s="119"/>
      <c r="AA21" s="120"/>
      <c r="AB21" s="120"/>
      <c r="AC21" s="121"/>
      <c r="AD21" s="128" t="str">
        <v/>
      </c>
      <c r="AE21" s="119"/>
      <c r="AF21" s="120"/>
      <c r="AG21" s="120"/>
      <c r="AH21" s="121"/>
      <c r="AI21" s="128" t="str">
        <v/>
      </c>
      <c r="AJ21" s="119"/>
      <c r="AK21" s="120"/>
      <c r="AL21" s="120"/>
      <c r="AM21" s="121"/>
      <c r="AN21" s="128" t="str">
        <v/>
      </c>
      <c r="AO21" s="119"/>
      <c r="AP21" s="120"/>
      <c r="AQ21" s="120"/>
      <c r="AR21" s="121"/>
      <c r="AS21" s="128" t="str">
        <v/>
      </c>
      <c r="AT21" s="119"/>
      <c r="AU21" s="120"/>
      <c r="AV21" s="120"/>
      <c r="AW21" s="121"/>
      <c r="AX21" s="128" t="str">
        <v/>
      </c>
      <c r="AY21" s="119"/>
      <c r="AZ21" s="120"/>
      <c r="BA21" s="120"/>
      <c r="BB21" s="121"/>
      <c r="BC21" s="128" t="str">
        <v/>
      </c>
      <c r="BD21" s="136" t="str">
        <v/>
      </c>
      <c r="BE21" s="123"/>
    </row>
    <row r="22" spans="1:57">
      <c r="A22" s="43"/>
      <c r="B22" s="137"/>
      <c r="C22" s="138"/>
      <c r="D22" s="139"/>
      <c r="E22" s="114"/>
      <c r="F22" s="115"/>
      <c r="G22" s="116"/>
      <c r="H22" s="116"/>
      <c r="I22" s="117"/>
      <c r="J22" s="127" t="str">
        <v/>
      </c>
      <c r="K22" s="115"/>
      <c r="L22" s="116"/>
      <c r="M22" s="116"/>
      <c r="N22" s="117"/>
      <c r="O22" s="127" t="str">
        <v/>
      </c>
      <c r="P22" s="115"/>
      <c r="Q22" s="116"/>
      <c r="R22" s="116"/>
      <c r="S22" s="117"/>
      <c r="T22" s="127" t="str">
        <v/>
      </c>
      <c r="U22" s="119"/>
      <c r="V22" s="120"/>
      <c r="W22" s="120"/>
      <c r="X22" s="121"/>
      <c r="Y22" s="128" t="str">
        <v/>
      </c>
      <c r="Z22" s="119"/>
      <c r="AA22" s="120"/>
      <c r="AB22" s="120"/>
      <c r="AC22" s="121"/>
      <c r="AD22" s="128" t="str">
        <v/>
      </c>
      <c r="AE22" s="119"/>
      <c r="AF22" s="120"/>
      <c r="AG22" s="120"/>
      <c r="AH22" s="121"/>
      <c r="AI22" s="128" t="str">
        <v/>
      </c>
      <c r="AJ22" s="119"/>
      <c r="AK22" s="120"/>
      <c r="AL22" s="120"/>
      <c r="AM22" s="121"/>
      <c r="AN22" s="128" t="str">
        <v/>
      </c>
      <c r="AO22" s="119"/>
      <c r="AP22" s="120"/>
      <c r="AQ22" s="120"/>
      <c r="AR22" s="121"/>
      <c r="AS22" s="128" t="str">
        <v/>
      </c>
      <c r="AT22" s="119"/>
      <c r="AU22" s="120"/>
      <c r="AV22" s="120"/>
      <c r="AW22" s="121"/>
      <c r="AX22" s="128" t="str">
        <v/>
      </c>
      <c r="AY22" s="119"/>
      <c r="AZ22" s="120"/>
      <c r="BA22" s="120"/>
      <c r="BB22" s="121"/>
      <c r="BC22" s="128" t="str">
        <v/>
      </c>
      <c r="BD22" s="136" t="str">
        <v/>
      </c>
      <c r="BE22" s="123"/>
    </row>
    <row r="23" spans="1:57">
      <c r="A23" s="43"/>
      <c r="B23" s="137"/>
      <c r="C23" s="138"/>
      <c r="D23" s="139"/>
      <c r="E23" s="114"/>
      <c r="F23" s="115"/>
      <c r="G23" s="116"/>
      <c r="H23" s="116"/>
      <c r="I23" s="117"/>
      <c r="J23" s="127" t="str">
        <v/>
      </c>
      <c r="K23" s="115"/>
      <c r="L23" s="116"/>
      <c r="M23" s="116"/>
      <c r="N23" s="117"/>
      <c r="O23" s="127" t="str">
        <v/>
      </c>
      <c r="P23" s="115"/>
      <c r="Q23" s="116"/>
      <c r="R23" s="116"/>
      <c r="S23" s="117"/>
      <c r="T23" s="127" t="str">
        <v/>
      </c>
      <c r="U23" s="119"/>
      <c r="V23" s="120"/>
      <c r="W23" s="120"/>
      <c r="X23" s="121"/>
      <c r="Y23" s="128" t="str">
        <v/>
      </c>
      <c r="Z23" s="119"/>
      <c r="AA23" s="120"/>
      <c r="AB23" s="120"/>
      <c r="AC23" s="121"/>
      <c r="AD23" s="128" t="str">
        <v/>
      </c>
      <c r="AE23" s="119"/>
      <c r="AF23" s="120"/>
      <c r="AG23" s="120"/>
      <c r="AH23" s="121"/>
      <c r="AI23" s="128" t="str">
        <v/>
      </c>
      <c r="AJ23" s="119"/>
      <c r="AK23" s="120"/>
      <c r="AL23" s="120"/>
      <c r="AM23" s="121"/>
      <c r="AN23" s="128" t="str">
        <v/>
      </c>
      <c r="AO23" s="119"/>
      <c r="AP23" s="120"/>
      <c r="AQ23" s="120"/>
      <c r="AR23" s="121"/>
      <c r="AS23" s="128" t="str">
        <v/>
      </c>
      <c r="AT23" s="119"/>
      <c r="AU23" s="120"/>
      <c r="AV23" s="120"/>
      <c r="AW23" s="121"/>
      <c r="AX23" s="128" t="str">
        <v/>
      </c>
      <c r="AY23" s="119"/>
      <c r="AZ23" s="120"/>
      <c r="BA23" s="120"/>
      <c r="BB23" s="121"/>
      <c r="BC23" s="128" t="str">
        <v/>
      </c>
      <c r="BD23" s="136" t="str">
        <v/>
      </c>
      <c r="BE23" s="123"/>
    </row>
    <row r="24" spans="1:57">
      <c r="A24" s="43"/>
      <c r="B24" s="137"/>
      <c r="C24" s="138"/>
      <c r="D24" s="139"/>
      <c r="E24" s="114"/>
      <c r="F24" s="115"/>
      <c r="G24" s="116"/>
      <c r="H24" s="116"/>
      <c r="I24" s="117"/>
      <c r="J24" s="127" t="str">
        <v/>
      </c>
      <c r="K24" s="115"/>
      <c r="L24" s="116"/>
      <c r="M24" s="116"/>
      <c r="N24" s="117"/>
      <c r="O24" s="127" t="str">
        <v/>
      </c>
      <c r="P24" s="115"/>
      <c r="Q24" s="116"/>
      <c r="R24" s="116"/>
      <c r="S24" s="117"/>
      <c r="T24" s="127" t="str">
        <v/>
      </c>
      <c r="U24" s="119"/>
      <c r="V24" s="120"/>
      <c r="W24" s="120"/>
      <c r="X24" s="121"/>
      <c r="Y24" s="128" t="str">
        <v/>
      </c>
      <c r="Z24" s="119"/>
      <c r="AA24" s="120"/>
      <c r="AB24" s="120"/>
      <c r="AC24" s="121"/>
      <c r="AD24" s="128" t="str">
        <v/>
      </c>
      <c r="AE24" s="119"/>
      <c r="AF24" s="120"/>
      <c r="AG24" s="120"/>
      <c r="AH24" s="121"/>
      <c r="AI24" s="128" t="str">
        <v/>
      </c>
      <c r="AJ24" s="119"/>
      <c r="AK24" s="120"/>
      <c r="AL24" s="120"/>
      <c r="AM24" s="121"/>
      <c r="AN24" s="128" t="str">
        <v/>
      </c>
      <c r="AO24" s="119"/>
      <c r="AP24" s="120"/>
      <c r="AQ24" s="120"/>
      <c r="AR24" s="121"/>
      <c r="AS24" s="128" t="str">
        <v/>
      </c>
      <c r="AT24" s="119"/>
      <c r="AU24" s="120"/>
      <c r="AV24" s="120"/>
      <c r="AW24" s="121"/>
      <c r="AX24" s="128" t="str">
        <v/>
      </c>
      <c r="AY24" s="119"/>
      <c r="AZ24" s="120"/>
      <c r="BA24" s="120"/>
      <c r="BB24" s="121"/>
      <c r="BC24" s="128" t="str">
        <v/>
      </c>
      <c r="BD24" s="136" t="str">
        <v/>
      </c>
      <c r="BE24" s="123"/>
    </row>
    <row r="25" spans="1:57">
      <c r="A25" s="43"/>
      <c r="B25" s="137"/>
      <c r="C25" s="138"/>
      <c r="D25" s="139"/>
      <c r="E25" s="114"/>
      <c r="F25" s="115"/>
      <c r="G25" s="116"/>
      <c r="H25" s="116"/>
      <c r="I25" s="117"/>
      <c r="J25" s="127" t="str">
        <v/>
      </c>
      <c r="K25" s="115"/>
      <c r="L25" s="116"/>
      <c r="M25" s="116"/>
      <c r="N25" s="117"/>
      <c r="O25" s="127" t="str">
        <v/>
      </c>
      <c r="P25" s="115"/>
      <c r="Q25" s="116"/>
      <c r="R25" s="116"/>
      <c r="S25" s="117"/>
      <c r="T25" s="127" t="str">
        <v/>
      </c>
      <c r="U25" s="119"/>
      <c r="V25" s="120"/>
      <c r="W25" s="120"/>
      <c r="X25" s="121"/>
      <c r="Y25" s="128" t="str">
        <v/>
      </c>
      <c r="Z25" s="119"/>
      <c r="AA25" s="120"/>
      <c r="AB25" s="120"/>
      <c r="AC25" s="121"/>
      <c r="AD25" s="128" t="str">
        <v/>
      </c>
      <c r="AE25" s="119"/>
      <c r="AF25" s="120"/>
      <c r="AG25" s="120"/>
      <c r="AH25" s="121"/>
      <c r="AI25" s="128" t="str">
        <v/>
      </c>
      <c r="AJ25" s="119"/>
      <c r="AK25" s="120"/>
      <c r="AL25" s="120"/>
      <c r="AM25" s="121"/>
      <c r="AN25" s="128" t="str">
        <v/>
      </c>
      <c r="AO25" s="119"/>
      <c r="AP25" s="120"/>
      <c r="AQ25" s="120"/>
      <c r="AR25" s="121"/>
      <c r="AS25" s="128" t="str">
        <v/>
      </c>
      <c r="AT25" s="119"/>
      <c r="AU25" s="120"/>
      <c r="AV25" s="120"/>
      <c r="AW25" s="121"/>
      <c r="AX25" s="128" t="str">
        <v/>
      </c>
      <c r="AY25" s="119"/>
      <c r="AZ25" s="120"/>
      <c r="BA25" s="120"/>
      <c r="BB25" s="121"/>
      <c r="BC25" s="128" t="str">
        <v/>
      </c>
      <c r="BD25" s="136" t="str">
        <v/>
      </c>
      <c r="BE25" s="123"/>
    </row>
    <row r="26" spans="1:57">
      <c r="A26" s="43"/>
      <c r="B26" s="137"/>
      <c r="C26" s="138"/>
      <c r="D26" s="139"/>
      <c r="E26" s="114"/>
      <c r="F26" s="115"/>
      <c r="G26" s="116"/>
      <c r="H26" s="116"/>
      <c r="I26" s="117"/>
      <c r="J26" s="127" t="str">
        <v/>
      </c>
      <c r="K26" s="115"/>
      <c r="L26" s="116"/>
      <c r="M26" s="116"/>
      <c r="N26" s="117"/>
      <c r="O26" s="127" t="str">
        <v/>
      </c>
      <c r="P26" s="115"/>
      <c r="Q26" s="116"/>
      <c r="R26" s="116"/>
      <c r="S26" s="117"/>
      <c r="T26" s="127" t="str">
        <v/>
      </c>
      <c r="U26" s="119"/>
      <c r="V26" s="120"/>
      <c r="W26" s="120"/>
      <c r="X26" s="121"/>
      <c r="Y26" s="128" t="str">
        <v/>
      </c>
      <c r="Z26" s="119"/>
      <c r="AA26" s="120"/>
      <c r="AB26" s="120"/>
      <c r="AC26" s="121"/>
      <c r="AD26" s="128" t="str">
        <v/>
      </c>
      <c r="AE26" s="119"/>
      <c r="AF26" s="120"/>
      <c r="AG26" s="120"/>
      <c r="AH26" s="121"/>
      <c r="AI26" s="128" t="str">
        <v/>
      </c>
      <c r="AJ26" s="119"/>
      <c r="AK26" s="120"/>
      <c r="AL26" s="120"/>
      <c r="AM26" s="121"/>
      <c r="AN26" s="128" t="str">
        <v/>
      </c>
      <c r="AO26" s="119"/>
      <c r="AP26" s="120"/>
      <c r="AQ26" s="120"/>
      <c r="AR26" s="121"/>
      <c r="AS26" s="128" t="str">
        <v/>
      </c>
      <c r="AT26" s="119"/>
      <c r="AU26" s="120"/>
      <c r="AV26" s="120"/>
      <c r="AW26" s="121"/>
      <c r="AX26" s="128" t="str">
        <v/>
      </c>
      <c r="AY26" s="119"/>
      <c r="AZ26" s="120"/>
      <c r="BA26" s="120"/>
      <c r="BB26" s="121"/>
      <c r="BC26" s="128" t="str">
        <v/>
      </c>
      <c r="BD26" s="136" t="str">
        <v/>
      </c>
      <c r="BE26" s="123"/>
    </row>
    <row r="27" spans="1:57">
      <c r="A27" s="43"/>
      <c r="B27" s="137"/>
      <c r="C27" s="138"/>
      <c r="D27" s="139"/>
      <c r="E27" s="114"/>
      <c r="F27" s="115"/>
      <c r="G27" s="116"/>
      <c r="H27" s="116"/>
      <c r="I27" s="117"/>
      <c r="J27" s="127" t="str">
        <v/>
      </c>
      <c r="K27" s="115"/>
      <c r="L27" s="116"/>
      <c r="M27" s="116"/>
      <c r="N27" s="117"/>
      <c r="O27" s="127" t="str">
        <v/>
      </c>
      <c r="P27" s="115"/>
      <c r="Q27" s="116"/>
      <c r="R27" s="116"/>
      <c r="S27" s="117"/>
      <c r="T27" s="127" t="str">
        <v/>
      </c>
      <c r="U27" s="119"/>
      <c r="V27" s="120"/>
      <c r="W27" s="120"/>
      <c r="X27" s="121"/>
      <c r="Y27" s="128" t="str">
        <v/>
      </c>
      <c r="Z27" s="119"/>
      <c r="AA27" s="120"/>
      <c r="AB27" s="120"/>
      <c r="AC27" s="121"/>
      <c r="AD27" s="128" t="str">
        <v/>
      </c>
      <c r="AE27" s="119"/>
      <c r="AF27" s="120"/>
      <c r="AG27" s="120"/>
      <c r="AH27" s="121"/>
      <c r="AI27" s="128" t="str">
        <v/>
      </c>
      <c r="AJ27" s="119"/>
      <c r="AK27" s="120"/>
      <c r="AL27" s="120"/>
      <c r="AM27" s="121"/>
      <c r="AN27" s="128" t="str">
        <v/>
      </c>
      <c r="AO27" s="119"/>
      <c r="AP27" s="120"/>
      <c r="AQ27" s="120"/>
      <c r="AR27" s="121"/>
      <c r="AS27" s="128" t="str">
        <v/>
      </c>
      <c r="AT27" s="119"/>
      <c r="AU27" s="120"/>
      <c r="AV27" s="120"/>
      <c r="AW27" s="121"/>
      <c r="AX27" s="128" t="str">
        <v/>
      </c>
      <c r="AY27" s="119"/>
      <c r="AZ27" s="120"/>
      <c r="BA27" s="120"/>
      <c r="BB27" s="121"/>
      <c r="BC27" s="128" t="str">
        <v/>
      </c>
      <c r="BD27" s="136" t="str">
        <v/>
      </c>
      <c r="BE27" s="123"/>
    </row>
    <row r="28" spans="1:57">
      <c r="A28" s="43"/>
      <c r="B28" s="137"/>
      <c r="C28" s="138"/>
      <c r="D28" s="139"/>
      <c r="E28" s="114"/>
      <c r="F28" s="115"/>
      <c r="G28" s="116"/>
      <c r="H28" s="116"/>
      <c r="I28" s="117"/>
      <c r="J28" s="127" t="str">
        <v/>
      </c>
      <c r="K28" s="115"/>
      <c r="L28" s="116"/>
      <c r="M28" s="116"/>
      <c r="N28" s="117"/>
      <c r="O28" s="127" t="str">
        <v/>
      </c>
      <c r="P28" s="115"/>
      <c r="Q28" s="116"/>
      <c r="R28" s="116"/>
      <c r="S28" s="117"/>
      <c r="T28" s="127" t="str">
        <v/>
      </c>
      <c r="U28" s="119"/>
      <c r="V28" s="120"/>
      <c r="W28" s="120"/>
      <c r="X28" s="121"/>
      <c r="Y28" s="128" t="str">
        <v/>
      </c>
      <c r="Z28" s="119"/>
      <c r="AA28" s="120"/>
      <c r="AB28" s="120"/>
      <c r="AC28" s="121"/>
      <c r="AD28" s="128" t="str">
        <v/>
      </c>
      <c r="AE28" s="119"/>
      <c r="AF28" s="120"/>
      <c r="AG28" s="120"/>
      <c r="AH28" s="121"/>
      <c r="AI28" s="128" t="str">
        <v/>
      </c>
      <c r="AJ28" s="119"/>
      <c r="AK28" s="120"/>
      <c r="AL28" s="120"/>
      <c r="AM28" s="121"/>
      <c r="AN28" s="128" t="str">
        <v/>
      </c>
      <c r="AO28" s="119"/>
      <c r="AP28" s="120"/>
      <c r="AQ28" s="120"/>
      <c r="AR28" s="121"/>
      <c r="AS28" s="128" t="str">
        <v/>
      </c>
      <c r="AT28" s="119"/>
      <c r="AU28" s="120"/>
      <c r="AV28" s="120"/>
      <c r="AW28" s="121"/>
      <c r="AX28" s="128" t="str">
        <v/>
      </c>
      <c r="AY28" s="119"/>
      <c r="AZ28" s="120"/>
      <c r="BA28" s="120"/>
      <c r="BB28" s="121"/>
      <c r="BC28" s="128" t="str">
        <v/>
      </c>
      <c r="BD28" s="136" t="str">
        <v/>
      </c>
      <c r="BE28" s="123"/>
    </row>
    <row r="29" spans="1:57">
      <c r="A29" s="43"/>
      <c r="B29" s="137"/>
      <c r="C29" s="138"/>
      <c r="D29" s="139"/>
      <c r="E29" s="114"/>
      <c r="F29" s="115"/>
      <c r="G29" s="116"/>
      <c r="H29" s="116"/>
      <c r="I29" s="117"/>
      <c r="J29" s="127" t="str">
        <v/>
      </c>
      <c r="K29" s="115"/>
      <c r="L29" s="116"/>
      <c r="M29" s="116"/>
      <c r="N29" s="117"/>
      <c r="O29" s="127" t="str">
        <v/>
      </c>
      <c r="P29" s="115"/>
      <c r="Q29" s="116"/>
      <c r="R29" s="116"/>
      <c r="S29" s="117"/>
      <c r="T29" s="127" t="str">
        <v/>
      </c>
      <c r="U29" s="119"/>
      <c r="V29" s="120"/>
      <c r="W29" s="120"/>
      <c r="X29" s="121"/>
      <c r="Y29" s="128" t="str">
        <v/>
      </c>
      <c r="Z29" s="119"/>
      <c r="AA29" s="120"/>
      <c r="AB29" s="120"/>
      <c r="AC29" s="121"/>
      <c r="AD29" s="128" t="str">
        <v/>
      </c>
      <c r="AE29" s="119"/>
      <c r="AF29" s="120"/>
      <c r="AG29" s="120"/>
      <c r="AH29" s="121"/>
      <c r="AI29" s="128" t="str">
        <v/>
      </c>
      <c r="AJ29" s="119"/>
      <c r="AK29" s="120"/>
      <c r="AL29" s="120"/>
      <c r="AM29" s="121"/>
      <c r="AN29" s="128" t="str">
        <v/>
      </c>
      <c r="AO29" s="119"/>
      <c r="AP29" s="120"/>
      <c r="AQ29" s="120"/>
      <c r="AR29" s="121"/>
      <c r="AS29" s="128" t="str">
        <v/>
      </c>
      <c r="AT29" s="119"/>
      <c r="AU29" s="120"/>
      <c r="AV29" s="120"/>
      <c r="AW29" s="121"/>
      <c r="AX29" s="128" t="str">
        <v/>
      </c>
      <c r="AY29" s="119"/>
      <c r="AZ29" s="120"/>
      <c r="BA29" s="120"/>
      <c r="BB29" s="121"/>
      <c r="BC29" s="128" t="str">
        <v/>
      </c>
      <c r="BD29" s="136" t="str">
        <v/>
      </c>
      <c r="BE29" s="123"/>
    </row>
    <row r="30" spans="1:57">
      <c r="A30" s="43"/>
      <c r="B30" s="137"/>
      <c r="C30" s="138"/>
      <c r="D30" s="139"/>
      <c r="E30" s="114"/>
      <c r="F30" s="115"/>
      <c r="G30" s="116"/>
      <c r="H30" s="116"/>
      <c r="I30" s="117"/>
      <c r="J30" s="127" t="str">
        <v/>
      </c>
      <c r="K30" s="115"/>
      <c r="L30" s="116"/>
      <c r="M30" s="116"/>
      <c r="N30" s="117"/>
      <c r="O30" s="127" t="str">
        <v/>
      </c>
      <c r="P30" s="115"/>
      <c r="Q30" s="116"/>
      <c r="R30" s="116"/>
      <c r="S30" s="117"/>
      <c r="T30" s="127" t="str">
        <v/>
      </c>
      <c r="U30" s="119"/>
      <c r="V30" s="120"/>
      <c r="W30" s="120"/>
      <c r="X30" s="121"/>
      <c r="Y30" s="128" t="str">
        <v/>
      </c>
      <c r="Z30" s="119"/>
      <c r="AA30" s="120"/>
      <c r="AB30" s="120"/>
      <c r="AC30" s="121"/>
      <c r="AD30" s="128" t="str">
        <v/>
      </c>
      <c r="AE30" s="119"/>
      <c r="AF30" s="120"/>
      <c r="AG30" s="120"/>
      <c r="AH30" s="121"/>
      <c r="AI30" s="128" t="str">
        <v/>
      </c>
      <c r="AJ30" s="119"/>
      <c r="AK30" s="120"/>
      <c r="AL30" s="120"/>
      <c r="AM30" s="121"/>
      <c r="AN30" s="128" t="str">
        <v/>
      </c>
      <c r="AO30" s="119"/>
      <c r="AP30" s="120"/>
      <c r="AQ30" s="120"/>
      <c r="AR30" s="121"/>
      <c r="AS30" s="128" t="str">
        <v/>
      </c>
      <c r="AT30" s="119"/>
      <c r="AU30" s="120"/>
      <c r="AV30" s="120"/>
      <c r="AW30" s="121"/>
      <c r="AX30" s="128" t="str">
        <v/>
      </c>
      <c r="AY30" s="119"/>
      <c r="AZ30" s="120"/>
      <c r="BA30" s="120"/>
      <c r="BB30" s="121"/>
      <c r="BC30" s="128" t="str">
        <v/>
      </c>
      <c r="BD30" s="136" t="str">
        <v/>
      </c>
      <c r="BE30" s="123"/>
    </row>
    <row r="31" spans="1:57">
      <c r="A31" s="43"/>
      <c r="B31" s="137"/>
      <c r="C31" s="138"/>
      <c r="D31" s="139"/>
      <c r="E31" s="114"/>
      <c r="F31" s="115"/>
      <c r="G31" s="116"/>
      <c r="H31" s="116"/>
      <c r="I31" s="117"/>
      <c r="J31" s="127" t="str">
        <v/>
      </c>
      <c r="K31" s="115"/>
      <c r="L31" s="116"/>
      <c r="M31" s="116"/>
      <c r="N31" s="117"/>
      <c r="O31" s="127" t="str">
        <v/>
      </c>
      <c r="P31" s="115"/>
      <c r="Q31" s="116"/>
      <c r="R31" s="116"/>
      <c r="S31" s="117"/>
      <c r="T31" s="127" t="str">
        <v/>
      </c>
      <c r="U31" s="119"/>
      <c r="V31" s="120"/>
      <c r="W31" s="120"/>
      <c r="X31" s="121"/>
      <c r="Y31" s="128" t="str">
        <v/>
      </c>
      <c r="Z31" s="119"/>
      <c r="AA31" s="120"/>
      <c r="AB31" s="120"/>
      <c r="AC31" s="121"/>
      <c r="AD31" s="128" t="str">
        <v/>
      </c>
      <c r="AE31" s="119"/>
      <c r="AF31" s="120"/>
      <c r="AG31" s="120"/>
      <c r="AH31" s="121"/>
      <c r="AI31" s="128" t="str">
        <v/>
      </c>
      <c r="AJ31" s="119"/>
      <c r="AK31" s="120"/>
      <c r="AL31" s="120"/>
      <c r="AM31" s="121"/>
      <c r="AN31" s="128" t="str">
        <v/>
      </c>
      <c r="AO31" s="119"/>
      <c r="AP31" s="120"/>
      <c r="AQ31" s="120"/>
      <c r="AR31" s="121"/>
      <c r="AS31" s="128" t="str">
        <v/>
      </c>
      <c r="AT31" s="119"/>
      <c r="AU31" s="120"/>
      <c r="AV31" s="120"/>
      <c r="AW31" s="121"/>
      <c r="AX31" s="128" t="str">
        <v/>
      </c>
      <c r="AY31" s="119"/>
      <c r="AZ31" s="120"/>
      <c r="BA31" s="120"/>
      <c r="BB31" s="121"/>
      <c r="BC31" s="128" t="str">
        <v/>
      </c>
      <c r="BD31" s="136" t="str">
        <v/>
      </c>
      <c r="BE31" s="123"/>
    </row>
    <row r="32" spans="1:57">
      <c r="A32" s="43"/>
      <c r="B32" s="137"/>
      <c r="C32" s="138"/>
      <c r="D32" s="139"/>
      <c r="E32" s="114"/>
      <c r="F32" s="115"/>
      <c r="G32" s="116"/>
      <c r="H32" s="116"/>
      <c r="I32" s="117"/>
      <c r="J32" s="127" t="str">
        <v/>
      </c>
      <c r="K32" s="115"/>
      <c r="L32" s="116"/>
      <c r="M32" s="116"/>
      <c r="N32" s="117"/>
      <c r="O32" s="127" t="str">
        <v/>
      </c>
      <c r="P32" s="115"/>
      <c r="Q32" s="116"/>
      <c r="R32" s="116"/>
      <c r="S32" s="117"/>
      <c r="T32" s="127" t="str">
        <v/>
      </c>
      <c r="U32" s="119"/>
      <c r="V32" s="120"/>
      <c r="W32" s="120"/>
      <c r="X32" s="121"/>
      <c r="Y32" s="128" t="str">
        <v/>
      </c>
      <c r="Z32" s="119"/>
      <c r="AA32" s="120"/>
      <c r="AB32" s="120"/>
      <c r="AC32" s="121"/>
      <c r="AD32" s="128" t="str">
        <v/>
      </c>
      <c r="AE32" s="119"/>
      <c r="AF32" s="120"/>
      <c r="AG32" s="120"/>
      <c r="AH32" s="121"/>
      <c r="AI32" s="128" t="str">
        <v/>
      </c>
      <c r="AJ32" s="119"/>
      <c r="AK32" s="120"/>
      <c r="AL32" s="120"/>
      <c r="AM32" s="121"/>
      <c r="AN32" s="128" t="str">
        <v/>
      </c>
      <c r="AO32" s="119"/>
      <c r="AP32" s="120"/>
      <c r="AQ32" s="120"/>
      <c r="AR32" s="121"/>
      <c r="AS32" s="128" t="str">
        <v/>
      </c>
      <c r="AT32" s="119"/>
      <c r="AU32" s="120"/>
      <c r="AV32" s="120"/>
      <c r="AW32" s="121"/>
      <c r="AX32" s="128" t="str">
        <v/>
      </c>
      <c r="AY32" s="119"/>
      <c r="AZ32" s="120"/>
      <c r="BA32" s="120"/>
      <c r="BB32" s="121"/>
      <c r="BC32" s="128" t="str">
        <v/>
      </c>
      <c r="BD32" s="136" t="str">
        <v/>
      </c>
      <c r="BE32" s="123"/>
    </row>
    <row r="33" spans="1:57">
      <c r="A33" s="43"/>
      <c r="B33" s="137"/>
      <c r="C33" s="138"/>
      <c r="D33" s="139"/>
      <c r="E33" s="114"/>
      <c r="F33" s="115"/>
      <c r="G33" s="116"/>
      <c r="H33" s="116"/>
      <c r="I33" s="117"/>
      <c r="J33" s="127" t="str">
        <v/>
      </c>
      <c r="K33" s="115"/>
      <c r="L33" s="116"/>
      <c r="M33" s="116"/>
      <c r="N33" s="117"/>
      <c r="O33" s="127" t="str">
        <v/>
      </c>
      <c r="P33" s="115"/>
      <c r="Q33" s="116"/>
      <c r="R33" s="116"/>
      <c r="S33" s="117"/>
      <c r="T33" s="127" t="str">
        <v/>
      </c>
      <c r="U33" s="119"/>
      <c r="V33" s="120"/>
      <c r="W33" s="120"/>
      <c r="X33" s="121"/>
      <c r="Y33" s="128" t="str">
        <v/>
      </c>
      <c r="Z33" s="119"/>
      <c r="AA33" s="120"/>
      <c r="AB33" s="120"/>
      <c r="AC33" s="121"/>
      <c r="AD33" s="128" t="str">
        <v/>
      </c>
      <c r="AE33" s="119"/>
      <c r="AF33" s="120"/>
      <c r="AG33" s="120"/>
      <c r="AH33" s="121"/>
      <c r="AI33" s="128" t="str">
        <v/>
      </c>
      <c r="AJ33" s="119"/>
      <c r="AK33" s="120"/>
      <c r="AL33" s="120"/>
      <c r="AM33" s="121"/>
      <c r="AN33" s="128" t="str">
        <v/>
      </c>
      <c r="AO33" s="119"/>
      <c r="AP33" s="120"/>
      <c r="AQ33" s="120"/>
      <c r="AR33" s="121"/>
      <c r="AS33" s="128" t="str">
        <v/>
      </c>
      <c r="AT33" s="119"/>
      <c r="AU33" s="120"/>
      <c r="AV33" s="120"/>
      <c r="AW33" s="121"/>
      <c r="AX33" s="128" t="str">
        <v/>
      </c>
      <c r="AY33" s="119"/>
      <c r="AZ33" s="120"/>
      <c r="BA33" s="120"/>
      <c r="BB33" s="121"/>
      <c r="BC33" s="128" t="str">
        <v/>
      </c>
      <c r="BD33" s="136" t="str">
        <v/>
      </c>
      <c r="BE33" s="123"/>
    </row>
    <row r="34" spans="1:57">
      <c r="A34" s="43"/>
      <c r="B34" s="137"/>
      <c r="C34" s="138"/>
      <c r="D34" s="139"/>
      <c r="E34" s="114"/>
      <c r="F34" s="115"/>
      <c r="G34" s="116"/>
      <c r="H34" s="116"/>
      <c r="I34" s="117"/>
      <c r="J34" s="127" t="str">
        <v/>
      </c>
      <c r="K34" s="115"/>
      <c r="L34" s="116"/>
      <c r="M34" s="116"/>
      <c r="N34" s="117"/>
      <c r="O34" s="127" t="str">
        <v/>
      </c>
      <c r="P34" s="115"/>
      <c r="Q34" s="116"/>
      <c r="R34" s="116"/>
      <c r="S34" s="117"/>
      <c r="T34" s="127" t="str">
        <v/>
      </c>
      <c r="U34" s="119"/>
      <c r="V34" s="120"/>
      <c r="W34" s="120"/>
      <c r="X34" s="121"/>
      <c r="Y34" s="128" t="str">
        <v/>
      </c>
      <c r="Z34" s="119"/>
      <c r="AA34" s="120"/>
      <c r="AB34" s="120"/>
      <c r="AC34" s="121"/>
      <c r="AD34" s="128" t="str">
        <v/>
      </c>
      <c r="AE34" s="119"/>
      <c r="AF34" s="120"/>
      <c r="AG34" s="120"/>
      <c r="AH34" s="121"/>
      <c r="AI34" s="128" t="str">
        <v/>
      </c>
      <c r="AJ34" s="119"/>
      <c r="AK34" s="120"/>
      <c r="AL34" s="120"/>
      <c r="AM34" s="121"/>
      <c r="AN34" s="128" t="str">
        <v/>
      </c>
      <c r="AO34" s="119"/>
      <c r="AP34" s="120"/>
      <c r="AQ34" s="120"/>
      <c r="AR34" s="121"/>
      <c r="AS34" s="128" t="str">
        <v/>
      </c>
      <c r="AT34" s="119"/>
      <c r="AU34" s="120"/>
      <c r="AV34" s="120"/>
      <c r="AW34" s="121"/>
      <c r="AX34" s="128" t="str">
        <v/>
      </c>
      <c r="AY34" s="119"/>
      <c r="AZ34" s="120"/>
      <c r="BA34" s="120"/>
      <c r="BB34" s="121"/>
      <c r="BC34" s="128" t="str">
        <v/>
      </c>
      <c r="BD34" s="136" t="str">
        <v/>
      </c>
      <c r="BE34" s="123"/>
    </row>
    <row r="35" spans="1:57">
      <c r="A35" s="43"/>
      <c r="B35" s="137"/>
      <c r="C35" s="138"/>
      <c r="D35" s="139"/>
      <c r="E35" s="114"/>
      <c r="F35" s="115"/>
      <c r="G35" s="116"/>
      <c r="H35" s="116"/>
      <c r="I35" s="117"/>
      <c r="J35" s="127" t="str">
        <v/>
      </c>
      <c r="K35" s="115"/>
      <c r="L35" s="116"/>
      <c r="M35" s="116"/>
      <c r="N35" s="117"/>
      <c r="O35" s="127" t="str">
        <v/>
      </c>
      <c r="P35" s="115"/>
      <c r="Q35" s="116"/>
      <c r="R35" s="116"/>
      <c r="S35" s="117"/>
      <c r="T35" s="127" t="str">
        <v/>
      </c>
      <c r="U35" s="119"/>
      <c r="V35" s="120"/>
      <c r="W35" s="120"/>
      <c r="X35" s="121"/>
      <c r="Y35" s="128" t="str">
        <v/>
      </c>
      <c r="Z35" s="119"/>
      <c r="AA35" s="120"/>
      <c r="AB35" s="120"/>
      <c r="AC35" s="121"/>
      <c r="AD35" s="128" t="str">
        <v/>
      </c>
      <c r="AE35" s="119"/>
      <c r="AF35" s="120"/>
      <c r="AG35" s="120"/>
      <c r="AH35" s="121"/>
      <c r="AI35" s="128" t="str">
        <v/>
      </c>
      <c r="AJ35" s="119"/>
      <c r="AK35" s="120"/>
      <c r="AL35" s="120"/>
      <c r="AM35" s="121"/>
      <c r="AN35" s="128" t="str">
        <v/>
      </c>
      <c r="AO35" s="119"/>
      <c r="AP35" s="120"/>
      <c r="AQ35" s="120"/>
      <c r="AR35" s="121"/>
      <c r="AS35" s="128" t="str">
        <v/>
      </c>
      <c r="AT35" s="119"/>
      <c r="AU35" s="120"/>
      <c r="AV35" s="120"/>
      <c r="AW35" s="121"/>
      <c r="AX35" s="128" t="str">
        <v/>
      </c>
      <c r="AY35" s="119"/>
      <c r="AZ35" s="120"/>
      <c r="BA35" s="120"/>
      <c r="BB35" s="121"/>
      <c r="BC35" s="128" t="str">
        <v/>
      </c>
      <c r="BD35" s="136" t="str">
        <v/>
      </c>
      <c r="BE35" s="123"/>
    </row>
    <row r="36" spans="1:57">
      <c r="A36" s="43"/>
      <c r="B36" s="137"/>
      <c r="C36" s="138"/>
      <c r="D36" s="139"/>
      <c r="E36" s="114"/>
      <c r="F36" s="115"/>
      <c r="G36" s="116"/>
      <c r="H36" s="116"/>
      <c r="I36" s="117"/>
      <c r="J36" s="127" t="str">
        <v/>
      </c>
      <c r="K36" s="115"/>
      <c r="L36" s="116"/>
      <c r="M36" s="116"/>
      <c r="N36" s="117"/>
      <c r="O36" s="127" t="str">
        <v/>
      </c>
      <c r="P36" s="115"/>
      <c r="Q36" s="116"/>
      <c r="R36" s="116"/>
      <c r="S36" s="117"/>
      <c r="T36" s="127" t="str">
        <v/>
      </c>
      <c r="U36" s="119"/>
      <c r="V36" s="120"/>
      <c r="W36" s="120"/>
      <c r="X36" s="121"/>
      <c r="Y36" s="128" t="str">
        <v/>
      </c>
      <c r="Z36" s="119"/>
      <c r="AA36" s="120"/>
      <c r="AB36" s="120"/>
      <c r="AC36" s="121"/>
      <c r="AD36" s="128" t="str">
        <v/>
      </c>
      <c r="AE36" s="119"/>
      <c r="AF36" s="120"/>
      <c r="AG36" s="120"/>
      <c r="AH36" s="121"/>
      <c r="AI36" s="128" t="str">
        <v/>
      </c>
      <c r="AJ36" s="119"/>
      <c r="AK36" s="120"/>
      <c r="AL36" s="120"/>
      <c r="AM36" s="121"/>
      <c r="AN36" s="128" t="str">
        <v/>
      </c>
      <c r="AO36" s="119"/>
      <c r="AP36" s="120"/>
      <c r="AQ36" s="120"/>
      <c r="AR36" s="121"/>
      <c r="AS36" s="128" t="str">
        <v/>
      </c>
      <c r="AT36" s="119"/>
      <c r="AU36" s="120"/>
      <c r="AV36" s="120"/>
      <c r="AW36" s="121"/>
      <c r="AX36" s="128" t="str">
        <v/>
      </c>
      <c r="AY36" s="119"/>
      <c r="AZ36" s="120"/>
      <c r="BA36" s="120"/>
      <c r="BB36" s="121"/>
      <c r="BC36" s="128" t="str">
        <v/>
      </c>
      <c r="BD36" s="136" t="str">
        <v/>
      </c>
      <c r="BE36" s="123"/>
    </row>
    <row r="37" spans="1:57">
      <c r="A37" s="43"/>
      <c r="B37" s="137"/>
      <c r="C37" s="138"/>
      <c r="D37" s="139"/>
      <c r="E37" s="114"/>
      <c r="F37" s="115"/>
      <c r="G37" s="116"/>
      <c r="H37" s="116"/>
      <c r="I37" s="117"/>
      <c r="J37" s="127" t="str">
        <v/>
      </c>
      <c r="K37" s="115"/>
      <c r="L37" s="116"/>
      <c r="M37" s="116"/>
      <c r="N37" s="117"/>
      <c r="O37" s="127" t="str">
        <v/>
      </c>
      <c r="P37" s="115"/>
      <c r="Q37" s="116"/>
      <c r="R37" s="116"/>
      <c r="S37" s="117"/>
      <c r="T37" s="127" t="str">
        <v/>
      </c>
      <c r="U37" s="119"/>
      <c r="V37" s="120"/>
      <c r="W37" s="120"/>
      <c r="X37" s="121"/>
      <c r="Y37" s="128" t="str">
        <v/>
      </c>
      <c r="Z37" s="119"/>
      <c r="AA37" s="120"/>
      <c r="AB37" s="120"/>
      <c r="AC37" s="121"/>
      <c r="AD37" s="128" t="str">
        <v/>
      </c>
      <c r="AE37" s="119"/>
      <c r="AF37" s="120"/>
      <c r="AG37" s="120"/>
      <c r="AH37" s="121"/>
      <c r="AI37" s="128" t="str">
        <v/>
      </c>
      <c r="AJ37" s="119"/>
      <c r="AK37" s="120"/>
      <c r="AL37" s="120"/>
      <c r="AM37" s="121"/>
      <c r="AN37" s="128" t="str">
        <v/>
      </c>
      <c r="AO37" s="119"/>
      <c r="AP37" s="120"/>
      <c r="AQ37" s="120"/>
      <c r="AR37" s="121"/>
      <c r="AS37" s="128" t="str">
        <v/>
      </c>
      <c r="AT37" s="119"/>
      <c r="AU37" s="120"/>
      <c r="AV37" s="120"/>
      <c r="AW37" s="121"/>
      <c r="AX37" s="128" t="str">
        <v/>
      </c>
      <c r="AY37" s="119"/>
      <c r="AZ37" s="120"/>
      <c r="BA37" s="120"/>
      <c r="BB37" s="121"/>
      <c r="BC37" s="128" t="str">
        <v/>
      </c>
      <c r="BD37" s="136" t="str">
        <v/>
      </c>
      <c r="BE37" s="123"/>
    </row>
    <row r="38" spans="1:57">
      <c r="A38" s="43"/>
      <c r="B38" s="137"/>
      <c r="C38" s="138"/>
      <c r="D38" s="139"/>
      <c r="E38" s="114"/>
      <c r="F38" s="115"/>
      <c r="G38" s="116"/>
      <c r="H38" s="116"/>
      <c r="I38" s="117"/>
      <c r="J38" s="127" t="str">
        <v/>
      </c>
      <c r="K38" s="115"/>
      <c r="L38" s="116"/>
      <c r="M38" s="116"/>
      <c r="N38" s="117"/>
      <c r="O38" s="127" t="str">
        <v/>
      </c>
      <c r="P38" s="115"/>
      <c r="Q38" s="116"/>
      <c r="R38" s="116"/>
      <c r="S38" s="117"/>
      <c r="T38" s="127" t="str">
        <v/>
      </c>
      <c r="U38" s="119"/>
      <c r="V38" s="120"/>
      <c r="W38" s="120"/>
      <c r="X38" s="121"/>
      <c r="Y38" s="128" t="str">
        <v/>
      </c>
      <c r="Z38" s="119"/>
      <c r="AA38" s="120"/>
      <c r="AB38" s="120"/>
      <c r="AC38" s="121"/>
      <c r="AD38" s="128" t="str">
        <v/>
      </c>
      <c r="AE38" s="119"/>
      <c r="AF38" s="120"/>
      <c r="AG38" s="120"/>
      <c r="AH38" s="121"/>
      <c r="AI38" s="128" t="str">
        <v/>
      </c>
      <c r="AJ38" s="119"/>
      <c r="AK38" s="120"/>
      <c r="AL38" s="120"/>
      <c r="AM38" s="121"/>
      <c r="AN38" s="128" t="str">
        <v/>
      </c>
      <c r="AO38" s="119"/>
      <c r="AP38" s="120"/>
      <c r="AQ38" s="120"/>
      <c r="AR38" s="121"/>
      <c r="AS38" s="128" t="str">
        <v/>
      </c>
      <c r="AT38" s="119"/>
      <c r="AU38" s="120"/>
      <c r="AV38" s="120"/>
      <c r="AW38" s="121"/>
      <c r="AX38" s="128" t="str">
        <v/>
      </c>
      <c r="AY38" s="119"/>
      <c r="AZ38" s="120"/>
      <c r="BA38" s="120"/>
      <c r="BB38" s="121"/>
      <c r="BC38" s="128" t="str">
        <v/>
      </c>
      <c r="BD38" s="136" t="str">
        <v/>
      </c>
      <c r="BE38" s="123"/>
    </row>
    <row r="39" spans="1:57">
      <c r="A39" s="43"/>
      <c r="B39" s="137"/>
      <c r="C39" s="138"/>
      <c r="D39" s="139"/>
      <c r="E39" s="114"/>
      <c r="F39" s="115"/>
      <c r="G39" s="116"/>
      <c r="H39" s="116"/>
      <c r="I39" s="117"/>
      <c r="J39" s="127" t="str">
        <v/>
      </c>
      <c r="K39" s="115"/>
      <c r="L39" s="116"/>
      <c r="M39" s="116"/>
      <c r="N39" s="117"/>
      <c r="O39" s="127" t="str">
        <v/>
      </c>
      <c r="P39" s="115"/>
      <c r="Q39" s="116"/>
      <c r="R39" s="116"/>
      <c r="S39" s="117"/>
      <c r="T39" s="127" t="str">
        <v/>
      </c>
      <c r="U39" s="119"/>
      <c r="V39" s="120"/>
      <c r="W39" s="120"/>
      <c r="X39" s="121"/>
      <c r="Y39" s="128" t="str">
        <v/>
      </c>
      <c r="Z39" s="119"/>
      <c r="AA39" s="120"/>
      <c r="AB39" s="120"/>
      <c r="AC39" s="121"/>
      <c r="AD39" s="128" t="str">
        <v/>
      </c>
      <c r="AE39" s="119"/>
      <c r="AF39" s="120"/>
      <c r="AG39" s="120"/>
      <c r="AH39" s="121"/>
      <c r="AI39" s="128" t="str">
        <v/>
      </c>
      <c r="AJ39" s="119"/>
      <c r="AK39" s="120"/>
      <c r="AL39" s="120"/>
      <c r="AM39" s="121"/>
      <c r="AN39" s="128" t="str">
        <v/>
      </c>
      <c r="AO39" s="119"/>
      <c r="AP39" s="120"/>
      <c r="AQ39" s="120"/>
      <c r="AR39" s="121"/>
      <c r="AS39" s="128" t="str">
        <v/>
      </c>
      <c r="AT39" s="119"/>
      <c r="AU39" s="120"/>
      <c r="AV39" s="120"/>
      <c r="AW39" s="121"/>
      <c r="AX39" s="128" t="str">
        <v/>
      </c>
      <c r="AY39" s="119"/>
      <c r="AZ39" s="120"/>
      <c r="BA39" s="120"/>
      <c r="BB39" s="121"/>
      <c r="BC39" s="128" t="str">
        <v/>
      </c>
      <c r="BD39" s="136" t="str">
        <v/>
      </c>
      <c r="BE39" s="123"/>
    </row>
    <row r="40" spans="1:57">
      <c r="A40" s="43"/>
      <c r="B40" s="137"/>
      <c r="C40" s="138"/>
      <c r="D40" s="139"/>
      <c r="E40" s="114"/>
      <c r="F40" s="115"/>
      <c r="G40" s="116"/>
      <c r="H40" s="116"/>
      <c r="I40" s="117"/>
      <c r="J40" s="127" t="str">
        <v/>
      </c>
      <c r="K40" s="115"/>
      <c r="L40" s="116"/>
      <c r="M40" s="116"/>
      <c r="N40" s="117"/>
      <c r="O40" s="127" t="str">
        <v/>
      </c>
      <c r="P40" s="115"/>
      <c r="Q40" s="116"/>
      <c r="R40" s="116"/>
      <c r="S40" s="117"/>
      <c r="T40" s="127" t="str">
        <v/>
      </c>
      <c r="U40" s="119"/>
      <c r="V40" s="120"/>
      <c r="W40" s="120"/>
      <c r="X40" s="121"/>
      <c r="Y40" s="128" t="str">
        <v/>
      </c>
      <c r="Z40" s="119"/>
      <c r="AA40" s="120"/>
      <c r="AB40" s="120"/>
      <c r="AC40" s="121"/>
      <c r="AD40" s="128" t="str">
        <v/>
      </c>
      <c r="AE40" s="119"/>
      <c r="AF40" s="120"/>
      <c r="AG40" s="120"/>
      <c r="AH40" s="121"/>
      <c r="AI40" s="128" t="str">
        <v/>
      </c>
      <c r="AJ40" s="119"/>
      <c r="AK40" s="120"/>
      <c r="AL40" s="120"/>
      <c r="AM40" s="121"/>
      <c r="AN40" s="128" t="str">
        <v/>
      </c>
      <c r="AO40" s="119"/>
      <c r="AP40" s="120"/>
      <c r="AQ40" s="120"/>
      <c r="AR40" s="121"/>
      <c r="AS40" s="128" t="str">
        <v/>
      </c>
      <c r="AT40" s="119"/>
      <c r="AU40" s="120"/>
      <c r="AV40" s="120"/>
      <c r="AW40" s="121"/>
      <c r="AX40" s="128" t="str">
        <v/>
      </c>
      <c r="AY40" s="119"/>
      <c r="AZ40" s="120"/>
      <c r="BA40" s="120"/>
      <c r="BB40" s="121"/>
      <c r="BC40" s="128" t="str">
        <v/>
      </c>
      <c r="BD40" s="136" t="str">
        <v/>
      </c>
      <c r="BE40" s="123"/>
    </row>
    <row r="41" spans="1:57">
      <c r="A41" s="43"/>
      <c r="B41" s="137"/>
      <c r="C41" s="138"/>
      <c r="D41" s="139"/>
      <c r="E41" s="114"/>
      <c r="F41" s="115"/>
      <c r="G41" s="116"/>
      <c r="H41" s="116"/>
      <c r="I41" s="117"/>
      <c r="J41" s="127" t="str">
        <v/>
      </c>
      <c r="K41" s="115"/>
      <c r="L41" s="116"/>
      <c r="M41" s="116"/>
      <c r="N41" s="117"/>
      <c r="O41" s="127" t="str">
        <v/>
      </c>
      <c r="P41" s="115"/>
      <c r="Q41" s="116"/>
      <c r="R41" s="116"/>
      <c r="S41" s="117"/>
      <c r="T41" s="127" t="str">
        <v/>
      </c>
      <c r="U41" s="119"/>
      <c r="V41" s="120"/>
      <c r="W41" s="120"/>
      <c r="X41" s="121"/>
      <c r="Y41" s="128" t="str">
        <v/>
      </c>
      <c r="Z41" s="119"/>
      <c r="AA41" s="120"/>
      <c r="AB41" s="120"/>
      <c r="AC41" s="121"/>
      <c r="AD41" s="128" t="str">
        <v/>
      </c>
      <c r="AE41" s="119"/>
      <c r="AF41" s="120"/>
      <c r="AG41" s="120"/>
      <c r="AH41" s="121"/>
      <c r="AI41" s="128" t="str">
        <v/>
      </c>
      <c r="AJ41" s="119"/>
      <c r="AK41" s="120"/>
      <c r="AL41" s="120"/>
      <c r="AM41" s="121"/>
      <c r="AN41" s="128" t="str">
        <v/>
      </c>
      <c r="AO41" s="119"/>
      <c r="AP41" s="120"/>
      <c r="AQ41" s="120"/>
      <c r="AR41" s="121"/>
      <c r="AS41" s="128" t="str">
        <v/>
      </c>
      <c r="AT41" s="119"/>
      <c r="AU41" s="120"/>
      <c r="AV41" s="120"/>
      <c r="AW41" s="121"/>
      <c r="AX41" s="128" t="str">
        <v/>
      </c>
      <c r="AY41" s="119"/>
      <c r="AZ41" s="120"/>
      <c r="BA41" s="120"/>
      <c r="BB41" s="121"/>
      <c r="BC41" s="128" t="str">
        <v/>
      </c>
      <c r="BD41" s="136" t="str">
        <v/>
      </c>
      <c r="BE41" s="123"/>
    </row>
    <row r="42" spans="1:57">
      <c r="A42" s="43"/>
      <c r="B42" s="137"/>
      <c r="C42" s="138"/>
      <c r="D42" s="139"/>
      <c r="E42" s="114"/>
      <c r="F42" s="115"/>
      <c r="G42" s="116"/>
      <c r="H42" s="116"/>
      <c r="I42" s="117"/>
      <c r="J42" s="127" t="str">
        <v/>
      </c>
      <c r="K42" s="115"/>
      <c r="L42" s="116"/>
      <c r="M42" s="116"/>
      <c r="N42" s="117"/>
      <c r="O42" s="127" t="str">
        <v/>
      </c>
      <c r="P42" s="115"/>
      <c r="Q42" s="116"/>
      <c r="R42" s="116"/>
      <c r="S42" s="117"/>
      <c r="T42" s="127" t="str">
        <v/>
      </c>
      <c r="U42" s="119"/>
      <c r="V42" s="120"/>
      <c r="W42" s="120"/>
      <c r="X42" s="121"/>
      <c r="Y42" s="128" t="str">
        <v/>
      </c>
      <c r="Z42" s="119"/>
      <c r="AA42" s="120"/>
      <c r="AB42" s="120"/>
      <c r="AC42" s="121"/>
      <c r="AD42" s="128" t="str">
        <v/>
      </c>
      <c r="AE42" s="119"/>
      <c r="AF42" s="120"/>
      <c r="AG42" s="120"/>
      <c r="AH42" s="121"/>
      <c r="AI42" s="128" t="str">
        <v/>
      </c>
      <c r="AJ42" s="119"/>
      <c r="AK42" s="120"/>
      <c r="AL42" s="120"/>
      <c r="AM42" s="121"/>
      <c r="AN42" s="128" t="str">
        <v/>
      </c>
      <c r="AO42" s="119"/>
      <c r="AP42" s="120"/>
      <c r="AQ42" s="120"/>
      <c r="AR42" s="121"/>
      <c r="AS42" s="128" t="str">
        <v/>
      </c>
      <c r="AT42" s="119"/>
      <c r="AU42" s="120"/>
      <c r="AV42" s="120"/>
      <c r="AW42" s="121"/>
      <c r="AX42" s="128" t="str">
        <v/>
      </c>
      <c r="AY42" s="119"/>
      <c r="AZ42" s="120"/>
      <c r="BA42" s="120"/>
      <c r="BB42" s="121"/>
      <c r="BC42" s="128" t="str">
        <v/>
      </c>
      <c r="BD42" s="136" t="str">
        <v/>
      </c>
      <c r="BE42" s="123"/>
    </row>
    <row r="43" spans="1:57">
      <c r="A43" s="43"/>
      <c r="B43" s="137"/>
      <c r="C43" s="138"/>
      <c r="D43" s="139"/>
      <c r="E43" s="114"/>
      <c r="F43" s="115"/>
      <c r="G43" s="116"/>
      <c r="H43" s="116"/>
      <c r="I43" s="117"/>
      <c r="J43" s="127" t="str">
        <v/>
      </c>
      <c r="K43" s="115"/>
      <c r="L43" s="116"/>
      <c r="M43" s="116"/>
      <c r="N43" s="117"/>
      <c r="O43" s="127" t="str">
        <v/>
      </c>
      <c r="P43" s="115"/>
      <c r="Q43" s="116"/>
      <c r="R43" s="116"/>
      <c r="S43" s="117"/>
      <c r="T43" s="127" t="str">
        <v/>
      </c>
      <c r="U43" s="119"/>
      <c r="V43" s="120"/>
      <c r="W43" s="120"/>
      <c r="X43" s="121"/>
      <c r="Y43" s="128" t="str">
        <v/>
      </c>
      <c r="Z43" s="119"/>
      <c r="AA43" s="120"/>
      <c r="AB43" s="120"/>
      <c r="AC43" s="121"/>
      <c r="AD43" s="128" t="str">
        <v/>
      </c>
      <c r="AE43" s="119"/>
      <c r="AF43" s="120"/>
      <c r="AG43" s="120"/>
      <c r="AH43" s="121"/>
      <c r="AI43" s="128" t="str">
        <v/>
      </c>
      <c r="AJ43" s="119"/>
      <c r="AK43" s="120"/>
      <c r="AL43" s="120"/>
      <c r="AM43" s="121"/>
      <c r="AN43" s="128" t="str">
        <v/>
      </c>
      <c r="AO43" s="119"/>
      <c r="AP43" s="120"/>
      <c r="AQ43" s="120"/>
      <c r="AR43" s="121"/>
      <c r="AS43" s="128" t="str">
        <v/>
      </c>
      <c r="AT43" s="119"/>
      <c r="AU43" s="120"/>
      <c r="AV43" s="120"/>
      <c r="AW43" s="121"/>
      <c r="AX43" s="128" t="str">
        <v/>
      </c>
      <c r="AY43" s="119"/>
      <c r="AZ43" s="120"/>
      <c r="BA43" s="120"/>
      <c r="BB43" s="121"/>
      <c r="BC43" s="128" t="str">
        <v/>
      </c>
      <c r="BD43" s="136" t="str">
        <v/>
      </c>
      <c r="BE43" s="123"/>
    </row>
    <row r="44" spans="1:57">
      <c r="A44" s="43"/>
      <c r="B44" s="137"/>
      <c r="C44" s="138"/>
      <c r="D44" s="139"/>
      <c r="E44" s="114"/>
      <c r="F44" s="115"/>
      <c r="G44" s="116"/>
      <c r="H44" s="116"/>
      <c r="I44" s="117"/>
      <c r="J44" s="127" t="str">
        <v/>
      </c>
      <c r="K44" s="115"/>
      <c r="L44" s="116"/>
      <c r="M44" s="116"/>
      <c r="N44" s="117"/>
      <c r="O44" s="127" t="str">
        <v/>
      </c>
      <c r="P44" s="115"/>
      <c r="Q44" s="116"/>
      <c r="R44" s="116"/>
      <c r="S44" s="117"/>
      <c r="T44" s="127" t="str">
        <v/>
      </c>
      <c r="U44" s="119"/>
      <c r="V44" s="120"/>
      <c r="W44" s="120"/>
      <c r="X44" s="121"/>
      <c r="Y44" s="128" t="str">
        <v/>
      </c>
      <c r="Z44" s="119"/>
      <c r="AA44" s="120"/>
      <c r="AB44" s="120"/>
      <c r="AC44" s="121"/>
      <c r="AD44" s="128" t="str">
        <v/>
      </c>
      <c r="AE44" s="119"/>
      <c r="AF44" s="120"/>
      <c r="AG44" s="120"/>
      <c r="AH44" s="121"/>
      <c r="AI44" s="128" t="str">
        <v/>
      </c>
      <c r="AJ44" s="119"/>
      <c r="AK44" s="120"/>
      <c r="AL44" s="120"/>
      <c r="AM44" s="121"/>
      <c r="AN44" s="128" t="str">
        <v/>
      </c>
      <c r="AO44" s="119"/>
      <c r="AP44" s="120"/>
      <c r="AQ44" s="120"/>
      <c r="AR44" s="121"/>
      <c r="AS44" s="128" t="str">
        <v/>
      </c>
      <c r="AT44" s="119"/>
      <c r="AU44" s="120"/>
      <c r="AV44" s="120"/>
      <c r="AW44" s="121"/>
      <c r="AX44" s="128" t="str">
        <v/>
      </c>
      <c r="AY44" s="119"/>
      <c r="AZ44" s="120"/>
      <c r="BA44" s="120"/>
      <c r="BB44" s="121"/>
      <c r="BC44" s="128" t="str">
        <v/>
      </c>
      <c r="BD44" s="136" t="str">
        <v/>
      </c>
      <c r="BE44" s="123"/>
    </row>
    <row r="45" spans="1:57">
      <c r="A45" s="43"/>
      <c r="B45" s="137"/>
      <c r="C45" s="138"/>
      <c r="D45" s="139"/>
      <c r="E45" s="114"/>
      <c r="F45" s="115"/>
      <c r="G45" s="116"/>
      <c r="H45" s="116"/>
      <c r="I45" s="117"/>
      <c r="J45" s="127" t="str">
        <v/>
      </c>
      <c r="K45" s="115"/>
      <c r="L45" s="116"/>
      <c r="M45" s="116"/>
      <c r="N45" s="117"/>
      <c r="O45" s="127" t="str">
        <v/>
      </c>
      <c r="P45" s="115"/>
      <c r="Q45" s="116"/>
      <c r="R45" s="116"/>
      <c r="S45" s="117"/>
      <c r="T45" s="127" t="str">
        <v/>
      </c>
      <c r="U45" s="119"/>
      <c r="V45" s="120"/>
      <c r="W45" s="120"/>
      <c r="X45" s="121"/>
      <c r="Y45" s="128" t="str">
        <v/>
      </c>
      <c r="Z45" s="119"/>
      <c r="AA45" s="120"/>
      <c r="AB45" s="120"/>
      <c r="AC45" s="121"/>
      <c r="AD45" s="128" t="str">
        <v/>
      </c>
      <c r="AE45" s="119"/>
      <c r="AF45" s="120"/>
      <c r="AG45" s="120"/>
      <c r="AH45" s="121"/>
      <c r="AI45" s="128" t="str">
        <v/>
      </c>
      <c r="AJ45" s="119"/>
      <c r="AK45" s="120"/>
      <c r="AL45" s="120"/>
      <c r="AM45" s="121"/>
      <c r="AN45" s="128" t="str">
        <v/>
      </c>
      <c r="AO45" s="119"/>
      <c r="AP45" s="120"/>
      <c r="AQ45" s="120"/>
      <c r="AR45" s="121"/>
      <c r="AS45" s="128" t="str">
        <v/>
      </c>
      <c r="AT45" s="119"/>
      <c r="AU45" s="120"/>
      <c r="AV45" s="120"/>
      <c r="AW45" s="121"/>
      <c r="AX45" s="128" t="str">
        <v/>
      </c>
      <c r="AY45" s="119"/>
      <c r="AZ45" s="120"/>
      <c r="BA45" s="120"/>
      <c r="BB45" s="121"/>
      <c r="BC45" s="128" t="str">
        <v/>
      </c>
      <c r="BD45" s="136" t="str">
        <v/>
      </c>
      <c r="BE45" s="123"/>
    </row>
    <row r="46" spans="1:57">
      <c r="A46" s="43"/>
      <c r="B46" s="137"/>
      <c r="C46" s="138"/>
      <c r="D46" s="139"/>
      <c r="E46" s="114"/>
      <c r="F46" s="115"/>
      <c r="G46" s="116"/>
      <c r="H46" s="116"/>
      <c r="I46" s="117"/>
      <c r="J46" s="127" t="str">
        <v/>
      </c>
      <c r="K46" s="115"/>
      <c r="L46" s="116"/>
      <c r="M46" s="116"/>
      <c r="N46" s="117"/>
      <c r="O46" s="127" t="str">
        <v/>
      </c>
      <c r="P46" s="115"/>
      <c r="Q46" s="116"/>
      <c r="R46" s="116"/>
      <c r="S46" s="117"/>
      <c r="T46" s="127" t="str">
        <v/>
      </c>
      <c r="U46" s="119"/>
      <c r="V46" s="120"/>
      <c r="W46" s="120"/>
      <c r="X46" s="121"/>
      <c r="Y46" s="128" t="str">
        <v/>
      </c>
      <c r="Z46" s="119"/>
      <c r="AA46" s="120"/>
      <c r="AB46" s="120"/>
      <c r="AC46" s="121"/>
      <c r="AD46" s="128" t="str">
        <v/>
      </c>
      <c r="AE46" s="119"/>
      <c r="AF46" s="120"/>
      <c r="AG46" s="120"/>
      <c r="AH46" s="121"/>
      <c r="AI46" s="128" t="str">
        <v/>
      </c>
      <c r="AJ46" s="119"/>
      <c r="AK46" s="120"/>
      <c r="AL46" s="120"/>
      <c r="AM46" s="121"/>
      <c r="AN46" s="128" t="str">
        <v/>
      </c>
      <c r="AO46" s="119"/>
      <c r="AP46" s="120"/>
      <c r="AQ46" s="120"/>
      <c r="AR46" s="121"/>
      <c r="AS46" s="128" t="str">
        <v/>
      </c>
      <c r="AT46" s="119"/>
      <c r="AU46" s="120"/>
      <c r="AV46" s="120"/>
      <c r="AW46" s="121"/>
      <c r="AX46" s="128" t="str">
        <v/>
      </c>
      <c r="AY46" s="119"/>
      <c r="AZ46" s="120"/>
      <c r="BA46" s="120"/>
      <c r="BB46" s="121"/>
      <c r="BC46" s="128" t="str">
        <v/>
      </c>
      <c r="BD46" s="136" t="str">
        <v/>
      </c>
      <c r="BE46" s="123"/>
    </row>
    <row r="47" spans="1:57">
      <c r="A47" s="43"/>
      <c r="B47" s="137"/>
      <c r="C47" s="138"/>
      <c r="D47" s="139"/>
      <c r="E47" s="114"/>
      <c r="F47" s="115"/>
      <c r="G47" s="116"/>
      <c r="H47" s="116"/>
      <c r="I47" s="117"/>
      <c r="J47" s="127" t="str">
        <v/>
      </c>
      <c r="K47" s="115"/>
      <c r="L47" s="116"/>
      <c r="M47" s="116"/>
      <c r="N47" s="117"/>
      <c r="O47" s="127" t="str">
        <v/>
      </c>
      <c r="P47" s="115"/>
      <c r="Q47" s="116"/>
      <c r="R47" s="116"/>
      <c r="S47" s="117"/>
      <c r="T47" s="127" t="str">
        <v/>
      </c>
      <c r="U47" s="119"/>
      <c r="V47" s="120"/>
      <c r="W47" s="120"/>
      <c r="X47" s="121"/>
      <c r="Y47" s="128" t="str">
        <v/>
      </c>
      <c r="Z47" s="119"/>
      <c r="AA47" s="120"/>
      <c r="AB47" s="120"/>
      <c r="AC47" s="121"/>
      <c r="AD47" s="128" t="str">
        <v/>
      </c>
      <c r="AE47" s="119"/>
      <c r="AF47" s="120"/>
      <c r="AG47" s="120"/>
      <c r="AH47" s="121"/>
      <c r="AI47" s="128" t="str">
        <v/>
      </c>
      <c r="AJ47" s="119"/>
      <c r="AK47" s="120"/>
      <c r="AL47" s="120"/>
      <c r="AM47" s="121"/>
      <c r="AN47" s="128" t="str">
        <v/>
      </c>
      <c r="AO47" s="119"/>
      <c r="AP47" s="120"/>
      <c r="AQ47" s="120"/>
      <c r="AR47" s="121"/>
      <c r="AS47" s="128" t="str">
        <v/>
      </c>
      <c r="AT47" s="119"/>
      <c r="AU47" s="120"/>
      <c r="AV47" s="120"/>
      <c r="AW47" s="121"/>
      <c r="AX47" s="128" t="str">
        <v/>
      </c>
      <c r="AY47" s="119"/>
      <c r="AZ47" s="120"/>
      <c r="BA47" s="120"/>
      <c r="BB47" s="121"/>
      <c r="BC47" s="128" t="str">
        <v/>
      </c>
      <c r="BD47" s="136" t="str">
        <v/>
      </c>
      <c r="BE47" s="123"/>
    </row>
    <row r="48" spans="1:57">
      <c r="A48" s="43"/>
      <c r="B48" s="137"/>
      <c r="C48" s="138"/>
      <c r="D48" s="139"/>
      <c r="E48" s="114"/>
      <c r="F48" s="115"/>
      <c r="G48" s="116"/>
      <c r="H48" s="116"/>
      <c r="I48" s="117"/>
      <c r="J48" s="127" t="str">
        <v/>
      </c>
      <c r="K48" s="115"/>
      <c r="L48" s="116"/>
      <c r="M48" s="116"/>
      <c r="N48" s="117"/>
      <c r="O48" s="127" t="str">
        <v/>
      </c>
      <c r="P48" s="115"/>
      <c r="Q48" s="116"/>
      <c r="R48" s="116"/>
      <c r="S48" s="117"/>
      <c r="T48" s="127" t="str">
        <v/>
      </c>
      <c r="U48" s="119"/>
      <c r="V48" s="120"/>
      <c r="W48" s="120"/>
      <c r="X48" s="121"/>
      <c r="Y48" s="128" t="str">
        <v/>
      </c>
      <c r="Z48" s="119"/>
      <c r="AA48" s="120"/>
      <c r="AB48" s="120"/>
      <c r="AC48" s="121"/>
      <c r="AD48" s="128" t="str">
        <v/>
      </c>
      <c r="AE48" s="119"/>
      <c r="AF48" s="120"/>
      <c r="AG48" s="120"/>
      <c r="AH48" s="121"/>
      <c r="AI48" s="128" t="str">
        <v/>
      </c>
      <c r="AJ48" s="119"/>
      <c r="AK48" s="120"/>
      <c r="AL48" s="120"/>
      <c r="AM48" s="121"/>
      <c r="AN48" s="128" t="str">
        <v/>
      </c>
      <c r="AO48" s="119"/>
      <c r="AP48" s="120"/>
      <c r="AQ48" s="120"/>
      <c r="AR48" s="121"/>
      <c r="AS48" s="128" t="str">
        <v/>
      </c>
      <c r="AT48" s="119"/>
      <c r="AU48" s="120"/>
      <c r="AV48" s="120"/>
      <c r="AW48" s="121"/>
      <c r="AX48" s="128" t="str">
        <v/>
      </c>
      <c r="AY48" s="119"/>
      <c r="AZ48" s="120"/>
      <c r="BA48" s="120"/>
      <c r="BB48" s="121"/>
      <c r="BC48" s="128" t="str">
        <v/>
      </c>
      <c r="BD48" s="136" t="str">
        <v/>
      </c>
      <c r="BE48" s="123"/>
    </row>
    <row r="49" spans="1:57">
      <c r="A49" s="43"/>
      <c r="B49" s="137"/>
      <c r="C49" s="138"/>
      <c r="D49" s="139"/>
      <c r="E49" s="114"/>
      <c r="F49" s="115"/>
      <c r="G49" s="116"/>
      <c r="H49" s="116"/>
      <c r="I49" s="117"/>
      <c r="J49" s="127" t="str">
        <v/>
      </c>
      <c r="K49" s="115"/>
      <c r="L49" s="116"/>
      <c r="M49" s="116"/>
      <c r="N49" s="117"/>
      <c r="O49" s="127" t="str">
        <v/>
      </c>
      <c r="P49" s="115"/>
      <c r="Q49" s="116"/>
      <c r="R49" s="116"/>
      <c r="S49" s="117"/>
      <c r="T49" s="127" t="str">
        <v/>
      </c>
      <c r="U49" s="119"/>
      <c r="V49" s="120"/>
      <c r="W49" s="120"/>
      <c r="X49" s="121"/>
      <c r="Y49" s="128" t="str">
        <v/>
      </c>
      <c r="Z49" s="119"/>
      <c r="AA49" s="120"/>
      <c r="AB49" s="120"/>
      <c r="AC49" s="121"/>
      <c r="AD49" s="128" t="str">
        <v/>
      </c>
      <c r="AE49" s="119"/>
      <c r="AF49" s="120"/>
      <c r="AG49" s="120"/>
      <c r="AH49" s="121"/>
      <c r="AI49" s="128" t="str">
        <v/>
      </c>
      <c r="AJ49" s="119"/>
      <c r="AK49" s="120"/>
      <c r="AL49" s="120"/>
      <c r="AM49" s="121"/>
      <c r="AN49" s="128" t="str">
        <v/>
      </c>
      <c r="AO49" s="119"/>
      <c r="AP49" s="120"/>
      <c r="AQ49" s="120"/>
      <c r="AR49" s="121"/>
      <c r="AS49" s="128" t="str">
        <v/>
      </c>
      <c r="AT49" s="119"/>
      <c r="AU49" s="120"/>
      <c r="AV49" s="120"/>
      <c r="AW49" s="121"/>
      <c r="AX49" s="128" t="str">
        <v/>
      </c>
      <c r="AY49" s="119"/>
      <c r="AZ49" s="120"/>
      <c r="BA49" s="120"/>
      <c r="BB49" s="121"/>
      <c r="BC49" s="128" t="str">
        <v/>
      </c>
      <c r="BD49" s="136" t="str">
        <v/>
      </c>
      <c r="BE49" s="123"/>
    </row>
    <row r="50" spans="1:57">
      <c r="A50" s="43"/>
      <c r="B50" s="137"/>
      <c r="C50" s="138"/>
      <c r="D50" s="139"/>
      <c r="E50" s="114"/>
      <c r="F50" s="115"/>
      <c r="G50" s="116"/>
      <c r="H50" s="116"/>
      <c r="I50" s="117"/>
      <c r="J50" s="127" t="str">
        <v/>
      </c>
      <c r="K50" s="115"/>
      <c r="L50" s="116"/>
      <c r="M50" s="116"/>
      <c r="N50" s="117"/>
      <c r="O50" s="127" t="str">
        <v/>
      </c>
      <c r="P50" s="115"/>
      <c r="Q50" s="116"/>
      <c r="R50" s="116"/>
      <c r="S50" s="117"/>
      <c r="T50" s="127" t="str">
        <v/>
      </c>
      <c r="U50" s="119"/>
      <c r="V50" s="120"/>
      <c r="W50" s="120"/>
      <c r="X50" s="121"/>
      <c r="Y50" s="128" t="str">
        <v/>
      </c>
      <c r="Z50" s="119"/>
      <c r="AA50" s="120"/>
      <c r="AB50" s="120"/>
      <c r="AC50" s="121"/>
      <c r="AD50" s="128" t="str">
        <v/>
      </c>
      <c r="AE50" s="119"/>
      <c r="AF50" s="120"/>
      <c r="AG50" s="120"/>
      <c r="AH50" s="121"/>
      <c r="AI50" s="128" t="str">
        <v/>
      </c>
      <c r="AJ50" s="119"/>
      <c r="AK50" s="120"/>
      <c r="AL50" s="120"/>
      <c r="AM50" s="121"/>
      <c r="AN50" s="128" t="str">
        <v/>
      </c>
      <c r="AO50" s="119"/>
      <c r="AP50" s="120"/>
      <c r="AQ50" s="120"/>
      <c r="AR50" s="121"/>
      <c r="AS50" s="128" t="str">
        <v/>
      </c>
      <c r="AT50" s="119"/>
      <c r="AU50" s="120"/>
      <c r="AV50" s="120"/>
      <c r="AW50" s="121"/>
      <c r="AX50" s="128" t="str">
        <v/>
      </c>
      <c r="AY50" s="119"/>
      <c r="AZ50" s="120"/>
      <c r="BA50" s="120"/>
      <c r="BB50" s="121"/>
      <c r="BC50" s="128" t="str">
        <v/>
      </c>
      <c r="BD50" s="136" t="str">
        <v/>
      </c>
      <c r="BE50" s="123"/>
    </row>
    <row r="51" spans="1:57">
      <c r="A51" s="43"/>
      <c r="B51" s="137"/>
      <c r="C51" s="138"/>
      <c r="D51" s="139"/>
      <c r="E51" s="114"/>
      <c r="F51" s="115"/>
      <c r="G51" s="116"/>
      <c r="H51" s="116"/>
      <c r="I51" s="117"/>
      <c r="J51" s="127" t="str">
        <v/>
      </c>
      <c r="K51" s="115"/>
      <c r="L51" s="116"/>
      <c r="M51" s="116"/>
      <c r="N51" s="117"/>
      <c r="O51" s="127" t="str">
        <v/>
      </c>
      <c r="P51" s="115"/>
      <c r="Q51" s="116"/>
      <c r="R51" s="116"/>
      <c r="S51" s="117"/>
      <c r="T51" s="127" t="str">
        <v/>
      </c>
      <c r="U51" s="119"/>
      <c r="V51" s="120"/>
      <c r="W51" s="120"/>
      <c r="X51" s="121"/>
      <c r="Y51" s="128" t="str">
        <v/>
      </c>
      <c r="Z51" s="119"/>
      <c r="AA51" s="120"/>
      <c r="AB51" s="120"/>
      <c r="AC51" s="121"/>
      <c r="AD51" s="128" t="str">
        <v/>
      </c>
      <c r="AE51" s="119"/>
      <c r="AF51" s="120"/>
      <c r="AG51" s="120"/>
      <c r="AH51" s="121"/>
      <c r="AI51" s="128" t="str">
        <v/>
      </c>
      <c r="AJ51" s="119"/>
      <c r="AK51" s="120"/>
      <c r="AL51" s="120"/>
      <c r="AM51" s="121"/>
      <c r="AN51" s="128" t="str">
        <v/>
      </c>
      <c r="AO51" s="119"/>
      <c r="AP51" s="120"/>
      <c r="AQ51" s="120"/>
      <c r="AR51" s="121"/>
      <c r="AS51" s="128" t="str">
        <v/>
      </c>
      <c r="AT51" s="119"/>
      <c r="AU51" s="120"/>
      <c r="AV51" s="120"/>
      <c r="AW51" s="121"/>
      <c r="AX51" s="128" t="str">
        <v/>
      </c>
      <c r="AY51" s="119"/>
      <c r="AZ51" s="120"/>
      <c r="BA51" s="120"/>
      <c r="BB51" s="121"/>
      <c r="BC51" s="128" t="str">
        <v/>
      </c>
      <c r="BD51" s="136" t="str">
        <v/>
      </c>
      <c r="BE51" s="123"/>
    </row>
    <row r="52" spans="1:57">
      <c r="A52" s="43"/>
      <c r="B52" s="137"/>
      <c r="C52" s="138"/>
      <c r="D52" s="139"/>
      <c r="E52" s="114"/>
      <c r="F52" s="115"/>
      <c r="G52" s="116"/>
      <c r="H52" s="116"/>
      <c r="I52" s="117"/>
      <c r="J52" s="127" t="str">
        <v/>
      </c>
      <c r="K52" s="115"/>
      <c r="L52" s="116"/>
      <c r="M52" s="116"/>
      <c r="N52" s="117"/>
      <c r="O52" s="127" t="str">
        <v/>
      </c>
      <c r="P52" s="115"/>
      <c r="Q52" s="116"/>
      <c r="R52" s="116"/>
      <c r="S52" s="117"/>
      <c r="T52" s="127" t="str">
        <v/>
      </c>
      <c r="U52" s="119"/>
      <c r="V52" s="120"/>
      <c r="W52" s="120"/>
      <c r="X52" s="121"/>
      <c r="Y52" s="128" t="str">
        <v/>
      </c>
      <c r="Z52" s="119"/>
      <c r="AA52" s="120"/>
      <c r="AB52" s="120"/>
      <c r="AC52" s="121"/>
      <c r="AD52" s="128" t="str">
        <v/>
      </c>
      <c r="AE52" s="119"/>
      <c r="AF52" s="120"/>
      <c r="AG52" s="120"/>
      <c r="AH52" s="121"/>
      <c r="AI52" s="128" t="str">
        <v/>
      </c>
      <c r="AJ52" s="119"/>
      <c r="AK52" s="120"/>
      <c r="AL52" s="120"/>
      <c r="AM52" s="121"/>
      <c r="AN52" s="128" t="str">
        <v/>
      </c>
      <c r="AO52" s="119"/>
      <c r="AP52" s="120"/>
      <c r="AQ52" s="120"/>
      <c r="AR52" s="121"/>
      <c r="AS52" s="128" t="str">
        <v/>
      </c>
      <c r="AT52" s="119"/>
      <c r="AU52" s="120"/>
      <c r="AV52" s="120"/>
      <c r="AW52" s="121"/>
      <c r="AX52" s="128" t="str">
        <v/>
      </c>
      <c r="AY52" s="119"/>
      <c r="AZ52" s="120"/>
      <c r="BA52" s="120"/>
      <c r="BB52" s="121"/>
      <c r="BC52" s="128" t="str">
        <v/>
      </c>
      <c r="BD52" s="136" t="str">
        <v/>
      </c>
      <c r="BE52" s="123"/>
    </row>
    <row r="53" spans="1:57">
      <c r="A53" s="43"/>
      <c r="B53" s="137"/>
      <c r="C53" s="138"/>
      <c r="D53" s="139"/>
      <c r="E53" s="114"/>
      <c r="F53" s="115"/>
      <c r="G53" s="116"/>
      <c r="H53" s="116"/>
      <c r="I53" s="117"/>
      <c r="J53" s="127" t="str">
        <v/>
      </c>
      <c r="K53" s="115"/>
      <c r="L53" s="116"/>
      <c r="M53" s="116"/>
      <c r="N53" s="117"/>
      <c r="O53" s="127" t="str">
        <v/>
      </c>
      <c r="P53" s="115"/>
      <c r="Q53" s="116"/>
      <c r="R53" s="116"/>
      <c r="S53" s="117"/>
      <c r="T53" s="127" t="str">
        <v/>
      </c>
      <c r="U53" s="119"/>
      <c r="V53" s="120"/>
      <c r="W53" s="120"/>
      <c r="X53" s="121"/>
      <c r="Y53" s="128" t="str">
        <v/>
      </c>
      <c r="Z53" s="119"/>
      <c r="AA53" s="120"/>
      <c r="AB53" s="120"/>
      <c r="AC53" s="121"/>
      <c r="AD53" s="128" t="str">
        <v/>
      </c>
      <c r="AE53" s="119"/>
      <c r="AF53" s="120"/>
      <c r="AG53" s="120"/>
      <c r="AH53" s="121"/>
      <c r="AI53" s="128" t="str">
        <v/>
      </c>
      <c r="AJ53" s="119"/>
      <c r="AK53" s="120"/>
      <c r="AL53" s="120"/>
      <c r="AM53" s="121"/>
      <c r="AN53" s="128" t="str">
        <v/>
      </c>
      <c r="AO53" s="119"/>
      <c r="AP53" s="120"/>
      <c r="AQ53" s="120"/>
      <c r="AR53" s="121"/>
      <c r="AS53" s="128" t="str">
        <v/>
      </c>
      <c r="AT53" s="119"/>
      <c r="AU53" s="120"/>
      <c r="AV53" s="120"/>
      <c r="AW53" s="121"/>
      <c r="AX53" s="128" t="str">
        <v/>
      </c>
      <c r="AY53" s="119"/>
      <c r="AZ53" s="120"/>
      <c r="BA53" s="120"/>
      <c r="BB53" s="121"/>
      <c r="BC53" s="128" t="str">
        <v/>
      </c>
      <c r="BD53" s="136" t="str">
        <v/>
      </c>
      <c r="BE53" s="123"/>
    </row>
    <row r="54" spans="1:57">
      <c r="A54" s="43"/>
      <c r="B54" s="137"/>
      <c r="C54" s="138"/>
      <c r="D54" s="139"/>
      <c r="E54" s="114"/>
      <c r="F54" s="115"/>
      <c r="G54" s="116"/>
      <c r="H54" s="116"/>
      <c r="I54" s="117"/>
      <c r="J54" s="127" t="str">
        <v/>
      </c>
      <c r="K54" s="115"/>
      <c r="L54" s="116"/>
      <c r="M54" s="116"/>
      <c r="N54" s="117"/>
      <c r="O54" s="127" t="str">
        <v/>
      </c>
      <c r="P54" s="115"/>
      <c r="Q54" s="116"/>
      <c r="R54" s="116"/>
      <c r="S54" s="117"/>
      <c r="T54" s="127" t="str">
        <v/>
      </c>
      <c r="U54" s="119"/>
      <c r="V54" s="120"/>
      <c r="W54" s="120"/>
      <c r="X54" s="121"/>
      <c r="Y54" s="128" t="str">
        <v/>
      </c>
      <c r="Z54" s="119"/>
      <c r="AA54" s="120"/>
      <c r="AB54" s="120"/>
      <c r="AC54" s="121"/>
      <c r="AD54" s="128" t="str">
        <v/>
      </c>
      <c r="AE54" s="119"/>
      <c r="AF54" s="120"/>
      <c r="AG54" s="120"/>
      <c r="AH54" s="121"/>
      <c r="AI54" s="128" t="str">
        <v/>
      </c>
      <c r="AJ54" s="119"/>
      <c r="AK54" s="120"/>
      <c r="AL54" s="120"/>
      <c r="AM54" s="121"/>
      <c r="AN54" s="128" t="str">
        <v/>
      </c>
      <c r="AO54" s="119"/>
      <c r="AP54" s="120"/>
      <c r="AQ54" s="120"/>
      <c r="AR54" s="121"/>
      <c r="AS54" s="128" t="str">
        <v/>
      </c>
      <c r="AT54" s="119"/>
      <c r="AU54" s="120"/>
      <c r="AV54" s="120"/>
      <c r="AW54" s="121"/>
      <c r="AX54" s="128" t="str">
        <v/>
      </c>
      <c r="AY54" s="119"/>
      <c r="AZ54" s="120"/>
      <c r="BA54" s="120"/>
      <c r="BB54" s="121"/>
      <c r="BC54" s="128" t="str">
        <v/>
      </c>
      <c r="BD54" s="136" t="str">
        <v/>
      </c>
      <c r="BE54" s="123"/>
    </row>
    <row r="55" spans="1:57">
      <c r="A55" s="43"/>
      <c r="B55" s="137"/>
      <c r="C55" s="138"/>
      <c r="D55" s="139"/>
      <c r="E55" s="114"/>
      <c r="F55" s="115"/>
      <c r="G55" s="116"/>
      <c r="H55" s="116"/>
      <c r="I55" s="117"/>
      <c r="J55" s="127" t="str">
        <v/>
      </c>
      <c r="K55" s="115"/>
      <c r="L55" s="116"/>
      <c r="M55" s="116"/>
      <c r="N55" s="117"/>
      <c r="O55" s="127" t="str">
        <v/>
      </c>
      <c r="P55" s="115"/>
      <c r="Q55" s="116"/>
      <c r="R55" s="116"/>
      <c r="S55" s="117"/>
      <c r="T55" s="127" t="str">
        <v/>
      </c>
      <c r="U55" s="119"/>
      <c r="V55" s="120"/>
      <c r="W55" s="120"/>
      <c r="X55" s="121"/>
      <c r="Y55" s="128" t="str">
        <v/>
      </c>
      <c r="Z55" s="119"/>
      <c r="AA55" s="120"/>
      <c r="AB55" s="120"/>
      <c r="AC55" s="121"/>
      <c r="AD55" s="128" t="str">
        <v/>
      </c>
      <c r="AE55" s="119"/>
      <c r="AF55" s="120"/>
      <c r="AG55" s="120"/>
      <c r="AH55" s="121"/>
      <c r="AI55" s="128" t="str">
        <v/>
      </c>
      <c r="AJ55" s="119"/>
      <c r="AK55" s="120"/>
      <c r="AL55" s="120"/>
      <c r="AM55" s="121"/>
      <c r="AN55" s="128" t="str">
        <v/>
      </c>
      <c r="AO55" s="119"/>
      <c r="AP55" s="120"/>
      <c r="AQ55" s="120"/>
      <c r="AR55" s="121"/>
      <c r="AS55" s="128" t="str">
        <v/>
      </c>
      <c r="AT55" s="119"/>
      <c r="AU55" s="120"/>
      <c r="AV55" s="120"/>
      <c r="AW55" s="121"/>
      <c r="AX55" s="128" t="str">
        <v/>
      </c>
      <c r="AY55" s="119"/>
      <c r="AZ55" s="120"/>
      <c r="BA55" s="120"/>
      <c r="BB55" s="121"/>
      <c r="BC55" s="128" t="str">
        <v/>
      </c>
      <c r="BD55" s="136" t="str">
        <v/>
      </c>
      <c r="BE55" s="123"/>
    </row>
    <row r="56" spans="1:57">
      <c r="A56" s="43"/>
      <c r="B56" s="137"/>
      <c r="C56" s="138"/>
      <c r="D56" s="139"/>
      <c r="E56" s="114"/>
      <c r="F56" s="115"/>
      <c r="G56" s="116"/>
      <c r="H56" s="116"/>
      <c r="I56" s="117"/>
      <c r="J56" s="127" t="str">
        <v/>
      </c>
      <c r="K56" s="115"/>
      <c r="L56" s="116"/>
      <c r="M56" s="116"/>
      <c r="N56" s="117"/>
      <c r="O56" s="127" t="str">
        <v/>
      </c>
      <c r="P56" s="115"/>
      <c r="Q56" s="116"/>
      <c r="R56" s="116"/>
      <c r="S56" s="117"/>
      <c r="T56" s="127" t="str">
        <v/>
      </c>
      <c r="U56" s="119"/>
      <c r="V56" s="120"/>
      <c r="W56" s="120"/>
      <c r="X56" s="121"/>
      <c r="Y56" s="128" t="str">
        <v/>
      </c>
      <c r="Z56" s="119"/>
      <c r="AA56" s="120"/>
      <c r="AB56" s="120"/>
      <c r="AC56" s="121"/>
      <c r="AD56" s="128" t="str">
        <v/>
      </c>
      <c r="AE56" s="119"/>
      <c r="AF56" s="120"/>
      <c r="AG56" s="120"/>
      <c r="AH56" s="121"/>
      <c r="AI56" s="128" t="str">
        <v/>
      </c>
      <c r="AJ56" s="119"/>
      <c r="AK56" s="120"/>
      <c r="AL56" s="120"/>
      <c r="AM56" s="121"/>
      <c r="AN56" s="128" t="str">
        <v/>
      </c>
      <c r="AO56" s="119"/>
      <c r="AP56" s="120"/>
      <c r="AQ56" s="120"/>
      <c r="AR56" s="121"/>
      <c r="AS56" s="128" t="str">
        <v/>
      </c>
      <c r="AT56" s="119"/>
      <c r="AU56" s="120"/>
      <c r="AV56" s="120"/>
      <c r="AW56" s="121"/>
      <c r="AX56" s="128" t="str">
        <v/>
      </c>
      <c r="AY56" s="119"/>
      <c r="AZ56" s="120"/>
      <c r="BA56" s="120"/>
      <c r="BB56" s="121"/>
      <c r="BC56" s="128" t="str">
        <v/>
      </c>
      <c r="BD56" s="136" t="str">
        <v/>
      </c>
      <c r="BE56" s="123"/>
    </row>
    <row r="57" spans="1:57">
      <c r="A57" s="43"/>
      <c r="B57" s="137"/>
      <c r="C57" s="138"/>
      <c r="D57" s="139"/>
      <c r="E57" s="114"/>
      <c r="F57" s="115"/>
      <c r="G57" s="116"/>
      <c r="H57" s="116"/>
      <c r="I57" s="117"/>
      <c r="J57" s="127" t="str">
        <v/>
      </c>
      <c r="K57" s="115"/>
      <c r="L57" s="116"/>
      <c r="M57" s="116"/>
      <c r="N57" s="117"/>
      <c r="O57" s="127" t="str">
        <v/>
      </c>
      <c r="P57" s="115"/>
      <c r="Q57" s="116"/>
      <c r="R57" s="116"/>
      <c r="S57" s="117"/>
      <c r="T57" s="127" t="str">
        <v/>
      </c>
      <c r="U57" s="119"/>
      <c r="V57" s="120"/>
      <c r="W57" s="120"/>
      <c r="X57" s="121"/>
      <c r="Y57" s="128" t="str">
        <v/>
      </c>
      <c r="Z57" s="119"/>
      <c r="AA57" s="120"/>
      <c r="AB57" s="120"/>
      <c r="AC57" s="121"/>
      <c r="AD57" s="128" t="str">
        <v/>
      </c>
      <c r="AE57" s="119"/>
      <c r="AF57" s="120"/>
      <c r="AG57" s="120"/>
      <c r="AH57" s="121"/>
      <c r="AI57" s="128" t="str">
        <v/>
      </c>
      <c r="AJ57" s="119"/>
      <c r="AK57" s="120"/>
      <c r="AL57" s="120"/>
      <c r="AM57" s="121"/>
      <c r="AN57" s="128" t="str">
        <v/>
      </c>
      <c r="AO57" s="119"/>
      <c r="AP57" s="120"/>
      <c r="AQ57" s="120"/>
      <c r="AR57" s="121"/>
      <c r="AS57" s="128" t="str">
        <v/>
      </c>
      <c r="AT57" s="119"/>
      <c r="AU57" s="120"/>
      <c r="AV57" s="120"/>
      <c r="AW57" s="121"/>
      <c r="AX57" s="128" t="str">
        <v/>
      </c>
      <c r="AY57" s="119"/>
      <c r="AZ57" s="120"/>
      <c r="BA57" s="120"/>
      <c r="BB57" s="121"/>
      <c r="BC57" s="128" t="str">
        <v/>
      </c>
      <c r="BD57" s="136" t="str">
        <v/>
      </c>
      <c r="BE57" s="123"/>
    </row>
    <row r="58" spans="1:57">
      <c r="A58" s="43"/>
      <c r="B58" s="137"/>
      <c r="C58" s="138"/>
      <c r="D58" s="139"/>
      <c r="E58" s="114"/>
      <c r="F58" s="115"/>
      <c r="G58" s="116"/>
      <c r="H58" s="116"/>
      <c r="I58" s="117"/>
      <c r="J58" s="127" t="str">
        <v/>
      </c>
      <c r="K58" s="115"/>
      <c r="L58" s="116"/>
      <c r="M58" s="116"/>
      <c r="N58" s="117"/>
      <c r="O58" s="127" t="str">
        <v/>
      </c>
      <c r="P58" s="115"/>
      <c r="Q58" s="116"/>
      <c r="R58" s="116"/>
      <c r="S58" s="117"/>
      <c r="T58" s="127" t="str">
        <v/>
      </c>
      <c r="U58" s="119"/>
      <c r="V58" s="120"/>
      <c r="W58" s="120"/>
      <c r="X58" s="121"/>
      <c r="Y58" s="128" t="str">
        <v/>
      </c>
      <c r="Z58" s="119"/>
      <c r="AA58" s="120"/>
      <c r="AB58" s="120"/>
      <c r="AC58" s="121"/>
      <c r="AD58" s="128" t="str">
        <v/>
      </c>
      <c r="AE58" s="119"/>
      <c r="AF58" s="120"/>
      <c r="AG58" s="120"/>
      <c r="AH58" s="121"/>
      <c r="AI58" s="128" t="str">
        <v/>
      </c>
      <c r="AJ58" s="119"/>
      <c r="AK58" s="120"/>
      <c r="AL58" s="120"/>
      <c r="AM58" s="121"/>
      <c r="AN58" s="128" t="str">
        <v/>
      </c>
      <c r="AO58" s="119"/>
      <c r="AP58" s="120"/>
      <c r="AQ58" s="120"/>
      <c r="AR58" s="121"/>
      <c r="AS58" s="128" t="str">
        <v/>
      </c>
      <c r="AT58" s="119"/>
      <c r="AU58" s="120"/>
      <c r="AV58" s="120"/>
      <c r="AW58" s="121"/>
      <c r="AX58" s="128" t="str">
        <v/>
      </c>
      <c r="AY58" s="119"/>
      <c r="AZ58" s="120"/>
      <c r="BA58" s="120"/>
      <c r="BB58" s="121"/>
      <c r="BC58" s="128" t="str">
        <v/>
      </c>
      <c r="BD58" s="136" t="str">
        <v/>
      </c>
      <c r="BE58" s="123"/>
    </row>
    <row r="59" spans="1:57">
      <c r="A59" s="43"/>
      <c r="B59" s="137"/>
      <c r="C59" s="138"/>
      <c r="D59" s="139"/>
      <c r="E59" s="114"/>
      <c r="F59" s="115"/>
      <c r="G59" s="116"/>
      <c r="H59" s="116"/>
      <c r="I59" s="117"/>
      <c r="J59" s="127" t="str">
        <v/>
      </c>
      <c r="K59" s="115"/>
      <c r="L59" s="116"/>
      <c r="M59" s="116"/>
      <c r="N59" s="117"/>
      <c r="O59" s="127" t="str">
        <v/>
      </c>
      <c r="P59" s="115"/>
      <c r="Q59" s="116"/>
      <c r="R59" s="116"/>
      <c r="S59" s="117"/>
      <c r="T59" s="127" t="str">
        <v/>
      </c>
      <c r="U59" s="119"/>
      <c r="V59" s="120"/>
      <c r="W59" s="120"/>
      <c r="X59" s="121"/>
      <c r="Y59" s="128" t="str">
        <v/>
      </c>
      <c r="Z59" s="119"/>
      <c r="AA59" s="120"/>
      <c r="AB59" s="120"/>
      <c r="AC59" s="121"/>
      <c r="AD59" s="128" t="str">
        <v/>
      </c>
      <c r="AE59" s="119"/>
      <c r="AF59" s="120"/>
      <c r="AG59" s="120"/>
      <c r="AH59" s="121"/>
      <c r="AI59" s="128" t="str">
        <v/>
      </c>
      <c r="AJ59" s="119"/>
      <c r="AK59" s="120"/>
      <c r="AL59" s="120"/>
      <c r="AM59" s="121"/>
      <c r="AN59" s="128" t="str">
        <v/>
      </c>
      <c r="AO59" s="119"/>
      <c r="AP59" s="120"/>
      <c r="AQ59" s="120"/>
      <c r="AR59" s="121"/>
      <c r="AS59" s="128" t="str">
        <v/>
      </c>
      <c r="AT59" s="119"/>
      <c r="AU59" s="120"/>
      <c r="AV59" s="120"/>
      <c r="AW59" s="121"/>
      <c r="AX59" s="128" t="str">
        <v/>
      </c>
      <c r="AY59" s="119"/>
      <c r="AZ59" s="120"/>
      <c r="BA59" s="120"/>
      <c r="BB59" s="121"/>
      <c r="BC59" s="128" t="str">
        <v/>
      </c>
      <c r="BD59" s="136" t="str">
        <v/>
      </c>
      <c r="BE59" s="123"/>
    </row>
    <row r="60" spans="1:57">
      <c r="A60" s="43"/>
      <c r="B60" s="137"/>
      <c r="C60" s="138"/>
      <c r="D60" s="139"/>
      <c r="E60" s="114"/>
      <c r="F60" s="115"/>
      <c r="G60" s="116"/>
      <c r="H60" s="116"/>
      <c r="I60" s="117"/>
      <c r="J60" s="127" t="str">
        <v/>
      </c>
      <c r="K60" s="115"/>
      <c r="L60" s="116"/>
      <c r="M60" s="116"/>
      <c r="N60" s="117"/>
      <c r="O60" s="127" t="str">
        <v/>
      </c>
      <c r="P60" s="115"/>
      <c r="Q60" s="116"/>
      <c r="R60" s="116"/>
      <c r="S60" s="117"/>
      <c r="T60" s="127" t="str">
        <v/>
      </c>
      <c r="U60" s="119"/>
      <c r="V60" s="120"/>
      <c r="W60" s="120"/>
      <c r="X60" s="121"/>
      <c r="Y60" s="128" t="str">
        <v/>
      </c>
      <c r="Z60" s="119"/>
      <c r="AA60" s="120"/>
      <c r="AB60" s="120"/>
      <c r="AC60" s="121"/>
      <c r="AD60" s="128" t="str">
        <v/>
      </c>
      <c r="AE60" s="119"/>
      <c r="AF60" s="120"/>
      <c r="AG60" s="120"/>
      <c r="AH60" s="121"/>
      <c r="AI60" s="128" t="str">
        <v/>
      </c>
      <c r="AJ60" s="119"/>
      <c r="AK60" s="120"/>
      <c r="AL60" s="120"/>
      <c r="AM60" s="121"/>
      <c r="AN60" s="128" t="str">
        <v/>
      </c>
      <c r="AO60" s="119"/>
      <c r="AP60" s="120"/>
      <c r="AQ60" s="120"/>
      <c r="AR60" s="121"/>
      <c r="AS60" s="128" t="str">
        <v/>
      </c>
      <c r="AT60" s="119"/>
      <c r="AU60" s="120"/>
      <c r="AV60" s="120"/>
      <c r="AW60" s="121"/>
      <c r="AX60" s="128" t="str">
        <v/>
      </c>
      <c r="AY60" s="119"/>
      <c r="AZ60" s="120"/>
      <c r="BA60" s="120"/>
      <c r="BB60" s="121"/>
      <c r="BC60" s="128" t="str">
        <v/>
      </c>
      <c r="BD60" s="136" t="str">
        <v/>
      </c>
      <c r="BE60" s="123"/>
    </row>
    <row r="61" spans="1:57">
      <c r="A61" s="43"/>
      <c r="B61" s="137"/>
      <c r="C61" s="138"/>
      <c r="D61" s="139"/>
      <c r="E61" s="114"/>
      <c r="F61" s="115"/>
      <c r="G61" s="116"/>
      <c r="H61" s="116"/>
      <c r="I61" s="117"/>
      <c r="J61" s="127" t="str">
        <v/>
      </c>
      <c r="K61" s="115"/>
      <c r="L61" s="116"/>
      <c r="M61" s="116"/>
      <c r="N61" s="117"/>
      <c r="O61" s="127" t="str">
        <v/>
      </c>
      <c r="P61" s="115"/>
      <c r="Q61" s="116"/>
      <c r="R61" s="116"/>
      <c r="S61" s="117"/>
      <c r="T61" s="127" t="str">
        <v/>
      </c>
      <c r="U61" s="119"/>
      <c r="V61" s="120"/>
      <c r="W61" s="120"/>
      <c r="X61" s="121"/>
      <c r="Y61" s="128" t="str">
        <v/>
      </c>
      <c r="Z61" s="119"/>
      <c r="AA61" s="120"/>
      <c r="AB61" s="120"/>
      <c r="AC61" s="121"/>
      <c r="AD61" s="128" t="str">
        <v/>
      </c>
      <c r="AE61" s="119"/>
      <c r="AF61" s="120"/>
      <c r="AG61" s="120"/>
      <c r="AH61" s="121"/>
      <c r="AI61" s="128" t="str">
        <v/>
      </c>
      <c r="AJ61" s="119"/>
      <c r="AK61" s="120"/>
      <c r="AL61" s="120"/>
      <c r="AM61" s="121"/>
      <c r="AN61" s="128" t="str">
        <v/>
      </c>
      <c r="AO61" s="119"/>
      <c r="AP61" s="120"/>
      <c r="AQ61" s="120"/>
      <c r="AR61" s="121"/>
      <c r="AS61" s="128" t="str">
        <v/>
      </c>
      <c r="AT61" s="119"/>
      <c r="AU61" s="120"/>
      <c r="AV61" s="120"/>
      <c r="AW61" s="121"/>
      <c r="AX61" s="128" t="str">
        <v/>
      </c>
      <c r="AY61" s="119"/>
      <c r="AZ61" s="120"/>
      <c r="BA61" s="120"/>
      <c r="BB61" s="121"/>
      <c r="BC61" s="128" t="str">
        <v/>
      </c>
      <c r="BD61" s="136" t="str">
        <v/>
      </c>
      <c r="BE61" s="123"/>
    </row>
    <row r="62" spans="1:57">
      <c r="A62" s="43"/>
      <c r="B62" s="137"/>
      <c r="C62" s="138"/>
      <c r="D62" s="139"/>
      <c r="E62" s="114"/>
      <c r="F62" s="115"/>
      <c r="G62" s="116"/>
      <c r="H62" s="116"/>
      <c r="I62" s="117"/>
      <c r="J62" s="127" t="str">
        <v/>
      </c>
      <c r="K62" s="115"/>
      <c r="L62" s="116"/>
      <c r="M62" s="116"/>
      <c r="N62" s="117"/>
      <c r="O62" s="127" t="str">
        <v/>
      </c>
      <c r="P62" s="115"/>
      <c r="Q62" s="116"/>
      <c r="R62" s="116"/>
      <c r="S62" s="117"/>
      <c r="T62" s="127" t="str">
        <v/>
      </c>
      <c r="U62" s="119"/>
      <c r="V62" s="120"/>
      <c r="W62" s="120"/>
      <c r="X62" s="121"/>
      <c r="Y62" s="128" t="str">
        <v/>
      </c>
      <c r="Z62" s="119"/>
      <c r="AA62" s="120"/>
      <c r="AB62" s="120"/>
      <c r="AC62" s="121"/>
      <c r="AD62" s="128" t="str">
        <v/>
      </c>
      <c r="AE62" s="119"/>
      <c r="AF62" s="120"/>
      <c r="AG62" s="120"/>
      <c r="AH62" s="121"/>
      <c r="AI62" s="128" t="str">
        <v/>
      </c>
      <c r="AJ62" s="119"/>
      <c r="AK62" s="120"/>
      <c r="AL62" s="120"/>
      <c r="AM62" s="121"/>
      <c r="AN62" s="128" t="str">
        <v/>
      </c>
      <c r="AO62" s="119"/>
      <c r="AP62" s="120"/>
      <c r="AQ62" s="120"/>
      <c r="AR62" s="121"/>
      <c r="AS62" s="128" t="str">
        <v/>
      </c>
      <c r="AT62" s="119"/>
      <c r="AU62" s="120"/>
      <c r="AV62" s="120"/>
      <c r="AW62" s="121"/>
      <c r="AX62" s="128" t="str">
        <v/>
      </c>
      <c r="AY62" s="119"/>
      <c r="AZ62" s="120"/>
      <c r="BA62" s="120"/>
      <c r="BB62" s="121"/>
      <c r="BC62" s="128" t="str">
        <v/>
      </c>
      <c r="BD62" s="136" t="str">
        <v/>
      </c>
      <c r="BE62" s="123"/>
    </row>
    <row r="63" spans="1:57">
      <c r="A63" s="43"/>
      <c r="B63" s="137"/>
      <c r="C63" s="138"/>
      <c r="D63" s="139"/>
      <c r="E63" s="114"/>
      <c r="F63" s="115"/>
      <c r="G63" s="116"/>
      <c r="H63" s="116"/>
      <c r="I63" s="117"/>
      <c r="J63" s="127" t="str">
        <v/>
      </c>
      <c r="K63" s="115"/>
      <c r="L63" s="116"/>
      <c r="M63" s="116"/>
      <c r="N63" s="117"/>
      <c r="O63" s="127" t="str">
        <v/>
      </c>
      <c r="P63" s="115"/>
      <c r="Q63" s="116"/>
      <c r="R63" s="116"/>
      <c r="S63" s="117"/>
      <c r="T63" s="127" t="str">
        <v/>
      </c>
      <c r="U63" s="119"/>
      <c r="V63" s="120"/>
      <c r="W63" s="120"/>
      <c r="X63" s="121"/>
      <c r="Y63" s="128" t="str">
        <v/>
      </c>
      <c r="Z63" s="119"/>
      <c r="AA63" s="120"/>
      <c r="AB63" s="120"/>
      <c r="AC63" s="121"/>
      <c r="AD63" s="128" t="str">
        <v/>
      </c>
      <c r="AE63" s="119"/>
      <c r="AF63" s="120"/>
      <c r="AG63" s="120"/>
      <c r="AH63" s="121"/>
      <c r="AI63" s="128" t="str">
        <v/>
      </c>
      <c r="AJ63" s="119"/>
      <c r="AK63" s="120"/>
      <c r="AL63" s="120"/>
      <c r="AM63" s="121"/>
      <c r="AN63" s="128" t="str">
        <v/>
      </c>
      <c r="AO63" s="119"/>
      <c r="AP63" s="120"/>
      <c r="AQ63" s="120"/>
      <c r="AR63" s="121"/>
      <c r="AS63" s="128" t="str">
        <v/>
      </c>
      <c r="AT63" s="119"/>
      <c r="AU63" s="120"/>
      <c r="AV63" s="120"/>
      <c r="AW63" s="121"/>
      <c r="AX63" s="128" t="str">
        <v/>
      </c>
      <c r="AY63" s="119"/>
      <c r="AZ63" s="120"/>
      <c r="BA63" s="120"/>
      <c r="BB63" s="121"/>
      <c r="BC63" s="128" t="str">
        <v/>
      </c>
      <c r="BD63" s="136" t="str">
        <v/>
      </c>
      <c r="BE63" s="123"/>
    </row>
    <row r="64" spans="1:57">
      <c r="A64" s="43"/>
      <c r="B64" s="137"/>
      <c r="C64" s="138"/>
      <c r="D64" s="139"/>
      <c r="E64" s="114"/>
      <c r="F64" s="115"/>
      <c r="G64" s="116"/>
      <c r="H64" s="116"/>
      <c r="I64" s="117"/>
      <c r="J64" s="127" t="str">
        <v/>
      </c>
      <c r="K64" s="115"/>
      <c r="L64" s="116"/>
      <c r="M64" s="116"/>
      <c r="N64" s="117"/>
      <c r="O64" s="127" t="str">
        <v/>
      </c>
      <c r="P64" s="115"/>
      <c r="Q64" s="116"/>
      <c r="R64" s="116"/>
      <c r="S64" s="117"/>
      <c r="T64" s="127" t="str">
        <v/>
      </c>
      <c r="U64" s="119"/>
      <c r="V64" s="120"/>
      <c r="W64" s="120"/>
      <c r="X64" s="121"/>
      <c r="Y64" s="128" t="str">
        <v/>
      </c>
      <c r="Z64" s="119"/>
      <c r="AA64" s="120"/>
      <c r="AB64" s="120"/>
      <c r="AC64" s="121"/>
      <c r="AD64" s="128" t="str">
        <v/>
      </c>
      <c r="AE64" s="119"/>
      <c r="AF64" s="120"/>
      <c r="AG64" s="120"/>
      <c r="AH64" s="121"/>
      <c r="AI64" s="128" t="str">
        <v/>
      </c>
      <c r="AJ64" s="119"/>
      <c r="AK64" s="120"/>
      <c r="AL64" s="120"/>
      <c r="AM64" s="121"/>
      <c r="AN64" s="128" t="str">
        <v/>
      </c>
      <c r="AO64" s="119"/>
      <c r="AP64" s="120"/>
      <c r="AQ64" s="120"/>
      <c r="AR64" s="121"/>
      <c r="AS64" s="128" t="str">
        <v/>
      </c>
      <c r="AT64" s="119"/>
      <c r="AU64" s="120"/>
      <c r="AV64" s="120"/>
      <c r="AW64" s="121"/>
      <c r="AX64" s="128" t="str">
        <v/>
      </c>
      <c r="AY64" s="119"/>
      <c r="AZ64" s="120"/>
      <c r="BA64" s="120"/>
      <c r="BB64" s="121"/>
      <c r="BC64" s="128" t="str">
        <v/>
      </c>
      <c r="BD64" s="136" t="str">
        <v/>
      </c>
      <c r="BE64" s="123"/>
    </row>
    <row r="65" spans="1:57">
      <c r="A65" s="43"/>
      <c r="B65" s="137"/>
      <c r="C65" s="138"/>
      <c r="D65" s="139"/>
      <c r="E65" s="114"/>
      <c r="F65" s="115"/>
      <c r="G65" s="116"/>
      <c r="H65" s="116"/>
      <c r="I65" s="117"/>
      <c r="J65" s="127" t="str">
        <v/>
      </c>
      <c r="K65" s="115"/>
      <c r="L65" s="116"/>
      <c r="M65" s="116"/>
      <c r="N65" s="117"/>
      <c r="O65" s="127" t="str">
        <v/>
      </c>
      <c r="P65" s="115"/>
      <c r="Q65" s="116"/>
      <c r="R65" s="116"/>
      <c r="S65" s="117"/>
      <c r="T65" s="127" t="str">
        <v/>
      </c>
      <c r="U65" s="119"/>
      <c r="V65" s="120"/>
      <c r="W65" s="120"/>
      <c r="X65" s="121"/>
      <c r="Y65" s="128" t="str">
        <v/>
      </c>
      <c r="Z65" s="119"/>
      <c r="AA65" s="120"/>
      <c r="AB65" s="120"/>
      <c r="AC65" s="121"/>
      <c r="AD65" s="128" t="str">
        <v/>
      </c>
      <c r="AE65" s="119"/>
      <c r="AF65" s="120"/>
      <c r="AG65" s="120"/>
      <c r="AH65" s="121"/>
      <c r="AI65" s="128" t="str">
        <v/>
      </c>
      <c r="AJ65" s="119"/>
      <c r="AK65" s="120"/>
      <c r="AL65" s="120"/>
      <c r="AM65" s="121"/>
      <c r="AN65" s="128" t="str">
        <v/>
      </c>
      <c r="AO65" s="119"/>
      <c r="AP65" s="120"/>
      <c r="AQ65" s="120"/>
      <c r="AR65" s="121"/>
      <c r="AS65" s="128" t="str">
        <v/>
      </c>
      <c r="AT65" s="119"/>
      <c r="AU65" s="120"/>
      <c r="AV65" s="120"/>
      <c r="AW65" s="121"/>
      <c r="AX65" s="128" t="str">
        <v/>
      </c>
      <c r="AY65" s="119"/>
      <c r="AZ65" s="120"/>
      <c r="BA65" s="120"/>
      <c r="BB65" s="121"/>
      <c r="BC65" s="128" t="str">
        <v/>
      </c>
      <c r="BD65" s="136" t="str">
        <v/>
      </c>
      <c r="BE65" s="123"/>
    </row>
    <row r="66" spans="1:57">
      <c r="A66" s="43"/>
      <c r="B66" s="137"/>
      <c r="C66" s="138"/>
      <c r="D66" s="139"/>
      <c r="E66" s="114"/>
      <c r="F66" s="115"/>
      <c r="G66" s="116"/>
      <c r="H66" s="116"/>
      <c r="I66" s="117"/>
      <c r="J66" s="127" t="str">
        <v/>
      </c>
      <c r="K66" s="115"/>
      <c r="L66" s="116"/>
      <c r="M66" s="116"/>
      <c r="N66" s="117"/>
      <c r="O66" s="127" t="str">
        <v/>
      </c>
      <c r="P66" s="115"/>
      <c r="Q66" s="116"/>
      <c r="R66" s="116"/>
      <c r="S66" s="117"/>
      <c r="T66" s="127" t="str">
        <v/>
      </c>
      <c r="U66" s="119"/>
      <c r="V66" s="120"/>
      <c r="W66" s="120"/>
      <c r="X66" s="121"/>
      <c r="Y66" s="128" t="str">
        <v/>
      </c>
      <c r="Z66" s="119"/>
      <c r="AA66" s="120"/>
      <c r="AB66" s="120"/>
      <c r="AC66" s="121"/>
      <c r="AD66" s="128" t="str">
        <v/>
      </c>
      <c r="AE66" s="119"/>
      <c r="AF66" s="120"/>
      <c r="AG66" s="120"/>
      <c r="AH66" s="121"/>
      <c r="AI66" s="128" t="str">
        <v/>
      </c>
      <c r="AJ66" s="119"/>
      <c r="AK66" s="120"/>
      <c r="AL66" s="120"/>
      <c r="AM66" s="121"/>
      <c r="AN66" s="128" t="str">
        <v/>
      </c>
      <c r="AO66" s="119"/>
      <c r="AP66" s="120"/>
      <c r="AQ66" s="120"/>
      <c r="AR66" s="121"/>
      <c r="AS66" s="128" t="str">
        <v/>
      </c>
      <c r="AT66" s="119"/>
      <c r="AU66" s="120"/>
      <c r="AV66" s="120"/>
      <c r="AW66" s="121"/>
      <c r="AX66" s="128" t="str">
        <v/>
      </c>
      <c r="AY66" s="119"/>
      <c r="AZ66" s="120"/>
      <c r="BA66" s="120"/>
      <c r="BB66" s="121"/>
      <c r="BC66" s="128" t="str">
        <v/>
      </c>
      <c r="BD66" s="136" t="str">
        <v/>
      </c>
      <c r="BE66" s="123"/>
    </row>
    <row r="67" spans="1:57">
      <c r="A67" s="43"/>
      <c r="B67" s="137"/>
      <c r="C67" s="138"/>
      <c r="D67" s="139"/>
      <c r="E67" s="114"/>
      <c r="F67" s="115"/>
      <c r="G67" s="116"/>
      <c r="H67" s="116"/>
      <c r="I67" s="117"/>
      <c r="J67" s="127" t="str">
        <v/>
      </c>
      <c r="K67" s="115"/>
      <c r="L67" s="116"/>
      <c r="M67" s="116"/>
      <c r="N67" s="117"/>
      <c r="O67" s="127" t="str">
        <v/>
      </c>
      <c r="P67" s="115"/>
      <c r="Q67" s="116"/>
      <c r="R67" s="116"/>
      <c r="S67" s="117"/>
      <c r="T67" s="127" t="str">
        <v/>
      </c>
      <c r="U67" s="119"/>
      <c r="V67" s="120"/>
      <c r="W67" s="120"/>
      <c r="X67" s="121"/>
      <c r="Y67" s="128" t="str">
        <v/>
      </c>
      <c r="Z67" s="119"/>
      <c r="AA67" s="120"/>
      <c r="AB67" s="120"/>
      <c r="AC67" s="121"/>
      <c r="AD67" s="128" t="str">
        <v/>
      </c>
      <c r="AE67" s="119"/>
      <c r="AF67" s="120"/>
      <c r="AG67" s="120"/>
      <c r="AH67" s="121"/>
      <c r="AI67" s="128" t="str">
        <v/>
      </c>
      <c r="AJ67" s="119"/>
      <c r="AK67" s="120"/>
      <c r="AL67" s="120"/>
      <c r="AM67" s="121"/>
      <c r="AN67" s="128" t="str">
        <v/>
      </c>
      <c r="AO67" s="119"/>
      <c r="AP67" s="120"/>
      <c r="AQ67" s="120"/>
      <c r="AR67" s="121"/>
      <c r="AS67" s="128" t="str">
        <v/>
      </c>
      <c r="AT67" s="119"/>
      <c r="AU67" s="120"/>
      <c r="AV67" s="120"/>
      <c r="AW67" s="121"/>
      <c r="AX67" s="128" t="str">
        <v/>
      </c>
      <c r="AY67" s="119"/>
      <c r="AZ67" s="120"/>
      <c r="BA67" s="120"/>
      <c r="BB67" s="121"/>
      <c r="BC67" s="128" t="str">
        <v/>
      </c>
      <c r="BD67" s="136" t="str">
        <v/>
      </c>
      <c r="BE67" s="123"/>
    </row>
    <row r="68" spans="1:57">
      <c r="A68" s="43"/>
      <c r="B68" s="137"/>
      <c r="C68" s="138"/>
      <c r="D68" s="139"/>
      <c r="E68" s="114"/>
      <c r="F68" s="115"/>
      <c r="G68" s="116"/>
      <c r="H68" s="116"/>
      <c r="I68" s="117"/>
      <c r="J68" s="127" t="str">
        <v/>
      </c>
      <c r="K68" s="115"/>
      <c r="L68" s="116"/>
      <c r="M68" s="116"/>
      <c r="N68" s="117"/>
      <c r="O68" s="127" t="str">
        <v/>
      </c>
      <c r="P68" s="115"/>
      <c r="Q68" s="116"/>
      <c r="R68" s="116"/>
      <c r="S68" s="117"/>
      <c r="T68" s="127" t="str">
        <v/>
      </c>
      <c r="U68" s="119"/>
      <c r="V68" s="120"/>
      <c r="W68" s="120"/>
      <c r="X68" s="121"/>
      <c r="Y68" s="128" t="str">
        <v/>
      </c>
      <c r="Z68" s="119"/>
      <c r="AA68" s="120"/>
      <c r="AB68" s="120"/>
      <c r="AC68" s="121"/>
      <c r="AD68" s="128" t="str">
        <v/>
      </c>
      <c r="AE68" s="119"/>
      <c r="AF68" s="120"/>
      <c r="AG68" s="120"/>
      <c r="AH68" s="121"/>
      <c r="AI68" s="128" t="str">
        <v/>
      </c>
      <c r="AJ68" s="119"/>
      <c r="AK68" s="120"/>
      <c r="AL68" s="120"/>
      <c r="AM68" s="121"/>
      <c r="AN68" s="128" t="str">
        <v/>
      </c>
      <c r="AO68" s="119"/>
      <c r="AP68" s="120"/>
      <c r="AQ68" s="120"/>
      <c r="AR68" s="121"/>
      <c r="AS68" s="128" t="str">
        <v/>
      </c>
      <c r="AT68" s="119"/>
      <c r="AU68" s="120"/>
      <c r="AV68" s="120"/>
      <c r="AW68" s="121"/>
      <c r="AX68" s="128" t="str">
        <v/>
      </c>
      <c r="AY68" s="119"/>
      <c r="AZ68" s="120"/>
      <c r="BA68" s="120"/>
      <c r="BB68" s="121"/>
      <c r="BC68" s="128" t="str">
        <v/>
      </c>
      <c r="BD68" s="136" t="str">
        <v/>
      </c>
      <c r="BE68" s="123"/>
    </row>
    <row r="69" spans="1:57">
      <c r="A69" s="43"/>
      <c r="B69" s="137"/>
      <c r="C69" s="138"/>
      <c r="D69" s="139"/>
      <c r="E69" s="114"/>
      <c r="F69" s="115"/>
      <c r="G69" s="116"/>
      <c r="H69" s="116"/>
      <c r="I69" s="117"/>
      <c r="J69" s="127" t="str">
        <v/>
      </c>
      <c r="K69" s="115"/>
      <c r="L69" s="116"/>
      <c r="M69" s="116"/>
      <c r="N69" s="117"/>
      <c r="O69" s="127" t="str">
        <v/>
      </c>
      <c r="P69" s="115"/>
      <c r="Q69" s="116"/>
      <c r="R69" s="116"/>
      <c r="S69" s="117"/>
      <c r="T69" s="127" t="str">
        <v/>
      </c>
      <c r="U69" s="119"/>
      <c r="V69" s="120"/>
      <c r="W69" s="120"/>
      <c r="X69" s="121"/>
      <c r="Y69" s="128" t="str">
        <v/>
      </c>
      <c r="Z69" s="119"/>
      <c r="AA69" s="120"/>
      <c r="AB69" s="120"/>
      <c r="AC69" s="121"/>
      <c r="AD69" s="128" t="str">
        <v/>
      </c>
      <c r="AE69" s="119"/>
      <c r="AF69" s="120"/>
      <c r="AG69" s="120"/>
      <c r="AH69" s="121"/>
      <c r="AI69" s="128" t="str">
        <v/>
      </c>
      <c r="AJ69" s="119"/>
      <c r="AK69" s="120"/>
      <c r="AL69" s="120"/>
      <c r="AM69" s="121"/>
      <c r="AN69" s="128" t="str">
        <v/>
      </c>
      <c r="AO69" s="119"/>
      <c r="AP69" s="120"/>
      <c r="AQ69" s="120"/>
      <c r="AR69" s="121"/>
      <c r="AS69" s="128" t="str">
        <v/>
      </c>
      <c r="AT69" s="119"/>
      <c r="AU69" s="120"/>
      <c r="AV69" s="120"/>
      <c r="AW69" s="121"/>
      <c r="AX69" s="128" t="str">
        <v/>
      </c>
      <c r="AY69" s="119"/>
      <c r="AZ69" s="120"/>
      <c r="BA69" s="120"/>
      <c r="BB69" s="121"/>
      <c r="BC69" s="128" t="str">
        <v/>
      </c>
      <c r="BD69" s="136" t="str">
        <v/>
      </c>
      <c r="BE69" s="123"/>
    </row>
    <row r="70" spans="1:57">
      <c r="A70" s="43"/>
      <c r="B70" s="137"/>
      <c r="C70" s="138"/>
      <c r="D70" s="139"/>
      <c r="E70" s="114"/>
      <c r="F70" s="115"/>
      <c r="G70" s="116"/>
      <c r="H70" s="116"/>
      <c r="I70" s="117"/>
      <c r="J70" s="127" t="str">
        <v/>
      </c>
      <c r="K70" s="115"/>
      <c r="L70" s="116"/>
      <c r="M70" s="116"/>
      <c r="N70" s="117"/>
      <c r="O70" s="127" t="str">
        <v/>
      </c>
      <c r="P70" s="115"/>
      <c r="Q70" s="116"/>
      <c r="R70" s="116"/>
      <c r="S70" s="117"/>
      <c r="T70" s="127" t="str">
        <v/>
      </c>
      <c r="U70" s="119"/>
      <c r="V70" s="120"/>
      <c r="W70" s="120"/>
      <c r="X70" s="121"/>
      <c r="Y70" s="128" t="str">
        <v/>
      </c>
      <c r="Z70" s="119"/>
      <c r="AA70" s="120"/>
      <c r="AB70" s="120"/>
      <c r="AC70" s="121"/>
      <c r="AD70" s="128" t="str">
        <v/>
      </c>
      <c r="AE70" s="119"/>
      <c r="AF70" s="120"/>
      <c r="AG70" s="120"/>
      <c r="AH70" s="121"/>
      <c r="AI70" s="128" t="str">
        <v/>
      </c>
      <c r="AJ70" s="119"/>
      <c r="AK70" s="120"/>
      <c r="AL70" s="120"/>
      <c r="AM70" s="121"/>
      <c r="AN70" s="128" t="str">
        <v/>
      </c>
      <c r="AO70" s="119"/>
      <c r="AP70" s="120"/>
      <c r="AQ70" s="120"/>
      <c r="AR70" s="121"/>
      <c r="AS70" s="128" t="str">
        <v/>
      </c>
      <c r="AT70" s="119"/>
      <c r="AU70" s="120"/>
      <c r="AV70" s="120"/>
      <c r="AW70" s="121"/>
      <c r="AX70" s="128" t="str">
        <v/>
      </c>
      <c r="AY70" s="119"/>
      <c r="AZ70" s="120"/>
      <c r="BA70" s="120"/>
      <c r="BB70" s="121"/>
      <c r="BC70" s="128" t="str">
        <v/>
      </c>
      <c r="BD70" s="136" t="str">
        <v/>
      </c>
      <c r="BE70" s="123"/>
    </row>
    <row r="71" spans="1:57">
      <c r="A71" s="43"/>
      <c r="B71" s="137"/>
      <c r="C71" s="138"/>
      <c r="D71" s="139"/>
      <c r="E71" s="114"/>
      <c r="F71" s="115"/>
      <c r="G71" s="116"/>
      <c r="H71" s="116"/>
      <c r="I71" s="117"/>
      <c r="J71" s="127" t="str">
        <v/>
      </c>
      <c r="K71" s="115"/>
      <c r="L71" s="116"/>
      <c r="M71" s="116"/>
      <c r="N71" s="117"/>
      <c r="O71" s="127" t="str">
        <v/>
      </c>
      <c r="P71" s="115"/>
      <c r="Q71" s="116"/>
      <c r="R71" s="116"/>
      <c r="S71" s="117"/>
      <c r="T71" s="127" t="str">
        <v/>
      </c>
      <c r="U71" s="119"/>
      <c r="V71" s="120"/>
      <c r="W71" s="120"/>
      <c r="X71" s="121"/>
      <c r="Y71" s="128" t="str">
        <v/>
      </c>
      <c r="Z71" s="119"/>
      <c r="AA71" s="120"/>
      <c r="AB71" s="120"/>
      <c r="AC71" s="121"/>
      <c r="AD71" s="128" t="str">
        <v/>
      </c>
      <c r="AE71" s="119"/>
      <c r="AF71" s="120"/>
      <c r="AG71" s="120"/>
      <c r="AH71" s="121"/>
      <c r="AI71" s="128" t="str">
        <v/>
      </c>
      <c r="AJ71" s="119"/>
      <c r="AK71" s="120"/>
      <c r="AL71" s="120"/>
      <c r="AM71" s="121"/>
      <c r="AN71" s="128" t="str">
        <v/>
      </c>
      <c r="AO71" s="119"/>
      <c r="AP71" s="120"/>
      <c r="AQ71" s="120"/>
      <c r="AR71" s="121"/>
      <c r="AS71" s="128" t="str">
        <v/>
      </c>
      <c r="AT71" s="119"/>
      <c r="AU71" s="120"/>
      <c r="AV71" s="120"/>
      <c r="AW71" s="121"/>
      <c r="AX71" s="128" t="str">
        <v/>
      </c>
      <c r="AY71" s="119"/>
      <c r="AZ71" s="120"/>
      <c r="BA71" s="120"/>
      <c r="BB71" s="121"/>
      <c r="BC71" s="128" t="str">
        <v/>
      </c>
      <c r="BD71" s="136" t="str">
        <v/>
      </c>
      <c r="BE71" s="123"/>
    </row>
    <row r="72" spans="1:57">
      <c r="A72" s="43"/>
      <c r="B72" s="137"/>
      <c r="C72" s="138"/>
      <c r="D72" s="139"/>
      <c r="E72" s="114"/>
      <c r="F72" s="115"/>
      <c r="G72" s="116"/>
      <c r="H72" s="116"/>
      <c r="I72" s="117"/>
      <c r="J72" s="127" t="str">
        <v/>
      </c>
      <c r="K72" s="115"/>
      <c r="L72" s="116"/>
      <c r="M72" s="116"/>
      <c r="N72" s="117"/>
      <c r="O72" s="127" t="str">
        <v/>
      </c>
      <c r="P72" s="115"/>
      <c r="Q72" s="116"/>
      <c r="R72" s="116"/>
      <c r="S72" s="117"/>
      <c r="T72" s="127" t="str">
        <v/>
      </c>
      <c r="U72" s="119"/>
      <c r="V72" s="120"/>
      <c r="W72" s="120"/>
      <c r="X72" s="121"/>
      <c r="Y72" s="128" t="str">
        <v/>
      </c>
      <c r="Z72" s="119"/>
      <c r="AA72" s="120"/>
      <c r="AB72" s="120"/>
      <c r="AC72" s="121"/>
      <c r="AD72" s="128" t="str">
        <v/>
      </c>
      <c r="AE72" s="119"/>
      <c r="AF72" s="120"/>
      <c r="AG72" s="120"/>
      <c r="AH72" s="121"/>
      <c r="AI72" s="128" t="str">
        <v/>
      </c>
      <c r="AJ72" s="119"/>
      <c r="AK72" s="120"/>
      <c r="AL72" s="120"/>
      <c r="AM72" s="121"/>
      <c r="AN72" s="128" t="str">
        <v/>
      </c>
      <c r="AO72" s="119"/>
      <c r="AP72" s="120"/>
      <c r="AQ72" s="120"/>
      <c r="AR72" s="121"/>
      <c r="AS72" s="128" t="str">
        <v/>
      </c>
      <c r="AT72" s="119"/>
      <c r="AU72" s="120"/>
      <c r="AV72" s="120"/>
      <c r="AW72" s="121"/>
      <c r="AX72" s="128" t="str">
        <v/>
      </c>
      <c r="AY72" s="119"/>
      <c r="AZ72" s="120"/>
      <c r="BA72" s="120"/>
      <c r="BB72" s="121"/>
      <c r="BC72" s="128" t="str">
        <v/>
      </c>
      <c r="BD72" s="136" t="str">
        <v/>
      </c>
      <c r="BE72" s="123"/>
    </row>
    <row r="73" spans="1:57">
      <c r="A73" s="43"/>
      <c r="B73" s="137"/>
      <c r="C73" s="138"/>
      <c r="D73" s="139"/>
      <c r="E73" s="114"/>
      <c r="F73" s="115"/>
      <c r="G73" s="116"/>
      <c r="H73" s="116"/>
      <c r="I73" s="117"/>
      <c r="J73" s="127" t="str">
        <v/>
      </c>
      <c r="K73" s="115"/>
      <c r="L73" s="116"/>
      <c r="M73" s="116"/>
      <c r="N73" s="117"/>
      <c r="O73" s="127" t="str">
        <v/>
      </c>
      <c r="P73" s="115"/>
      <c r="Q73" s="116"/>
      <c r="R73" s="116"/>
      <c r="S73" s="117"/>
      <c r="T73" s="127" t="str">
        <v/>
      </c>
      <c r="U73" s="119"/>
      <c r="V73" s="120"/>
      <c r="W73" s="120"/>
      <c r="X73" s="121"/>
      <c r="Y73" s="128" t="str">
        <v/>
      </c>
      <c r="Z73" s="119"/>
      <c r="AA73" s="120"/>
      <c r="AB73" s="120"/>
      <c r="AC73" s="121"/>
      <c r="AD73" s="128" t="str">
        <v/>
      </c>
      <c r="AE73" s="119"/>
      <c r="AF73" s="120"/>
      <c r="AG73" s="120"/>
      <c r="AH73" s="121"/>
      <c r="AI73" s="128" t="str">
        <v/>
      </c>
      <c r="AJ73" s="119"/>
      <c r="AK73" s="120"/>
      <c r="AL73" s="120"/>
      <c r="AM73" s="121"/>
      <c r="AN73" s="128" t="str">
        <v/>
      </c>
      <c r="AO73" s="119"/>
      <c r="AP73" s="120"/>
      <c r="AQ73" s="120"/>
      <c r="AR73" s="121"/>
      <c r="AS73" s="128" t="str">
        <v/>
      </c>
      <c r="AT73" s="119"/>
      <c r="AU73" s="120"/>
      <c r="AV73" s="120"/>
      <c r="AW73" s="121"/>
      <c r="AX73" s="128" t="str">
        <v/>
      </c>
      <c r="AY73" s="119"/>
      <c r="AZ73" s="120"/>
      <c r="BA73" s="120"/>
      <c r="BB73" s="121"/>
      <c r="BC73" s="128" t="str">
        <v/>
      </c>
      <c r="BD73" s="136" t="str">
        <v/>
      </c>
      <c r="BE73" s="123"/>
    </row>
    <row r="74" spans="1:57">
      <c r="A74" s="43"/>
      <c r="B74" s="137"/>
      <c r="C74" s="138"/>
      <c r="D74" s="139"/>
      <c r="E74" s="114"/>
      <c r="F74" s="115"/>
      <c r="G74" s="116"/>
      <c r="H74" s="116"/>
      <c r="I74" s="117"/>
      <c r="J74" s="127" t="str">
        <v/>
      </c>
      <c r="K74" s="115"/>
      <c r="L74" s="116"/>
      <c r="M74" s="116"/>
      <c r="N74" s="117"/>
      <c r="O74" s="127" t="str">
        <v/>
      </c>
      <c r="P74" s="115"/>
      <c r="Q74" s="116"/>
      <c r="R74" s="116"/>
      <c r="S74" s="117"/>
      <c r="T74" s="127" t="str">
        <v/>
      </c>
      <c r="U74" s="119"/>
      <c r="V74" s="120"/>
      <c r="W74" s="120"/>
      <c r="X74" s="121"/>
      <c r="Y74" s="128" t="str">
        <v/>
      </c>
      <c r="Z74" s="119"/>
      <c r="AA74" s="120"/>
      <c r="AB74" s="120"/>
      <c r="AC74" s="121"/>
      <c r="AD74" s="128" t="str">
        <v/>
      </c>
      <c r="AE74" s="119"/>
      <c r="AF74" s="120"/>
      <c r="AG74" s="120"/>
      <c r="AH74" s="121"/>
      <c r="AI74" s="128" t="str">
        <v/>
      </c>
      <c r="AJ74" s="119"/>
      <c r="AK74" s="120"/>
      <c r="AL74" s="120"/>
      <c r="AM74" s="121"/>
      <c r="AN74" s="128" t="str">
        <v/>
      </c>
      <c r="AO74" s="119"/>
      <c r="AP74" s="120"/>
      <c r="AQ74" s="120"/>
      <c r="AR74" s="121"/>
      <c r="AS74" s="128" t="str">
        <v/>
      </c>
      <c r="AT74" s="119"/>
      <c r="AU74" s="120"/>
      <c r="AV74" s="120"/>
      <c r="AW74" s="121"/>
      <c r="AX74" s="128" t="str">
        <v/>
      </c>
      <c r="AY74" s="119"/>
      <c r="AZ74" s="120"/>
      <c r="BA74" s="120"/>
      <c r="BB74" s="121"/>
      <c r="BC74" s="128" t="str">
        <v/>
      </c>
      <c r="BD74" s="136" t="str">
        <v/>
      </c>
      <c r="BE74" s="123"/>
    </row>
    <row r="75" spans="1:57">
      <c r="A75" s="43"/>
      <c r="B75" s="137"/>
      <c r="C75" s="138"/>
      <c r="D75" s="139"/>
      <c r="E75" s="114"/>
      <c r="F75" s="115"/>
      <c r="G75" s="116"/>
      <c r="H75" s="116"/>
      <c r="I75" s="117"/>
      <c r="J75" s="127" t="str">
        <v/>
      </c>
      <c r="K75" s="115"/>
      <c r="L75" s="116"/>
      <c r="M75" s="116"/>
      <c r="N75" s="117"/>
      <c r="O75" s="127" t="str">
        <v/>
      </c>
      <c r="P75" s="115"/>
      <c r="Q75" s="116"/>
      <c r="R75" s="116"/>
      <c r="S75" s="117"/>
      <c r="T75" s="127" t="str">
        <v/>
      </c>
      <c r="U75" s="119"/>
      <c r="V75" s="120"/>
      <c r="W75" s="120"/>
      <c r="X75" s="121"/>
      <c r="Y75" s="128" t="str">
        <v/>
      </c>
      <c r="Z75" s="119"/>
      <c r="AA75" s="120"/>
      <c r="AB75" s="120"/>
      <c r="AC75" s="121"/>
      <c r="AD75" s="128" t="str">
        <v/>
      </c>
      <c r="AE75" s="119"/>
      <c r="AF75" s="120"/>
      <c r="AG75" s="120"/>
      <c r="AH75" s="121"/>
      <c r="AI75" s="128" t="str">
        <v/>
      </c>
      <c r="AJ75" s="119"/>
      <c r="AK75" s="120"/>
      <c r="AL75" s="120"/>
      <c r="AM75" s="121"/>
      <c r="AN75" s="128" t="str">
        <v/>
      </c>
      <c r="AO75" s="119"/>
      <c r="AP75" s="120"/>
      <c r="AQ75" s="120"/>
      <c r="AR75" s="121"/>
      <c r="AS75" s="128" t="str">
        <v/>
      </c>
      <c r="AT75" s="119"/>
      <c r="AU75" s="120"/>
      <c r="AV75" s="120"/>
      <c r="AW75" s="121"/>
      <c r="AX75" s="128" t="str">
        <v/>
      </c>
      <c r="AY75" s="119"/>
      <c r="AZ75" s="120"/>
      <c r="BA75" s="120"/>
      <c r="BB75" s="121"/>
      <c r="BC75" s="128" t="str">
        <v/>
      </c>
      <c r="BD75" s="136" t="str">
        <v/>
      </c>
      <c r="BE75" s="123"/>
    </row>
    <row r="76" spans="1:57">
      <c r="A76" s="43"/>
      <c r="B76" s="137"/>
      <c r="C76" s="138"/>
      <c r="D76" s="139"/>
      <c r="E76" s="114"/>
      <c r="F76" s="115"/>
      <c r="G76" s="116"/>
      <c r="H76" s="116"/>
      <c r="I76" s="117"/>
      <c r="J76" s="127" t="str">
        <v/>
      </c>
      <c r="K76" s="115"/>
      <c r="L76" s="116"/>
      <c r="M76" s="116"/>
      <c r="N76" s="117"/>
      <c r="O76" s="127" t="str">
        <v/>
      </c>
      <c r="P76" s="115"/>
      <c r="Q76" s="116"/>
      <c r="R76" s="116"/>
      <c r="S76" s="117"/>
      <c r="T76" s="127" t="str">
        <v/>
      </c>
      <c r="U76" s="119"/>
      <c r="V76" s="120"/>
      <c r="W76" s="120"/>
      <c r="X76" s="121"/>
      <c r="Y76" s="128" t="str">
        <v/>
      </c>
      <c r="Z76" s="119"/>
      <c r="AA76" s="120"/>
      <c r="AB76" s="120"/>
      <c r="AC76" s="121"/>
      <c r="AD76" s="128" t="str">
        <v/>
      </c>
      <c r="AE76" s="119"/>
      <c r="AF76" s="120"/>
      <c r="AG76" s="120"/>
      <c r="AH76" s="121"/>
      <c r="AI76" s="128" t="str">
        <v/>
      </c>
      <c r="AJ76" s="119"/>
      <c r="AK76" s="120"/>
      <c r="AL76" s="120"/>
      <c r="AM76" s="121"/>
      <c r="AN76" s="128" t="str">
        <v/>
      </c>
      <c r="AO76" s="119"/>
      <c r="AP76" s="120"/>
      <c r="AQ76" s="120"/>
      <c r="AR76" s="121"/>
      <c r="AS76" s="128" t="str">
        <v/>
      </c>
      <c r="AT76" s="119"/>
      <c r="AU76" s="120"/>
      <c r="AV76" s="120"/>
      <c r="AW76" s="121"/>
      <c r="AX76" s="128" t="str">
        <v/>
      </c>
      <c r="AY76" s="119"/>
      <c r="AZ76" s="120"/>
      <c r="BA76" s="120"/>
      <c r="BB76" s="121"/>
      <c r="BC76" s="128" t="str">
        <v/>
      </c>
      <c r="BD76" s="136" t="str">
        <v/>
      </c>
      <c r="BE76" s="123"/>
    </row>
    <row r="77" spans="1:57">
      <c r="A77" s="43"/>
      <c r="B77" s="137"/>
      <c r="C77" s="138"/>
      <c r="D77" s="139"/>
      <c r="E77" s="114"/>
      <c r="F77" s="115"/>
      <c r="G77" s="116"/>
      <c r="H77" s="116"/>
      <c r="I77" s="117"/>
      <c r="J77" s="127" t="str">
        <v/>
      </c>
      <c r="K77" s="115"/>
      <c r="L77" s="116"/>
      <c r="M77" s="116"/>
      <c r="N77" s="117"/>
      <c r="O77" s="127" t="str">
        <v/>
      </c>
      <c r="P77" s="115"/>
      <c r="Q77" s="116"/>
      <c r="R77" s="116"/>
      <c r="S77" s="117"/>
      <c r="T77" s="127" t="str">
        <v/>
      </c>
      <c r="U77" s="119"/>
      <c r="V77" s="120"/>
      <c r="W77" s="120"/>
      <c r="X77" s="121"/>
      <c r="Y77" s="128" t="str">
        <v/>
      </c>
      <c r="Z77" s="119"/>
      <c r="AA77" s="120"/>
      <c r="AB77" s="120"/>
      <c r="AC77" s="121"/>
      <c r="AD77" s="128" t="str">
        <v/>
      </c>
      <c r="AE77" s="119"/>
      <c r="AF77" s="120"/>
      <c r="AG77" s="120"/>
      <c r="AH77" s="121"/>
      <c r="AI77" s="128" t="str">
        <v/>
      </c>
      <c r="AJ77" s="119"/>
      <c r="AK77" s="120"/>
      <c r="AL77" s="120"/>
      <c r="AM77" s="121"/>
      <c r="AN77" s="128" t="str">
        <v/>
      </c>
      <c r="AO77" s="119"/>
      <c r="AP77" s="120"/>
      <c r="AQ77" s="120"/>
      <c r="AR77" s="121"/>
      <c r="AS77" s="128" t="str">
        <v/>
      </c>
      <c r="AT77" s="119"/>
      <c r="AU77" s="120"/>
      <c r="AV77" s="120"/>
      <c r="AW77" s="121"/>
      <c r="AX77" s="128" t="str">
        <v/>
      </c>
      <c r="AY77" s="119"/>
      <c r="AZ77" s="120"/>
      <c r="BA77" s="120"/>
      <c r="BB77" s="121"/>
      <c r="BC77" s="128" t="str">
        <v/>
      </c>
      <c r="BD77" s="136" t="str">
        <v/>
      </c>
      <c r="BE77" s="123"/>
    </row>
    <row r="78" spans="1:57">
      <c r="A78" s="43"/>
      <c r="B78" s="137"/>
      <c r="C78" s="138"/>
      <c r="D78" s="139"/>
      <c r="E78" s="114"/>
      <c r="F78" s="115"/>
      <c r="G78" s="116"/>
      <c r="H78" s="116"/>
      <c r="I78" s="117"/>
      <c r="J78" s="127" t="str">
        <v/>
      </c>
      <c r="K78" s="115"/>
      <c r="L78" s="116"/>
      <c r="M78" s="116"/>
      <c r="N78" s="117"/>
      <c r="O78" s="127" t="str">
        <v/>
      </c>
      <c r="P78" s="115"/>
      <c r="Q78" s="116"/>
      <c r="R78" s="116"/>
      <c r="S78" s="117"/>
      <c r="T78" s="127" t="str">
        <v/>
      </c>
      <c r="U78" s="119"/>
      <c r="V78" s="120"/>
      <c r="W78" s="120"/>
      <c r="X78" s="121"/>
      <c r="Y78" s="128" t="str">
        <v/>
      </c>
      <c r="Z78" s="119"/>
      <c r="AA78" s="120"/>
      <c r="AB78" s="120"/>
      <c r="AC78" s="121"/>
      <c r="AD78" s="128" t="str">
        <v/>
      </c>
      <c r="AE78" s="119"/>
      <c r="AF78" s="120"/>
      <c r="AG78" s="120"/>
      <c r="AH78" s="121"/>
      <c r="AI78" s="128" t="str">
        <v/>
      </c>
      <c r="AJ78" s="119"/>
      <c r="AK78" s="120"/>
      <c r="AL78" s="120"/>
      <c r="AM78" s="121"/>
      <c r="AN78" s="128" t="str">
        <v/>
      </c>
      <c r="AO78" s="119"/>
      <c r="AP78" s="120"/>
      <c r="AQ78" s="120"/>
      <c r="AR78" s="121"/>
      <c r="AS78" s="128" t="str">
        <v/>
      </c>
      <c r="AT78" s="119"/>
      <c r="AU78" s="120"/>
      <c r="AV78" s="120"/>
      <c r="AW78" s="121"/>
      <c r="AX78" s="128" t="str">
        <v/>
      </c>
      <c r="AY78" s="119"/>
      <c r="AZ78" s="120"/>
      <c r="BA78" s="120"/>
      <c r="BB78" s="121"/>
      <c r="BC78" s="128" t="str">
        <v/>
      </c>
      <c r="BD78" s="136" t="str">
        <v/>
      </c>
      <c r="BE78" s="123"/>
    </row>
    <row r="79" spans="1:57">
      <c r="A79" s="43"/>
      <c r="B79" s="137"/>
      <c r="C79" s="138"/>
      <c r="D79" s="139"/>
      <c r="E79" s="114"/>
      <c r="F79" s="115"/>
      <c r="G79" s="116"/>
      <c r="H79" s="116"/>
      <c r="I79" s="117"/>
      <c r="J79" s="127" t="str">
        <v/>
      </c>
      <c r="K79" s="115"/>
      <c r="L79" s="116"/>
      <c r="M79" s="116"/>
      <c r="N79" s="117"/>
      <c r="O79" s="127" t="str">
        <v/>
      </c>
      <c r="P79" s="115"/>
      <c r="Q79" s="116"/>
      <c r="R79" s="116"/>
      <c r="S79" s="117"/>
      <c r="T79" s="127" t="str">
        <v/>
      </c>
      <c r="U79" s="119"/>
      <c r="V79" s="120"/>
      <c r="W79" s="120"/>
      <c r="X79" s="121"/>
      <c r="Y79" s="128" t="str">
        <v/>
      </c>
      <c r="Z79" s="119"/>
      <c r="AA79" s="120"/>
      <c r="AB79" s="120"/>
      <c r="AC79" s="121"/>
      <c r="AD79" s="128" t="str">
        <v/>
      </c>
      <c r="AE79" s="119"/>
      <c r="AF79" s="120"/>
      <c r="AG79" s="120"/>
      <c r="AH79" s="121"/>
      <c r="AI79" s="128" t="str">
        <v/>
      </c>
      <c r="AJ79" s="119"/>
      <c r="AK79" s="120"/>
      <c r="AL79" s="120"/>
      <c r="AM79" s="121"/>
      <c r="AN79" s="128" t="str">
        <v/>
      </c>
      <c r="AO79" s="119"/>
      <c r="AP79" s="120"/>
      <c r="AQ79" s="120"/>
      <c r="AR79" s="121"/>
      <c r="AS79" s="128" t="str">
        <v/>
      </c>
      <c r="AT79" s="119"/>
      <c r="AU79" s="120"/>
      <c r="AV79" s="120"/>
      <c r="AW79" s="121"/>
      <c r="AX79" s="128" t="str">
        <v/>
      </c>
      <c r="AY79" s="119"/>
      <c r="AZ79" s="120"/>
      <c r="BA79" s="120"/>
      <c r="BB79" s="121"/>
      <c r="BC79" s="128" t="str">
        <v/>
      </c>
      <c r="BD79" s="136" t="str">
        <v/>
      </c>
      <c r="BE79" s="123"/>
    </row>
    <row r="80" spans="1:57">
      <c r="A80" s="43"/>
      <c r="B80" s="137"/>
      <c r="C80" s="138"/>
      <c r="D80" s="139"/>
      <c r="E80" s="114"/>
      <c r="F80" s="115"/>
      <c r="G80" s="116"/>
      <c r="H80" s="116"/>
      <c r="I80" s="117"/>
      <c r="J80" s="127" t="str">
        <v/>
      </c>
      <c r="K80" s="115"/>
      <c r="L80" s="116"/>
      <c r="M80" s="116"/>
      <c r="N80" s="117"/>
      <c r="O80" s="127" t="str">
        <v/>
      </c>
      <c r="P80" s="115"/>
      <c r="Q80" s="116"/>
      <c r="R80" s="116"/>
      <c r="S80" s="117"/>
      <c r="T80" s="127" t="str">
        <v/>
      </c>
      <c r="U80" s="119"/>
      <c r="V80" s="120"/>
      <c r="W80" s="120"/>
      <c r="X80" s="121"/>
      <c r="Y80" s="128" t="str">
        <v/>
      </c>
      <c r="Z80" s="119"/>
      <c r="AA80" s="120"/>
      <c r="AB80" s="120"/>
      <c r="AC80" s="121"/>
      <c r="AD80" s="128" t="str">
        <v/>
      </c>
      <c r="AE80" s="119"/>
      <c r="AF80" s="120"/>
      <c r="AG80" s="120"/>
      <c r="AH80" s="121"/>
      <c r="AI80" s="128" t="str">
        <v/>
      </c>
      <c r="AJ80" s="119"/>
      <c r="AK80" s="120"/>
      <c r="AL80" s="120"/>
      <c r="AM80" s="121"/>
      <c r="AN80" s="128" t="str">
        <v/>
      </c>
      <c r="AO80" s="119"/>
      <c r="AP80" s="120"/>
      <c r="AQ80" s="120"/>
      <c r="AR80" s="121"/>
      <c r="AS80" s="128" t="str">
        <v/>
      </c>
      <c r="AT80" s="119"/>
      <c r="AU80" s="120"/>
      <c r="AV80" s="120"/>
      <c r="AW80" s="121"/>
      <c r="AX80" s="128" t="str">
        <v/>
      </c>
      <c r="AY80" s="119"/>
      <c r="AZ80" s="120"/>
      <c r="BA80" s="120"/>
      <c r="BB80" s="121"/>
      <c r="BC80" s="128" t="str">
        <v/>
      </c>
      <c r="BD80" s="136" t="str">
        <v/>
      </c>
      <c r="BE80" s="123"/>
    </row>
    <row r="81" spans="1:57">
      <c r="A81" s="43"/>
      <c r="B81" s="137"/>
      <c r="C81" s="138"/>
      <c r="D81" s="139"/>
      <c r="E81" s="114"/>
      <c r="F81" s="115"/>
      <c r="G81" s="116"/>
      <c r="H81" s="116"/>
      <c r="I81" s="117"/>
      <c r="J81" s="127" t="str">
        <v/>
      </c>
      <c r="K81" s="115"/>
      <c r="L81" s="116"/>
      <c r="M81" s="116"/>
      <c r="N81" s="117"/>
      <c r="O81" s="127" t="str">
        <v/>
      </c>
      <c r="P81" s="115"/>
      <c r="Q81" s="116"/>
      <c r="R81" s="116"/>
      <c r="S81" s="117"/>
      <c r="T81" s="127" t="str">
        <v/>
      </c>
      <c r="U81" s="119"/>
      <c r="V81" s="120"/>
      <c r="W81" s="120"/>
      <c r="X81" s="121"/>
      <c r="Y81" s="128" t="str">
        <v/>
      </c>
      <c r="Z81" s="119"/>
      <c r="AA81" s="120"/>
      <c r="AB81" s="120"/>
      <c r="AC81" s="121"/>
      <c r="AD81" s="128" t="str">
        <v/>
      </c>
      <c r="AE81" s="119"/>
      <c r="AF81" s="120"/>
      <c r="AG81" s="120"/>
      <c r="AH81" s="121"/>
      <c r="AI81" s="128" t="str">
        <v/>
      </c>
      <c r="AJ81" s="119"/>
      <c r="AK81" s="120"/>
      <c r="AL81" s="120"/>
      <c r="AM81" s="121"/>
      <c r="AN81" s="128" t="str">
        <v/>
      </c>
      <c r="AO81" s="119"/>
      <c r="AP81" s="120"/>
      <c r="AQ81" s="120"/>
      <c r="AR81" s="121"/>
      <c r="AS81" s="128" t="str">
        <v/>
      </c>
      <c r="AT81" s="119"/>
      <c r="AU81" s="120"/>
      <c r="AV81" s="120"/>
      <c r="AW81" s="121"/>
      <c r="AX81" s="128" t="str">
        <v/>
      </c>
      <c r="AY81" s="119"/>
      <c r="AZ81" s="120"/>
      <c r="BA81" s="120"/>
      <c r="BB81" s="121"/>
      <c r="BC81" s="128" t="str">
        <v/>
      </c>
      <c r="BD81" s="136" t="str">
        <v/>
      </c>
      <c r="BE81" s="123"/>
    </row>
    <row r="82" spans="1:57">
      <c r="A82" s="43"/>
      <c r="B82" s="137"/>
      <c r="C82" s="138"/>
      <c r="D82" s="139"/>
      <c r="E82" s="114"/>
      <c r="F82" s="115"/>
      <c r="G82" s="116"/>
      <c r="H82" s="116"/>
      <c r="I82" s="117"/>
      <c r="J82" s="127" t="str">
        <v/>
      </c>
      <c r="K82" s="115"/>
      <c r="L82" s="116"/>
      <c r="M82" s="116"/>
      <c r="N82" s="117"/>
      <c r="O82" s="127" t="str">
        <v/>
      </c>
      <c r="P82" s="115"/>
      <c r="Q82" s="116"/>
      <c r="R82" s="116"/>
      <c r="S82" s="117"/>
      <c r="T82" s="127" t="str">
        <v/>
      </c>
      <c r="U82" s="119"/>
      <c r="V82" s="120"/>
      <c r="W82" s="120"/>
      <c r="X82" s="121"/>
      <c r="Y82" s="128" t="str">
        <v/>
      </c>
      <c r="Z82" s="119"/>
      <c r="AA82" s="120"/>
      <c r="AB82" s="120"/>
      <c r="AC82" s="121"/>
      <c r="AD82" s="128" t="str">
        <v/>
      </c>
      <c r="AE82" s="119"/>
      <c r="AF82" s="120"/>
      <c r="AG82" s="120"/>
      <c r="AH82" s="121"/>
      <c r="AI82" s="128" t="str">
        <v/>
      </c>
      <c r="AJ82" s="119"/>
      <c r="AK82" s="120"/>
      <c r="AL82" s="120"/>
      <c r="AM82" s="121"/>
      <c r="AN82" s="128" t="str">
        <v/>
      </c>
      <c r="AO82" s="119"/>
      <c r="AP82" s="120"/>
      <c r="AQ82" s="120"/>
      <c r="AR82" s="121"/>
      <c r="AS82" s="128" t="str">
        <v/>
      </c>
      <c r="AT82" s="119"/>
      <c r="AU82" s="120"/>
      <c r="AV82" s="120"/>
      <c r="AW82" s="121"/>
      <c r="AX82" s="128" t="str">
        <v/>
      </c>
      <c r="AY82" s="119"/>
      <c r="AZ82" s="120"/>
      <c r="BA82" s="120"/>
      <c r="BB82" s="121"/>
      <c r="BC82" s="128" t="str">
        <v/>
      </c>
      <c r="BD82" s="136" t="str">
        <v/>
      </c>
      <c r="BE82" s="123"/>
    </row>
    <row r="83" spans="1:57">
      <c r="A83" s="43"/>
      <c r="B83" s="137"/>
      <c r="C83" s="138"/>
      <c r="D83" s="139"/>
      <c r="E83" s="114"/>
      <c r="F83" s="115"/>
      <c r="G83" s="116"/>
      <c r="H83" s="116"/>
      <c r="I83" s="117"/>
      <c r="J83" s="127" t="str">
        <v/>
      </c>
      <c r="K83" s="115"/>
      <c r="L83" s="116"/>
      <c r="M83" s="116"/>
      <c r="N83" s="117"/>
      <c r="O83" s="127" t="str">
        <v/>
      </c>
      <c r="P83" s="115"/>
      <c r="Q83" s="116"/>
      <c r="R83" s="116"/>
      <c r="S83" s="117"/>
      <c r="T83" s="127" t="str">
        <v/>
      </c>
      <c r="U83" s="119"/>
      <c r="V83" s="120"/>
      <c r="W83" s="120"/>
      <c r="X83" s="121"/>
      <c r="Y83" s="128" t="str">
        <v/>
      </c>
      <c r="Z83" s="119"/>
      <c r="AA83" s="120"/>
      <c r="AB83" s="120"/>
      <c r="AC83" s="121"/>
      <c r="AD83" s="128" t="str">
        <v/>
      </c>
      <c r="AE83" s="119"/>
      <c r="AF83" s="120"/>
      <c r="AG83" s="120"/>
      <c r="AH83" s="121"/>
      <c r="AI83" s="128" t="str">
        <v/>
      </c>
      <c r="AJ83" s="119"/>
      <c r="AK83" s="120"/>
      <c r="AL83" s="120"/>
      <c r="AM83" s="121"/>
      <c r="AN83" s="128" t="str">
        <v/>
      </c>
      <c r="AO83" s="119"/>
      <c r="AP83" s="120"/>
      <c r="AQ83" s="120"/>
      <c r="AR83" s="121"/>
      <c r="AS83" s="128" t="str">
        <v/>
      </c>
      <c r="AT83" s="119"/>
      <c r="AU83" s="120"/>
      <c r="AV83" s="120"/>
      <c r="AW83" s="121"/>
      <c r="AX83" s="128" t="str">
        <v/>
      </c>
      <c r="AY83" s="119"/>
      <c r="AZ83" s="120"/>
      <c r="BA83" s="120"/>
      <c r="BB83" s="121"/>
      <c r="BC83" s="128" t="str">
        <v/>
      </c>
      <c r="BD83" s="136" t="str">
        <v/>
      </c>
      <c r="BE83" s="123"/>
    </row>
    <row r="84" spans="1:57">
      <c r="A84" s="43"/>
      <c r="B84" s="137"/>
      <c r="C84" s="138"/>
      <c r="D84" s="139"/>
      <c r="E84" s="114"/>
      <c r="F84" s="115"/>
      <c r="G84" s="116"/>
      <c r="H84" s="116"/>
      <c r="I84" s="117"/>
      <c r="J84" s="127" t="str">
        <v/>
      </c>
      <c r="K84" s="115"/>
      <c r="L84" s="116"/>
      <c r="M84" s="116"/>
      <c r="N84" s="117"/>
      <c r="O84" s="127" t="str">
        <v/>
      </c>
      <c r="P84" s="115"/>
      <c r="Q84" s="116"/>
      <c r="R84" s="116"/>
      <c r="S84" s="117"/>
      <c r="T84" s="127" t="str">
        <v/>
      </c>
      <c r="U84" s="119"/>
      <c r="V84" s="120"/>
      <c r="W84" s="120"/>
      <c r="X84" s="121"/>
      <c r="Y84" s="128" t="str">
        <v/>
      </c>
      <c r="Z84" s="119"/>
      <c r="AA84" s="120"/>
      <c r="AB84" s="120"/>
      <c r="AC84" s="121"/>
      <c r="AD84" s="128" t="str">
        <v/>
      </c>
      <c r="AE84" s="119"/>
      <c r="AF84" s="120"/>
      <c r="AG84" s="120"/>
      <c r="AH84" s="121"/>
      <c r="AI84" s="128" t="str">
        <v/>
      </c>
      <c r="AJ84" s="119"/>
      <c r="AK84" s="120"/>
      <c r="AL84" s="120"/>
      <c r="AM84" s="121"/>
      <c r="AN84" s="128" t="str">
        <v/>
      </c>
      <c r="AO84" s="119"/>
      <c r="AP84" s="120"/>
      <c r="AQ84" s="120"/>
      <c r="AR84" s="121"/>
      <c r="AS84" s="128" t="str">
        <v/>
      </c>
      <c r="AT84" s="119"/>
      <c r="AU84" s="120"/>
      <c r="AV84" s="120"/>
      <c r="AW84" s="121"/>
      <c r="AX84" s="128" t="str">
        <v/>
      </c>
      <c r="AY84" s="119"/>
      <c r="AZ84" s="120"/>
      <c r="BA84" s="120"/>
      <c r="BB84" s="121"/>
      <c r="BC84" s="128" t="str">
        <v/>
      </c>
      <c r="BD84" s="136" t="str">
        <v/>
      </c>
      <c r="BE84" s="123"/>
    </row>
    <row r="85" spans="1:57">
      <c r="A85" s="43"/>
      <c r="B85" s="137"/>
      <c r="C85" s="138"/>
      <c r="D85" s="139"/>
      <c r="E85" s="114"/>
      <c r="F85" s="115"/>
      <c r="G85" s="116"/>
      <c r="H85" s="116"/>
      <c r="I85" s="117"/>
      <c r="J85" s="127" t="str">
        <v/>
      </c>
      <c r="K85" s="115"/>
      <c r="L85" s="116"/>
      <c r="M85" s="116"/>
      <c r="N85" s="117"/>
      <c r="O85" s="127" t="str">
        <v/>
      </c>
      <c r="P85" s="115"/>
      <c r="Q85" s="116"/>
      <c r="R85" s="116"/>
      <c r="S85" s="117"/>
      <c r="T85" s="127" t="str">
        <v/>
      </c>
      <c r="U85" s="119"/>
      <c r="V85" s="120"/>
      <c r="W85" s="120"/>
      <c r="X85" s="121"/>
      <c r="Y85" s="128" t="str">
        <v/>
      </c>
      <c r="Z85" s="119"/>
      <c r="AA85" s="120"/>
      <c r="AB85" s="120"/>
      <c r="AC85" s="121"/>
      <c r="AD85" s="128" t="str">
        <v/>
      </c>
      <c r="AE85" s="119"/>
      <c r="AF85" s="120"/>
      <c r="AG85" s="120"/>
      <c r="AH85" s="121"/>
      <c r="AI85" s="128" t="str">
        <v/>
      </c>
      <c r="AJ85" s="119"/>
      <c r="AK85" s="120"/>
      <c r="AL85" s="120"/>
      <c r="AM85" s="121"/>
      <c r="AN85" s="128" t="str">
        <v/>
      </c>
      <c r="AO85" s="119"/>
      <c r="AP85" s="120"/>
      <c r="AQ85" s="120"/>
      <c r="AR85" s="121"/>
      <c r="AS85" s="128" t="str">
        <v/>
      </c>
      <c r="AT85" s="119"/>
      <c r="AU85" s="120"/>
      <c r="AV85" s="120"/>
      <c r="AW85" s="121"/>
      <c r="AX85" s="128" t="str">
        <v/>
      </c>
      <c r="AY85" s="119"/>
      <c r="AZ85" s="120"/>
      <c r="BA85" s="120"/>
      <c r="BB85" s="121"/>
      <c r="BC85" s="128" t="str">
        <v/>
      </c>
      <c r="BD85" s="136" t="str">
        <v/>
      </c>
      <c r="BE85" s="123"/>
    </row>
    <row r="86" spans="1:57">
      <c r="A86" s="43"/>
      <c r="B86" s="137"/>
      <c r="C86" s="138"/>
      <c r="D86" s="139"/>
      <c r="E86" s="114"/>
      <c r="F86" s="115"/>
      <c r="G86" s="116"/>
      <c r="H86" s="116"/>
      <c r="I86" s="117"/>
      <c r="J86" s="127" t="str">
        <v/>
      </c>
      <c r="K86" s="115"/>
      <c r="L86" s="116"/>
      <c r="M86" s="116"/>
      <c r="N86" s="117"/>
      <c r="O86" s="127" t="str">
        <v/>
      </c>
      <c r="P86" s="115"/>
      <c r="Q86" s="116"/>
      <c r="R86" s="116"/>
      <c r="S86" s="117"/>
      <c r="T86" s="127" t="str">
        <v/>
      </c>
      <c r="U86" s="119"/>
      <c r="V86" s="120"/>
      <c r="W86" s="120"/>
      <c r="X86" s="121"/>
      <c r="Y86" s="128" t="str">
        <v/>
      </c>
      <c r="Z86" s="119"/>
      <c r="AA86" s="120"/>
      <c r="AB86" s="120"/>
      <c r="AC86" s="121"/>
      <c r="AD86" s="128" t="str">
        <v/>
      </c>
      <c r="AE86" s="119"/>
      <c r="AF86" s="120"/>
      <c r="AG86" s="120"/>
      <c r="AH86" s="121"/>
      <c r="AI86" s="128" t="str">
        <v/>
      </c>
      <c r="AJ86" s="119"/>
      <c r="AK86" s="120"/>
      <c r="AL86" s="120"/>
      <c r="AM86" s="121"/>
      <c r="AN86" s="128" t="str">
        <v/>
      </c>
      <c r="AO86" s="119"/>
      <c r="AP86" s="120"/>
      <c r="AQ86" s="120"/>
      <c r="AR86" s="121"/>
      <c r="AS86" s="128" t="str">
        <v/>
      </c>
      <c r="AT86" s="119"/>
      <c r="AU86" s="120"/>
      <c r="AV86" s="120"/>
      <c r="AW86" s="121"/>
      <c r="AX86" s="128" t="str">
        <v/>
      </c>
      <c r="AY86" s="119"/>
      <c r="AZ86" s="120"/>
      <c r="BA86" s="120"/>
      <c r="BB86" s="121"/>
      <c r="BC86" s="128" t="str">
        <v/>
      </c>
      <c r="BD86" s="136" t="str">
        <v/>
      </c>
      <c r="BE86" s="123"/>
    </row>
    <row r="87" spans="1:57">
      <c r="A87" s="43"/>
      <c r="B87" s="137"/>
      <c r="C87" s="138"/>
      <c r="D87" s="139"/>
      <c r="E87" s="114"/>
      <c r="F87" s="115"/>
      <c r="G87" s="116"/>
      <c r="H87" s="116"/>
      <c r="I87" s="117"/>
      <c r="J87" s="127" t="str">
        <v/>
      </c>
      <c r="K87" s="115"/>
      <c r="L87" s="116"/>
      <c r="M87" s="116"/>
      <c r="N87" s="117"/>
      <c r="O87" s="127" t="str">
        <v/>
      </c>
      <c r="P87" s="115"/>
      <c r="Q87" s="116"/>
      <c r="R87" s="116"/>
      <c r="S87" s="117"/>
      <c r="T87" s="127" t="str">
        <v/>
      </c>
      <c r="U87" s="119"/>
      <c r="V87" s="120"/>
      <c r="W87" s="120"/>
      <c r="X87" s="121"/>
      <c r="Y87" s="128" t="str">
        <v/>
      </c>
      <c r="Z87" s="119"/>
      <c r="AA87" s="120"/>
      <c r="AB87" s="120"/>
      <c r="AC87" s="121"/>
      <c r="AD87" s="128" t="str">
        <v/>
      </c>
      <c r="AE87" s="119"/>
      <c r="AF87" s="120"/>
      <c r="AG87" s="120"/>
      <c r="AH87" s="121"/>
      <c r="AI87" s="128" t="str">
        <v/>
      </c>
      <c r="AJ87" s="119"/>
      <c r="AK87" s="120"/>
      <c r="AL87" s="120"/>
      <c r="AM87" s="121"/>
      <c r="AN87" s="128" t="str">
        <v/>
      </c>
      <c r="AO87" s="119"/>
      <c r="AP87" s="120"/>
      <c r="AQ87" s="120"/>
      <c r="AR87" s="121"/>
      <c r="AS87" s="128" t="str">
        <v/>
      </c>
      <c r="AT87" s="119"/>
      <c r="AU87" s="120"/>
      <c r="AV87" s="120"/>
      <c r="AW87" s="121"/>
      <c r="AX87" s="128" t="str">
        <v/>
      </c>
      <c r="AY87" s="119"/>
      <c r="AZ87" s="120"/>
      <c r="BA87" s="120"/>
      <c r="BB87" s="121"/>
      <c r="BC87" s="128" t="str">
        <v/>
      </c>
      <c r="BD87" s="136" t="str">
        <v/>
      </c>
      <c r="BE87" s="123"/>
    </row>
    <row r="88" spans="1:57">
      <c r="A88" s="43"/>
      <c r="B88" s="137"/>
      <c r="C88" s="138"/>
      <c r="D88" s="139"/>
      <c r="E88" s="114"/>
      <c r="F88" s="115"/>
      <c r="G88" s="116"/>
      <c r="H88" s="116"/>
      <c r="I88" s="117"/>
      <c r="J88" s="127" t="str">
        <v/>
      </c>
      <c r="K88" s="115"/>
      <c r="L88" s="116"/>
      <c r="M88" s="116"/>
      <c r="N88" s="117"/>
      <c r="O88" s="127" t="str">
        <v/>
      </c>
      <c r="P88" s="115"/>
      <c r="Q88" s="116"/>
      <c r="R88" s="116"/>
      <c r="S88" s="117"/>
      <c r="T88" s="127" t="str">
        <v/>
      </c>
      <c r="U88" s="119"/>
      <c r="V88" s="120"/>
      <c r="W88" s="120"/>
      <c r="X88" s="121"/>
      <c r="Y88" s="128" t="str">
        <v/>
      </c>
      <c r="Z88" s="119"/>
      <c r="AA88" s="120"/>
      <c r="AB88" s="120"/>
      <c r="AC88" s="121"/>
      <c r="AD88" s="128" t="str">
        <v/>
      </c>
      <c r="AE88" s="119"/>
      <c r="AF88" s="120"/>
      <c r="AG88" s="120"/>
      <c r="AH88" s="121"/>
      <c r="AI88" s="128" t="str">
        <v/>
      </c>
      <c r="AJ88" s="119"/>
      <c r="AK88" s="120"/>
      <c r="AL88" s="120"/>
      <c r="AM88" s="121"/>
      <c r="AN88" s="128" t="str">
        <v/>
      </c>
      <c r="AO88" s="119"/>
      <c r="AP88" s="120"/>
      <c r="AQ88" s="120"/>
      <c r="AR88" s="121"/>
      <c r="AS88" s="128" t="str">
        <v/>
      </c>
      <c r="AT88" s="119"/>
      <c r="AU88" s="120"/>
      <c r="AV88" s="120"/>
      <c r="AW88" s="121"/>
      <c r="AX88" s="128" t="str">
        <v/>
      </c>
      <c r="AY88" s="119"/>
      <c r="AZ88" s="120"/>
      <c r="BA88" s="120"/>
      <c r="BB88" s="121"/>
      <c r="BC88" s="128" t="str">
        <v/>
      </c>
      <c r="BD88" s="136" t="str">
        <v/>
      </c>
      <c r="BE88" s="123"/>
    </row>
    <row r="89" spans="1:57">
      <c r="A89" s="43"/>
      <c r="B89" s="137"/>
      <c r="C89" s="138"/>
      <c r="D89" s="139"/>
      <c r="E89" s="114"/>
      <c r="F89" s="115"/>
      <c r="G89" s="116"/>
      <c r="H89" s="116"/>
      <c r="I89" s="117"/>
      <c r="J89" s="127" t="str">
        <v/>
      </c>
      <c r="K89" s="115"/>
      <c r="L89" s="116"/>
      <c r="M89" s="116"/>
      <c r="N89" s="117"/>
      <c r="O89" s="127" t="str">
        <v/>
      </c>
      <c r="P89" s="115"/>
      <c r="Q89" s="116"/>
      <c r="R89" s="116"/>
      <c r="S89" s="117"/>
      <c r="T89" s="127" t="str">
        <v/>
      </c>
      <c r="U89" s="119"/>
      <c r="V89" s="120"/>
      <c r="W89" s="120"/>
      <c r="X89" s="121"/>
      <c r="Y89" s="128" t="str">
        <v/>
      </c>
      <c r="Z89" s="119"/>
      <c r="AA89" s="120"/>
      <c r="AB89" s="120"/>
      <c r="AC89" s="121"/>
      <c r="AD89" s="128" t="str">
        <v/>
      </c>
      <c r="AE89" s="119"/>
      <c r="AF89" s="120"/>
      <c r="AG89" s="120"/>
      <c r="AH89" s="121"/>
      <c r="AI89" s="128" t="str">
        <v/>
      </c>
      <c r="AJ89" s="119"/>
      <c r="AK89" s="120"/>
      <c r="AL89" s="120"/>
      <c r="AM89" s="121"/>
      <c r="AN89" s="128" t="str">
        <v/>
      </c>
      <c r="AO89" s="119"/>
      <c r="AP89" s="120"/>
      <c r="AQ89" s="120"/>
      <c r="AR89" s="121"/>
      <c r="AS89" s="128" t="str">
        <v/>
      </c>
      <c r="AT89" s="119"/>
      <c r="AU89" s="120"/>
      <c r="AV89" s="120"/>
      <c r="AW89" s="121"/>
      <c r="AX89" s="128" t="str">
        <v/>
      </c>
      <c r="AY89" s="119"/>
      <c r="AZ89" s="120"/>
      <c r="BA89" s="120"/>
      <c r="BB89" s="121"/>
      <c r="BC89" s="128" t="str">
        <v/>
      </c>
      <c r="BD89" s="136" t="str">
        <v/>
      </c>
      <c r="BE89" s="123"/>
    </row>
    <row r="90" spans="1:57">
      <c r="A90" s="43"/>
      <c r="B90" s="137"/>
      <c r="C90" s="138"/>
      <c r="D90" s="139"/>
      <c r="E90" s="114"/>
      <c r="F90" s="115"/>
      <c r="G90" s="116"/>
      <c r="H90" s="116"/>
      <c r="I90" s="117"/>
      <c r="J90" s="127" t="str">
        <v/>
      </c>
      <c r="K90" s="115"/>
      <c r="L90" s="116"/>
      <c r="M90" s="116"/>
      <c r="N90" s="117"/>
      <c r="O90" s="127" t="str">
        <v/>
      </c>
      <c r="P90" s="115"/>
      <c r="Q90" s="116"/>
      <c r="R90" s="116"/>
      <c r="S90" s="117"/>
      <c r="T90" s="127" t="str">
        <v/>
      </c>
      <c r="U90" s="119"/>
      <c r="V90" s="120"/>
      <c r="W90" s="120"/>
      <c r="X90" s="121"/>
      <c r="Y90" s="128" t="str">
        <v/>
      </c>
      <c r="Z90" s="119"/>
      <c r="AA90" s="120"/>
      <c r="AB90" s="120"/>
      <c r="AC90" s="121"/>
      <c r="AD90" s="128" t="str">
        <v/>
      </c>
      <c r="AE90" s="119"/>
      <c r="AF90" s="120"/>
      <c r="AG90" s="120"/>
      <c r="AH90" s="121"/>
      <c r="AI90" s="128" t="str">
        <v/>
      </c>
      <c r="AJ90" s="119"/>
      <c r="AK90" s="120"/>
      <c r="AL90" s="120"/>
      <c r="AM90" s="121"/>
      <c r="AN90" s="128" t="str">
        <v/>
      </c>
      <c r="AO90" s="119"/>
      <c r="AP90" s="120"/>
      <c r="AQ90" s="120"/>
      <c r="AR90" s="121"/>
      <c r="AS90" s="128" t="str">
        <v/>
      </c>
      <c r="AT90" s="119"/>
      <c r="AU90" s="120"/>
      <c r="AV90" s="120"/>
      <c r="AW90" s="121"/>
      <c r="AX90" s="128" t="str">
        <v/>
      </c>
      <c r="AY90" s="119"/>
      <c r="AZ90" s="120"/>
      <c r="BA90" s="120"/>
      <c r="BB90" s="121"/>
      <c r="BC90" s="128" t="str">
        <v/>
      </c>
      <c r="BD90" s="136" t="str">
        <v/>
      </c>
      <c r="BE90" s="123"/>
    </row>
    <row r="91" spans="1:57">
      <c r="A91" s="43"/>
      <c r="B91" s="137"/>
      <c r="C91" s="138"/>
      <c r="D91" s="139"/>
      <c r="E91" s="114"/>
      <c r="F91" s="115"/>
      <c r="G91" s="116"/>
      <c r="H91" s="116"/>
      <c r="I91" s="117"/>
      <c r="J91" s="127" t="str">
        <v/>
      </c>
      <c r="K91" s="115"/>
      <c r="L91" s="116"/>
      <c r="M91" s="116"/>
      <c r="N91" s="117"/>
      <c r="O91" s="127" t="str">
        <v/>
      </c>
      <c r="P91" s="115"/>
      <c r="Q91" s="116"/>
      <c r="R91" s="116"/>
      <c r="S91" s="117"/>
      <c r="T91" s="127" t="str">
        <v/>
      </c>
      <c r="U91" s="119"/>
      <c r="V91" s="120"/>
      <c r="W91" s="120"/>
      <c r="X91" s="121"/>
      <c r="Y91" s="128" t="str">
        <v/>
      </c>
      <c r="Z91" s="119"/>
      <c r="AA91" s="120"/>
      <c r="AB91" s="120"/>
      <c r="AC91" s="121"/>
      <c r="AD91" s="128" t="str">
        <v/>
      </c>
      <c r="AE91" s="119"/>
      <c r="AF91" s="120"/>
      <c r="AG91" s="120"/>
      <c r="AH91" s="121"/>
      <c r="AI91" s="128" t="str">
        <v/>
      </c>
      <c r="AJ91" s="119"/>
      <c r="AK91" s="120"/>
      <c r="AL91" s="120"/>
      <c r="AM91" s="121"/>
      <c r="AN91" s="128" t="str">
        <v/>
      </c>
      <c r="AO91" s="119"/>
      <c r="AP91" s="120"/>
      <c r="AQ91" s="120"/>
      <c r="AR91" s="121"/>
      <c r="AS91" s="128" t="str">
        <v/>
      </c>
      <c r="AT91" s="119"/>
      <c r="AU91" s="120"/>
      <c r="AV91" s="120"/>
      <c r="AW91" s="121"/>
      <c r="AX91" s="128" t="str">
        <v/>
      </c>
      <c r="AY91" s="119"/>
      <c r="AZ91" s="120"/>
      <c r="BA91" s="120"/>
      <c r="BB91" s="121"/>
      <c r="BC91" s="128" t="str">
        <v/>
      </c>
      <c r="BD91" s="136" t="str">
        <v/>
      </c>
      <c r="BE91" s="123"/>
    </row>
    <row r="92" spans="1:57">
      <c r="A92" s="43"/>
      <c r="B92" s="137"/>
      <c r="C92" s="138"/>
      <c r="D92" s="139"/>
      <c r="E92" s="114"/>
      <c r="F92" s="115"/>
      <c r="G92" s="116"/>
      <c r="H92" s="116"/>
      <c r="I92" s="117"/>
      <c r="J92" s="127" t="str">
        <v/>
      </c>
      <c r="K92" s="115"/>
      <c r="L92" s="116"/>
      <c r="M92" s="116"/>
      <c r="N92" s="117"/>
      <c r="O92" s="127" t="str">
        <v/>
      </c>
      <c r="P92" s="115"/>
      <c r="Q92" s="116"/>
      <c r="R92" s="116"/>
      <c r="S92" s="117"/>
      <c r="T92" s="127" t="str">
        <v/>
      </c>
      <c r="U92" s="119"/>
      <c r="V92" s="120"/>
      <c r="W92" s="120"/>
      <c r="X92" s="121"/>
      <c r="Y92" s="128" t="str">
        <v/>
      </c>
      <c r="Z92" s="119"/>
      <c r="AA92" s="120"/>
      <c r="AB92" s="120"/>
      <c r="AC92" s="121"/>
      <c r="AD92" s="128" t="str">
        <v/>
      </c>
      <c r="AE92" s="119"/>
      <c r="AF92" s="120"/>
      <c r="AG92" s="120"/>
      <c r="AH92" s="121"/>
      <c r="AI92" s="128" t="str">
        <v/>
      </c>
      <c r="AJ92" s="119"/>
      <c r="AK92" s="120"/>
      <c r="AL92" s="120"/>
      <c r="AM92" s="121"/>
      <c r="AN92" s="128" t="str">
        <v/>
      </c>
      <c r="AO92" s="119"/>
      <c r="AP92" s="120"/>
      <c r="AQ92" s="120"/>
      <c r="AR92" s="121"/>
      <c r="AS92" s="128" t="str">
        <v/>
      </c>
      <c r="AT92" s="119"/>
      <c r="AU92" s="120"/>
      <c r="AV92" s="120"/>
      <c r="AW92" s="121"/>
      <c r="AX92" s="128" t="str">
        <v/>
      </c>
      <c r="AY92" s="119"/>
      <c r="AZ92" s="120"/>
      <c r="BA92" s="120"/>
      <c r="BB92" s="121"/>
      <c r="BC92" s="128" t="str">
        <v/>
      </c>
      <c r="BD92" s="136" t="str">
        <v/>
      </c>
      <c r="BE92" s="123"/>
    </row>
    <row r="93" spans="1:57">
      <c r="A93" s="43"/>
      <c r="B93" s="137"/>
      <c r="C93" s="138"/>
      <c r="D93" s="139"/>
      <c r="E93" s="114"/>
      <c r="F93" s="115"/>
      <c r="G93" s="116"/>
      <c r="H93" s="116"/>
      <c r="I93" s="117"/>
      <c r="J93" s="127" t="str">
        <v/>
      </c>
      <c r="K93" s="115"/>
      <c r="L93" s="116"/>
      <c r="M93" s="116"/>
      <c r="N93" s="117"/>
      <c r="O93" s="127" t="str">
        <v/>
      </c>
      <c r="P93" s="115"/>
      <c r="Q93" s="116"/>
      <c r="R93" s="116"/>
      <c r="S93" s="117"/>
      <c r="T93" s="127" t="str">
        <v/>
      </c>
      <c r="U93" s="119"/>
      <c r="V93" s="120"/>
      <c r="W93" s="120"/>
      <c r="X93" s="121"/>
      <c r="Y93" s="128" t="str">
        <v/>
      </c>
      <c r="Z93" s="119"/>
      <c r="AA93" s="120"/>
      <c r="AB93" s="120"/>
      <c r="AC93" s="121"/>
      <c r="AD93" s="128" t="str">
        <v/>
      </c>
      <c r="AE93" s="119"/>
      <c r="AF93" s="120"/>
      <c r="AG93" s="120"/>
      <c r="AH93" s="121"/>
      <c r="AI93" s="128" t="str">
        <v/>
      </c>
      <c r="AJ93" s="119"/>
      <c r="AK93" s="120"/>
      <c r="AL93" s="120"/>
      <c r="AM93" s="121"/>
      <c r="AN93" s="128" t="str">
        <v/>
      </c>
      <c r="AO93" s="119"/>
      <c r="AP93" s="120"/>
      <c r="AQ93" s="120"/>
      <c r="AR93" s="121"/>
      <c r="AS93" s="128" t="str">
        <v/>
      </c>
      <c r="AT93" s="119"/>
      <c r="AU93" s="120"/>
      <c r="AV93" s="120"/>
      <c r="AW93" s="121"/>
      <c r="AX93" s="128" t="str">
        <v/>
      </c>
      <c r="AY93" s="119"/>
      <c r="AZ93" s="120"/>
      <c r="BA93" s="120"/>
      <c r="BB93" s="121"/>
      <c r="BC93" s="128" t="str">
        <v/>
      </c>
      <c r="BD93" s="136" t="str">
        <v/>
      </c>
      <c r="BE93" s="123"/>
    </row>
    <row r="94" spans="1:57">
      <c r="A94" s="43"/>
      <c r="B94" s="137"/>
      <c r="C94" s="138"/>
      <c r="D94" s="139"/>
      <c r="E94" s="114"/>
      <c r="F94" s="115"/>
      <c r="G94" s="116"/>
      <c r="H94" s="116"/>
      <c r="I94" s="117"/>
      <c r="J94" s="127" t="str">
        <v/>
      </c>
      <c r="K94" s="115"/>
      <c r="L94" s="116"/>
      <c r="M94" s="116"/>
      <c r="N94" s="117"/>
      <c r="O94" s="127" t="str">
        <v/>
      </c>
      <c r="P94" s="115"/>
      <c r="Q94" s="116"/>
      <c r="R94" s="116"/>
      <c r="S94" s="117"/>
      <c r="T94" s="127" t="str">
        <v/>
      </c>
      <c r="U94" s="119"/>
      <c r="V94" s="120"/>
      <c r="W94" s="120"/>
      <c r="X94" s="121"/>
      <c r="Y94" s="128" t="str">
        <v/>
      </c>
      <c r="Z94" s="119"/>
      <c r="AA94" s="120"/>
      <c r="AB94" s="120"/>
      <c r="AC94" s="121"/>
      <c r="AD94" s="128" t="str">
        <v/>
      </c>
      <c r="AE94" s="119"/>
      <c r="AF94" s="120"/>
      <c r="AG94" s="120"/>
      <c r="AH94" s="121"/>
      <c r="AI94" s="128" t="str">
        <v/>
      </c>
      <c r="AJ94" s="119"/>
      <c r="AK94" s="120"/>
      <c r="AL94" s="120"/>
      <c r="AM94" s="121"/>
      <c r="AN94" s="128" t="str">
        <v/>
      </c>
      <c r="AO94" s="119"/>
      <c r="AP94" s="120"/>
      <c r="AQ94" s="120"/>
      <c r="AR94" s="121"/>
      <c r="AS94" s="128" t="str">
        <v/>
      </c>
      <c r="AT94" s="119"/>
      <c r="AU94" s="120"/>
      <c r="AV94" s="120"/>
      <c r="AW94" s="121"/>
      <c r="AX94" s="128" t="str">
        <v/>
      </c>
      <c r="AY94" s="119"/>
      <c r="AZ94" s="120"/>
      <c r="BA94" s="120"/>
      <c r="BB94" s="121"/>
      <c r="BC94" s="128" t="str">
        <v/>
      </c>
      <c r="BD94" s="136" t="str">
        <v/>
      </c>
      <c r="BE94" s="123"/>
    </row>
    <row r="95" spans="1:57">
      <c r="A95" s="43"/>
      <c r="B95" s="137"/>
      <c r="C95" s="138"/>
      <c r="D95" s="139"/>
      <c r="E95" s="114"/>
      <c r="F95" s="115"/>
      <c r="G95" s="116"/>
      <c r="H95" s="116"/>
      <c r="I95" s="117"/>
      <c r="J95" s="127" t="str">
        <v/>
      </c>
      <c r="K95" s="115"/>
      <c r="L95" s="116"/>
      <c r="M95" s="116"/>
      <c r="N95" s="117"/>
      <c r="O95" s="127" t="str">
        <v/>
      </c>
      <c r="P95" s="115"/>
      <c r="Q95" s="116"/>
      <c r="R95" s="116"/>
      <c r="S95" s="117"/>
      <c r="T95" s="127" t="str">
        <v/>
      </c>
      <c r="U95" s="119"/>
      <c r="V95" s="120"/>
      <c r="W95" s="120"/>
      <c r="X95" s="121"/>
      <c r="Y95" s="128" t="str">
        <v/>
      </c>
      <c r="Z95" s="119"/>
      <c r="AA95" s="120"/>
      <c r="AB95" s="120"/>
      <c r="AC95" s="121"/>
      <c r="AD95" s="128" t="str">
        <v/>
      </c>
      <c r="AE95" s="119"/>
      <c r="AF95" s="120"/>
      <c r="AG95" s="120"/>
      <c r="AH95" s="121"/>
      <c r="AI95" s="128" t="str">
        <v/>
      </c>
      <c r="AJ95" s="119"/>
      <c r="AK95" s="120"/>
      <c r="AL95" s="120"/>
      <c r="AM95" s="121"/>
      <c r="AN95" s="128" t="str">
        <v/>
      </c>
      <c r="AO95" s="119"/>
      <c r="AP95" s="120"/>
      <c r="AQ95" s="120"/>
      <c r="AR95" s="121"/>
      <c r="AS95" s="128" t="str">
        <v/>
      </c>
      <c r="AT95" s="119"/>
      <c r="AU95" s="120"/>
      <c r="AV95" s="120"/>
      <c r="AW95" s="121"/>
      <c r="AX95" s="128" t="str">
        <v/>
      </c>
      <c r="AY95" s="119"/>
      <c r="AZ95" s="120"/>
      <c r="BA95" s="120"/>
      <c r="BB95" s="121"/>
      <c r="BC95" s="128" t="str">
        <v/>
      </c>
      <c r="BD95" s="136" t="str">
        <v/>
      </c>
      <c r="BE95" s="123"/>
    </row>
    <row r="96" spans="1:57">
      <c r="A96" s="43"/>
      <c r="B96" s="137"/>
      <c r="C96" s="138"/>
      <c r="D96" s="139"/>
      <c r="E96" s="114"/>
      <c r="F96" s="115"/>
      <c r="G96" s="116"/>
      <c r="H96" s="116"/>
      <c r="I96" s="117"/>
      <c r="J96" s="127" t="str">
        <v/>
      </c>
      <c r="K96" s="115"/>
      <c r="L96" s="116"/>
      <c r="M96" s="116"/>
      <c r="N96" s="117"/>
      <c r="O96" s="127" t="str">
        <v/>
      </c>
      <c r="P96" s="115"/>
      <c r="Q96" s="116"/>
      <c r="R96" s="116"/>
      <c r="S96" s="117"/>
      <c r="T96" s="127" t="str">
        <v/>
      </c>
      <c r="U96" s="119"/>
      <c r="V96" s="120"/>
      <c r="W96" s="120"/>
      <c r="X96" s="121"/>
      <c r="Y96" s="128" t="str">
        <v/>
      </c>
      <c r="Z96" s="119"/>
      <c r="AA96" s="120"/>
      <c r="AB96" s="120"/>
      <c r="AC96" s="121"/>
      <c r="AD96" s="128" t="str">
        <v/>
      </c>
      <c r="AE96" s="119"/>
      <c r="AF96" s="120"/>
      <c r="AG96" s="120"/>
      <c r="AH96" s="121"/>
      <c r="AI96" s="128" t="str">
        <v/>
      </c>
      <c r="AJ96" s="119"/>
      <c r="AK96" s="120"/>
      <c r="AL96" s="120"/>
      <c r="AM96" s="121"/>
      <c r="AN96" s="128" t="str">
        <v/>
      </c>
      <c r="AO96" s="119"/>
      <c r="AP96" s="120"/>
      <c r="AQ96" s="120"/>
      <c r="AR96" s="121"/>
      <c r="AS96" s="128" t="str">
        <v/>
      </c>
      <c r="AT96" s="119"/>
      <c r="AU96" s="120"/>
      <c r="AV96" s="120"/>
      <c r="AW96" s="121"/>
      <c r="AX96" s="128" t="str">
        <v/>
      </c>
      <c r="AY96" s="119"/>
      <c r="AZ96" s="120"/>
      <c r="BA96" s="120"/>
      <c r="BB96" s="121"/>
      <c r="BC96" s="128" t="str">
        <v/>
      </c>
      <c r="BD96" s="136" t="str">
        <v/>
      </c>
      <c r="BE96" s="123"/>
    </row>
    <row r="97" spans="1:57">
      <c r="A97" s="43"/>
      <c r="B97" s="137"/>
      <c r="C97" s="138"/>
      <c r="D97" s="139"/>
      <c r="E97" s="114"/>
      <c r="F97" s="115"/>
      <c r="G97" s="116"/>
      <c r="H97" s="116"/>
      <c r="I97" s="117"/>
      <c r="J97" s="127" t="str">
        <v/>
      </c>
      <c r="K97" s="115"/>
      <c r="L97" s="116"/>
      <c r="M97" s="116"/>
      <c r="N97" s="117"/>
      <c r="O97" s="127" t="str">
        <v/>
      </c>
      <c r="P97" s="115"/>
      <c r="Q97" s="116"/>
      <c r="R97" s="116"/>
      <c r="S97" s="117"/>
      <c r="T97" s="127" t="str">
        <v/>
      </c>
      <c r="U97" s="119"/>
      <c r="V97" s="120"/>
      <c r="W97" s="120"/>
      <c r="X97" s="121"/>
      <c r="Y97" s="128" t="str">
        <v/>
      </c>
      <c r="Z97" s="119"/>
      <c r="AA97" s="120"/>
      <c r="AB97" s="120"/>
      <c r="AC97" s="121"/>
      <c r="AD97" s="128" t="str">
        <v/>
      </c>
      <c r="AE97" s="119"/>
      <c r="AF97" s="120"/>
      <c r="AG97" s="120"/>
      <c r="AH97" s="121"/>
      <c r="AI97" s="128" t="str">
        <v/>
      </c>
      <c r="AJ97" s="119"/>
      <c r="AK97" s="120"/>
      <c r="AL97" s="120"/>
      <c r="AM97" s="121"/>
      <c r="AN97" s="128" t="str">
        <v/>
      </c>
      <c r="AO97" s="119"/>
      <c r="AP97" s="120"/>
      <c r="AQ97" s="120"/>
      <c r="AR97" s="121"/>
      <c r="AS97" s="128" t="str">
        <v/>
      </c>
      <c r="AT97" s="119"/>
      <c r="AU97" s="120"/>
      <c r="AV97" s="120"/>
      <c r="AW97" s="121"/>
      <c r="AX97" s="128" t="str">
        <v/>
      </c>
      <c r="AY97" s="119"/>
      <c r="AZ97" s="120"/>
      <c r="BA97" s="120"/>
      <c r="BB97" s="121"/>
      <c r="BC97" s="128" t="str">
        <v/>
      </c>
      <c r="BD97" s="136" t="str">
        <v/>
      </c>
      <c r="BE97" s="123"/>
    </row>
    <row r="98" spans="1:57">
      <c r="A98" s="43"/>
      <c r="B98" s="137"/>
      <c r="C98" s="138"/>
      <c r="D98" s="139"/>
      <c r="E98" s="114"/>
      <c r="F98" s="115"/>
      <c r="G98" s="116"/>
      <c r="H98" s="116"/>
      <c r="I98" s="117"/>
      <c r="J98" s="127" t="str">
        <v/>
      </c>
      <c r="K98" s="115"/>
      <c r="L98" s="116"/>
      <c r="M98" s="116"/>
      <c r="N98" s="117"/>
      <c r="O98" s="127" t="str">
        <v/>
      </c>
      <c r="P98" s="115"/>
      <c r="Q98" s="116"/>
      <c r="R98" s="116"/>
      <c r="S98" s="117"/>
      <c r="T98" s="127" t="str">
        <v/>
      </c>
      <c r="U98" s="119"/>
      <c r="V98" s="120"/>
      <c r="W98" s="120"/>
      <c r="X98" s="121"/>
      <c r="Y98" s="128" t="str">
        <v/>
      </c>
      <c r="Z98" s="119"/>
      <c r="AA98" s="120"/>
      <c r="AB98" s="120"/>
      <c r="AC98" s="121"/>
      <c r="AD98" s="128" t="str">
        <v/>
      </c>
      <c r="AE98" s="119"/>
      <c r="AF98" s="120"/>
      <c r="AG98" s="120"/>
      <c r="AH98" s="121"/>
      <c r="AI98" s="128" t="str">
        <v/>
      </c>
      <c r="AJ98" s="119"/>
      <c r="AK98" s="120"/>
      <c r="AL98" s="120"/>
      <c r="AM98" s="121"/>
      <c r="AN98" s="128" t="str">
        <v/>
      </c>
      <c r="AO98" s="119"/>
      <c r="AP98" s="120"/>
      <c r="AQ98" s="120"/>
      <c r="AR98" s="121"/>
      <c r="AS98" s="128" t="str">
        <v/>
      </c>
      <c r="AT98" s="119"/>
      <c r="AU98" s="120"/>
      <c r="AV98" s="120"/>
      <c r="AW98" s="121"/>
      <c r="AX98" s="128" t="str">
        <v/>
      </c>
      <c r="AY98" s="119"/>
      <c r="AZ98" s="120"/>
      <c r="BA98" s="120"/>
      <c r="BB98" s="121"/>
      <c r="BC98" s="128" t="str">
        <v/>
      </c>
      <c r="BD98" s="136" t="str">
        <v/>
      </c>
      <c r="BE98" s="123"/>
    </row>
    <row r="99" spans="1:57">
      <c r="A99" s="43"/>
      <c r="B99" s="137"/>
      <c r="C99" s="138"/>
      <c r="D99" s="139"/>
      <c r="E99" s="114"/>
      <c r="F99" s="115"/>
      <c r="G99" s="116"/>
      <c r="H99" s="116"/>
      <c r="I99" s="117"/>
      <c r="J99" s="127" t="str">
        <v/>
      </c>
      <c r="K99" s="115"/>
      <c r="L99" s="116"/>
      <c r="M99" s="116"/>
      <c r="N99" s="117"/>
      <c r="O99" s="127" t="str">
        <v/>
      </c>
      <c r="P99" s="115"/>
      <c r="Q99" s="116"/>
      <c r="R99" s="116"/>
      <c r="S99" s="117"/>
      <c r="T99" s="127" t="str">
        <v/>
      </c>
      <c r="U99" s="119"/>
      <c r="V99" s="120"/>
      <c r="W99" s="120"/>
      <c r="X99" s="121"/>
      <c r="Y99" s="128" t="str">
        <v/>
      </c>
      <c r="Z99" s="119"/>
      <c r="AA99" s="120"/>
      <c r="AB99" s="120"/>
      <c r="AC99" s="121"/>
      <c r="AD99" s="128" t="str">
        <v/>
      </c>
      <c r="AE99" s="119"/>
      <c r="AF99" s="120"/>
      <c r="AG99" s="120"/>
      <c r="AH99" s="121"/>
      <c r="AI99" s="128" t="str">
        <v/>
      </c>
      <c r="AJ99" s="119"/>
      <c r="AK99" s="120"/>
      <c r="AL99" s="120"/>
      <c r="AM99" s="121"/>
      <c r="AN99" s="128" t="str">
        <v/>
      </c>
      <c r="AO99" s="119"/>
      <c r="AP99" s="120"/>
      <c r="AQ99" s="120"/>
      <c r="AR99" s="121"/>
      <c r="AS99" s="128" t="str">
        <v/>
      </c>
      <c r="AT99" s="119"/>
      <c r="AU99" s="120"/>
      <c r="AV99" s="120"/>
      <c r="AW99" s="121"/>
      <c r="AX99" s="128" t="str">
        <v/>
      </c>
      <c r="AY99" s="119"/>
      <c r="AZ99" s="120"/>
      <c r="BA99" s="120"/>
      <c r="BB99" s="121"/>
      <c r="BC99" s="128" t="str">
        <v/>
      </c>
      <c r="BD99" s="136" t="str">
        <v/>
      </c>
      <c r="BE99" s="123"/>
    </row>
    <row r="100" spans="1:57">
      <c r="A100" s="43"/>
      <c r="B100" s="137"/>
      <c r="C100" s="138"/>
      <c r="D100" s="139"/>
      <c r="E100" s="114"/>
      <c r="F100" s="115"/>
      <c r="G100" s="116"/>
      <c r="H100" s="116"/>
      <c r="I100" s="117"/>
      <c r="J100" s="127" t="str">
        <v/>
      </c>
      <c r="K100" s="115"/>
      <c r="L100" s="116"/>
      <c r="M100" s="116"/>
      <c r="N100" s="117"/>
      <c r="O100" s="127" t="str">
        <v/>
      </c>
      <c r="P100" s="115"/>
      <c r="Q100" s="116"/>
      <c r="R100" s="116"/>
      <c r="S100" s="117"/>
      <c r="T100" s="127" t="str">
        <v/>
      </c>
      <c r="U100" s="119"/>
      <c r="V100" s="120"/>
      <c r="W100" s="120"/>
      <c r="X100" s="121"/>
      <c r="Y100" s="128" t="str">
        <v/>
      </c>
      <c r="Z100" s="119"/>
      <c r="AA100" s="120"/>
      <c r="AB100" s="120"/>
      <c r="AC100" s="121"/>
      <c r="AD100" s="128" t="str">
        <v/>
      </c>
      <c r="AE100" s="119"/>
      <c r="AF100" s="120"/>
      <c r="AG100" s="120"/>
      <c r="AH100" s="121"/>
      <c r="AI100" s="128" t="str">
        <v/>
      </c>
      <c r="AJ100" s="119"/>
      <c r="AK100" s="120"/>
      <c r="AL100" s="120"/>
      <c r="AM100" s="121"/>
      <c r="AN100" s="128" t="str">
        <v/>
      </c>
      <c r="AO100" s="119"/>
      <c r="AP100" s="120"/>
      <c r="AQ100" s="120"/>
      <c r="AR100" s="121"/>
      <c r="AS100" s="128" t="str">
        <v/>
      </c>
      <c r="AT100" s="119"/>
      <c r="AU100" s="120"/>
      <c r="AV100" s="120"/>
      <c r="AW100" s="121"/>
      <c r="AX100" s="128" t="str">
        <v/>
      </c>
      <c r="AY100" s="119"/>
      <c r="AZ100" s="120"/>
      <c r="BA100" s="120"/>
      <c r="BB100" s="121"/>
      <c r="BC100" s="128" t="str">
        <v/>
      </c>
      <c r="BD100" s="136" t="str">
        <v/>
      </c>
      <c r="BE100" s="1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200-000000000000}">
          <x14:formula1>
            <xm:f>Actividad_data!$A$2:$A$100</xm:f>
          </x14:formula1>
          <xm:sqref>F3:F100 K3:K100 P3:P100 U3:U100 Z3:Z100 AE3:AE100 AJ3:AJ100 AO3:AO100 AT3:AT100 AY3:AY100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6D7A8"/>
    <outlinePr summaryBelow="0" summaryRight="0"/>
  </sheetPr>
  <dimension ref="A1:O500"/>
  <sheetViews>
    <sheetView workbookViewId="0">
      <pane ySplit="1" topLeftCell="A65" activePane="bottomLeft" state="frozen"/>
      <selection pane="bottomLeft" activeCell="B3" sqref="B3"/>
    </sheetView>
  </sheetViews>
  <sheetFormatPr defaultColWidth="14.42578125" defaultRowHeight="15" customHeight="1"/>
  <sheetData>
    <row r="1" spans="1:15">
      <c r="A1" s="141" t="s">
        <v>223</v>
      </c>
      <c r="B1" s="141" t="s">
        <v>97</v>
      </c>
      <c r="C1" s="141" t="s">
        <v>224</v>
      </c>
      <c r="D1" s="141" t="s">
        <v>98</v>
      </c>
      <c r="E1" s="141" t="s">
        <v>225</v>
      </c>
      <c r="F1" s="141" t="s">
        <v>226</v>
      </c>
      <c r="G1" s="141" t="s">
        <v>227</v>
      </c>
      <c r="H1" s="141" t="s">
        <v>228</v>
      </c>
      <c r="I1" s="141" t="s">
        <v>229</v>
      </c>
      <c r="J1" s="141" t="s">
        <v>230</v>
      </c>
      <c r="K1" s="141" t="s">
        <v>231</v>
      </c>
      <c r="L1" s="141" t="s">
        <v>232</v>
      </c>
      <c r="M1" s="141" t="s">
        <v>233</v>
      </c>
      <c r="N1" s="141" t="s">
        <v>234</v>
      </c>
      <c r="O1" s="87"/>
    </row>
    <row r="2" spans="1:15">
      <c r="A2" s="141" t="s">
        <v>235</v>
      </c>
      <c r="B2" s="141" t="s">
        <v>236</v>
      </c>
      <c r="C2" s="141" t="s">
        <v>237</v>
      </c>
      <c r="D2" s="141" t="s">
        <v>238</v>
      </c>
      <c r="E2" s="141" t="s">
        <v>239</v>
      </c>
      <c r="F2" s="141">
        <v>19</v>
      </c>
      <c r="G2" s="142">
        <v>1.8</v>
      </c>
      <c r="H2" s="142">
        <v>3.7</v>
      </c>
      <c r="I2" s="142">
        <v>0.2</v>
      </c>
      <c r="J2" s="142">
        <v>0</v>
      </c>
      <c r="K2" s="142">
        <v>1.6</v>
      </c>
      <c r="L2" s="142">
        <v>1.1000000000000001</v>
      </c>
      <c r="M2" s="141">
        <v>210</v>
      </c>
      <c r="N2" s="141">
        <v>0</v>
      </c>
      <c r="O2" s="87"/>
    </row>
    <row r="3" spans="1:15">
      <c r="A3" s="141" t="s">
        <v>240</v>
      </c>
      <c r="B3" s="141" t="s">
        <v>241</v>
      </c>
      <c r="C3" s="141" t="s">
        <v>237</v>
      </c>
      <c r="D3" s="141" t="s">
        <v>238</v>
      </c>
      <c r="E3" s="141" t="s">
        <v>239</v>
      </c>
      <c r="F3" s="141">
        <v>149</v>
      </c>
      <c r="G3" s="142">
        <v>6.4</v>
      </c>
      <c r="H3" s="142">
        <v>33.1</v>
      </c>
      <c r="I3" s="142">
        <v>0.5</v>
      </c>
      <c r="J3" s="142">
        <v>0.1</v>
      </c>
      <c r="K3" s="142">
        <v>2.1</v>
      </c>
      <c r="L3" s="142">
        <v>1</v>
      </c>
      <c r="M3" s="141">
        <v>17</v>
      </c>
      <c r="N3" s="141">
        <v>0</v>
      </c>
      <c r="O3" s="87"/>
    </row>
    <row r="4" spans="1:15">
      <c r="A4" s="141" t="s">
        <v>242</v>
      </c>
      <c r="B4" s="141" t="s">
        <v>243</v>
      </c>
      <c r="C4" s="141" t="s">
        <v>237</v>
      </c>
      <c r="D4" s="141" t="s">
        <v>238</v>
      </c>
      <c r="E4" s="141" t="s">
        <v>239</v>
      </c>
      <c r="F4" s="141">
        <v>47</v>
      </c>
      <c r="G4" s="142">
        <v>3.3</v>
      </c>
      <c r="H4" s="142">
        <v>10.5</v>
      </c>
      <c r="I4" s="142">
        <v>0.2</v>
      </c>
      <c r="J4" s="142">
        <v>0</v>
      </c>
      <c r="K4" s="142">
        <v>5.4</v>
      </c>
      <c r="L4" s="142">
        <v>1</v>
      </c>
      <c r="M4" s="141">
        <v>94</v>
      </c>
      <c r="N4" s="141">
        <v>0</v>
      </c>
      <c r="O4" s="87"/>
    </row>
    <row r="5" spans="1:15">
      <c r="A5" s="141" t="s">
        <v>244</v>
      </c>
      <c r="B5" s="141" t="s">
        <v>245</v>
      </c>
      <c r="C5" s="141" t="s">
        <v>237</v>
      </c>
      <c r="D5" s="141" t="s">
        <v>238</v>
      </c>
      <c r="E5" s="141" t="s">
        <v>239</v>
      </c>
      <c r="F5" s="141">
        <v>16</v>
      </c>
      <c r="G5" s="142">
        <v>0.7</v>
      </c>
      <c r="H5" s="142">
        <v>3</v>
      </c>
      <c r="I5" s="142">
        <v>0.2</v>
      </c>
      <c r="J5" s="142">
        <v>0</v>
      </c>
      <c r="K5" s="142">
        <v>1.6</v>
      </c>
      <c r="L5" s="142">
        <v>1.3</v>
      </c>
      <c r="M5" s="141">
        <v>80</v>
      </c>
      <c r="N5" s="141">
        <v>0</v>
      </c>
      <c r="O5" s="87"/>
    </row>
    <row r="6" spans="1:15">
      <c r="A6" s="141" t="s">
        <v>246</v>
      </c>
      <c r="B6" s="141" t="s">
        <v>247</v>
      </c>
      <c r="C6" s="141" t="s">
        <v>237</v>
      </c>
      <c r="D6" s="141" t="s">
        <v>238</v>
      </c>
      <c r="E6" s="141" t="s">
        <v>239</v>
      </c>
      <c r="F6" s="141">
        <v>25</v>
      </c>
      <c r="G6" s="142">
        <v>1</v>
      </c>
      <c r="H6" s="142">
        <v>6</v>
      </c>
      <c r="I6" s="142">
        <v>0.2</v>
      </c>
      <c r="J6" s="142">
        <v>0</v>
      </c>
      <c r="K6" s="142">
        <v>3</v>
      </c>
      <c r="L6" s="142">
        <v>3.5</v>
      </c>
      <c r="M6" s="141">
        <v>2</v>
      </c>
      <c r="N6" s="141">
        <v>0</v>
      </c>
      <c r="O6" s="87"/>
    </row>
    <row r="7" spans="1:15">
      <c r="A7" s="141" t="s">
        <v>248</v>
      </c>
      <c r="B7" s="141" t="s">
        <v>249</v>
      </c>
      <c r="C7" s="141" t="s">
        <v>237</v>
      </c>
      <c r="D7" s="141" t="s">
        <v>238</v>
      </c>
      <c r="E7" s="141" t="s">
        <v>239</v>
      </c>
      <c r="F7" s="141">
        <v>34</v>
      </c>
      <c r="G7" s="142">
        <v>2.8</v>
      </c>
      <c r="H7" s="142">
        <v>6.6</v>
      </c>
      <c r="I7" s="142">
        <v>0.4</v>
      </c>
      <c r="J7" s="142">
        <v>0.1</v>
      </c>
      <c r="K7" s="142">
        <v>2.6</v>
      </c>
      <c r="L7" s="142">
        <v>1.7</v>
      </c>
      <c r="M7" s="141">
        <v>33</v>
      </c>
      <c r="N7" s="141">
        <v>0</v>
      </c>
      <c r="O7" s="87"/>
    </row>
    <row r="8" spans="1:15">
      <c r="A8" s="141" t="s">
        <v>250</v>
      </c>
      <c r="B8" s="141" t="s">
        <v>251</v>
      </c>
      <c r="C8" s="141" t="s">
        <v>237</v>
      </c>
      <c r="D8" s="141" t="s">
        <v>238</v>
      </c>
      <c r="E8" s="141" t="s">
        <v>239</v>
      </c>
      <c r="F8" s="141">
        <v>17</v>
      </c>
      <c r="G8" s="142">
        <v>1.2</v>
      </c>
      <c r="H8" s="142">
        <v>3.1</v>
      </c>
      <c r="I8" s="142">
        <v>0.3</v>
      </c>
      <c r="J8" s="142">
        <v>0.1</v>
      </c>
      <c r="K8" s="142">
        <v>1</v>
      </c>
      <c r="L8" s="142">
        <v>2.5</v>
      </c>
      <c r="M8" s="141">
        <v>8</v>
      </c>
      <c r="N8" s="141">
        <v>0</v>
      </c>
      <c r="O8" s="87"/>
    </row>
    <row r="9" spans="1:15">
      <c r="A9" s="141" t="s">
        <v>252</v>
      </c>
      <c r="B9" s="141" t="s">
        <v>253</v>
      </c>
      <c r="C9" s="141" t="s">
        <v>237</v>
      </c>
      <c r="D9" s="141" t="s">
        <v>238</v>
      </c>
      <c r="E9" s="141" t="s">
        <v>239</v>
      </c>
      <c r="F9" s="141">
        <v>26</v>
      </c>
      <c r="G9" s="142">
        <v>1</v>
      </c>
      <c r="H9" s="142">
        <v>6.5</v>
      </c>
      <c r="I9" s="142">
        <v>0.1</v>
      </c>
      <c r="J9" s="142">
        <v>0</v>
      </c>
      <c r="K9" s="142">
        <v>0.5</v>
      </c>
      <c r="L9" s="142">
        <v>2.8</v>
      </c>
      <c r="M9" s="141">
        <v>1</v>
      </c>
      <c r="N9" s="141">
        <v>0</v>
      </c>
      <c r="O9" s="87"/>
    </row>
    <row r="10" spans="1:15">
      <c r="A10" s="141" t="s">
        <v>254</v>
      </c>
      <c r="B10" s="141" t="s">
        <v>255</v>
      </c>
      <c r="C10" s="141" t="s">
        <v>237</v>
      </c>
      <c r="D10" s="141" t="s">
        <v>238</v>
      </c>
      <c r="E10" s="141" t="s">
        <v>239</v>
      </c>
      <c r="F10" s="141">
        <v>40</v>
      </c>
      <c r="G10" s="142">
        <v>1.1000000000000001</v>
      </c>
      <c r="H10" s="142">
        <v>9.3000000000000007</v>
      </c>
      <c r="I10" s="142">
        <v>0.1</v>
      </c>
      <c r="J10" s="142">
        <v>0</v>
      </c>
      <c r="K10" s="142">
        <v>1.7</v>
      </c>
      <c r="L10" s="142">
        <v>4.2</v>
      </c>
      <c r="M10" s="141">
        <v>4</v>
      </c>
      <c r="N10" s="141">
        <v>0</v>
      </c>
      <c r="O10" s="87"/>
    </row>
    <row r="11" spans="1:15">
      <c r="A11" s="141" t="s">
        <v>256</v>
      </c>
      <c r="B11" s="141" t="s">
        <v>257</v>
      </c>
      <c r="C11" s="141" t="s">
        <v>237</v>
      </c>
      <c r="D11" s="141" t="s">
        <v>238</v>
      </c>
      <c r="E11" s="141" t="s">
        <v>239</v>
      </c>
      <c r="F11" s="141">
        <v>22</v>
      </c>
      <c r="G11" s="142">
        <v>3.1</v>
      </c>
      <c r="H11" s="142">
        <v>3.3</v>
      </c>
      <c r="I11" s="142">
        <v>0.3</v>
      </c>
      <c r="J11" s="142">
        <v>0.1</v>
      </c>
      <c r="K11" s="142">
        <v>1</v>
      </c>
      <c r="L11" s="142">
        <v>2</v>
      </c>
      <c r="M11" s="141">
        <v>5</v>
      </c>
      <c r="N11" s="141">
        <v>0</v>
      </c>
      <c r="O11" s="87"/>
    </row>
    <row r="12" spans="1:15">
      <c r="A12" s="141" t="s">
        <v>258</v>
      </c>
      <c r="B12" s="141" t="s">
        <v>259</v>
      </c>
      <c r="C12" s="141" t="s">
        <v>237</v>
      </c>
      <c r="D12" s="141" t="s">
        <v>238</v>
      </c>
      <c r="E12" s="141" t="s">
        <v>239</v>
      </c>
      <c r="F12" s="141">
        <v>25</v>
      </c>
      <c r="G12" s="142">
        <v>1.3</v>
      </c>
      <c r="H12" s="142">
        <v>5.8</v>
      </c>
      <c r="I12" s="142">
        <v>0.1</v>
      </c>
      <c r="J12" s="142">
        <v>0</v>
      </c>
      <c r="K12" s="142">
        <v>2.5</v>
      </c>
      <c r="L12" s="142">
        <v>3.2</v>
      </c>
      <c r="M12" s="141">
        <v>18</v>
      </c>
      <c r="N12" s="141">
        <v>0</v>
      </c>
      <c r="O12" s="87"/>
    </row>
    <row r="13" spans="1:15">
      <c r="A13" s="141" t="s">
        <v>260</v>
      </c>
      <c r="B13" s="141" t="s">
        <v>261</v>
      </c>
      <c r="C13" s="141" t="s">
        <v>237</v>
      </c>
      <c r="D13" s="141" t="s">
        <v>238</v>
      </c>
      <c r="E13" s="141" t="s">
        <v>239</v>
      </c>
      <c r="F13" s="141">
        <v>49</v>
      </c>
      <c r="G13" s="142">
        <v>4.3</v>
      </c>
      <c r="H13" s="142">
        <v>8.8000000000000007</v>
      </c>
      <c r="I13" s="142">
        <v>0.9</v>
      </c>
      <c r="J13" s="142">
        <v>0.1</v>
      </c>
      <c r="K13" s="142">
        <v>3.6</v>
      </c>
      <c r="L13" s="142">
        <v>2.2999999999999998</v>
      </c>
      <c r="M13" s="141">
        <v>38</v>
      </c>
      <c r="N13" s="141">
        <v>0</v>
      </c>
      <c r="O13" s="87"/>
    </row>
    <row r="14" spans="1:15">
      <c r="A14" s="141" t="s">
        <v>262</v>
      </c>
      <c r="B14" s="141" t="s">
        <v>263</v>
      </c>
      <c r="C14" s="141" t="s">
        <v>237</v>
      </c>
      <c r="D14" s="141" t="s">
        <v>238</v>
      </c>
      <c r="E14" s="141" t="s">
        <v>239</v>
      </c>
      <c r="F14" s="141">
        <v>43</v>
      </c>
      <c r="G14" s="142">
        <v>3.4</v>
      </c>
      <c r="H14" s="142">
        <v>9</v>
      </c>
      <c r="I14" s="142">
        <v>0.3</v>
      </c>
      <c r="J14" s="142">
        <v>0.1</v>
      </c>
      <c r="K14" s="142">
        <v>3.8</v>
      </c>
      <c r="L14" s="142">
        <v>2.2000000000000002</v>
      </c>
      <c r="M14" s="141">
        <v>25</v>
      </c>
      <c r="N14" s="141">
        <v>0</v>
      </c>
      <c r="O14" s="87"/>
    </row>
    <row r="15" spans="1:15">
      <c r="A15" s="141" t="s">
        <v>264</v>
      </c>
      <c r="B15" s="141" t="s">
        <v>265</v>
      </c>
      <c r="C15" s="141" t="s">
        <v>237</v>
      </c>
      <c r="D15" s="141" t="s">
        <v>238</v>
      </c>
      <c r="E15" s="141" t="s">
        <v>239</v>
      </c>
      <c r="F15" s="141">
        <v>25</v>
      </c>
      <c r="G15" s="142">
        <v>1.9</v>
      </c>
      <c r="H15" s="142">
        <v>5</v>
      </c>
      <c r="I15" s="142">
        <v>0.3</v>
      </c>
      <c r="J15" s="142">
        <v>0.1</v>
      </c>
      <c r="K15" s="142">
        <v>2</v>
      </c>
      <c r="L15" s="142">
        <v>1.9</v>
      </c>
      <c r="M15" s="141">
        <v>30</v>
      </c>
      <c r="N15" s="141">
        <v>0</v>
      </c>
      <c r="O15" s="87"/>
    </row>
    <row r="16" spans="1:15">
      <c r="A16" s="141" t="s">
        <v>266</v>
      </c>
      <c r="B16" s="141" t="s">
        <v>267</v>
      </c>
      <c r="C16" s="141" t="s">
        <v>237</v>
      </c>
      <c r="D16" s="141" t="s">
        <v>238</v>
      </c>
      <c r="E16" s="141" t="s">
        <v>239</v>
      </c>
      <c r="F16" s="141">
        <v>17</v>
      </c>
      <c r="G16" s="142">
        <v>1.3</v>
      </c>
      <c r="H16" s="142">
        <v>3.4</v>
      </c>
      <c r="I16" s="142">
        <v>0.2</v>
      </c>
      <c r="J16" s="142">
        <v>0</v>
      </c>
      <c r="K16" s="142">
        <v>3.1</v>
      </c>
      <c r="L16" s="142">
        <v>0.3</v>
      </c>
      <c r="M16" s="141">
        <v>22</v>
      </c>
      <c r="N16" s="141">
        <v>0</v>
      </c>
      <c r="O16" s="87"/>
    </row>
    <row r="17" spans="1:15">
      <c r="A17" s="141" t="s">
        <v>268</v>
      </c>
      <c r="B17" s="141" t="s">
        <v>269</v>
      </c>
      <c r="C17" s="141" t="s">
        <v>237</v>
      </c>
      <c r="D17" s="141" t="s">
        <v>238</v>
      </c>
      <c r="E17" s="141" t="s">
        <v>239</v>
      </c>
      <c r="F17" s="141">
        <v>20</v>
      </c>
      <c r="G17" s="142">
        <v>2.2000000000000002</v>
      </c>
      <c r="H17" s="142">
        <v>3.9</v>
      </c>
      <c r="I17" s="142">
        <v>0.1</v>
      </c>
      <c r="J17" s="142">
        <v>0</v>
      </c>
      <c r="K17" s="142">
        <v>2.1</v>
      </c>
      <c r="L17" s="142">
        <v>1.9</v>
      </c>
      <c r="M17" s="141">
        <v>2</v>
      </c>
      <c r="N17" s="141">
        <v>0</v>
      </c>
      <c r="O17" s="87"/>
    </row>
    <row r="18" spans="1:15">
      <c r="A18" s="141" t="s">
        <v>270</v>
      </c>
      <c r="B18" s="141" t="s">
        <v>271</v>
      </c>
      <c r="C18" s="141" t="s">
        <v>237</v>
      </c>
      <c r="D18" s="141" t="s">
        <v>238</v>
      </c>
      <c r="E18" s="141" t="s">
        <v>239</v>
      </c>
      <c r="F18" s="141">
        <v>23</v>
      </c>
      <c r="G18" s="142">
        <v>2.9</v>
      </c>
      <c r="H18" s="142">
        <v>3.6</v>
      </c>
      <c r="I18" s="142">
        <v>0.4</v>
      </c>
      <c r="J18" s="142">
        <v>0.1</v>
      </c>
      <c r="K18" s="142">
        <v>2.2000000000000002</v>
      </c>
      <c r="L18" s="142">
        <v>0.4</v>
      </c>
      <c r="M18" s="141">
        <v>79</v>
      </c>
      <c r="N18" s="141">
        <v>0</v>
      </c>
      <c r="O18" s="87"/>
    </row>
    <row r="19" spans="1:15">
      <c r="A19" s="141" t="s">
        <v>272</v>
      </c>
      <c r="B19" s="141" t="s">
        <v>273</v>
      </c>
      <c r="C19" s="141" t="s">
        <v>237</v>
      </c>
      <c r="D19" s="141" t="s">
        <v>238</v>
      </c>
      <c r="E19" s="141" t="s">
        <v>239</v>
      </c>
      <c r="F19" s="141">
        <v>81</v>
      </c>
      <c r="G19" s="142">
        <v>5.4</v>
      </c>
      <c r="H19" s="142">
        <v>14.5</v>
      </c>
      <c r="I19" s="142">
        <v>0.4</v>
      </c>
      <c r="J19" s="142">
        <v>0.1</v>
      </c>
      <c r="K19" s="142">
        <v>5.0999999999999996</v>
      </c>
      <c r="L19" s="142">
        <v>5.7</v>
      </c>
      <c r="M19" s="141">
        <v>5</v>
      </c>
      <c r="N19" s="141">
        <v>0</v>
      </c>
      <c r="O19" s="87"/>
    </row>
    <row r="20" spans="1:15">
      <c r="A20" s="141" t="s">
        <v>274</v>
      </c>
      <c r="B20" s="141" t="s">
        <v>275</v>
      </c>
      <c r="C20" s="141" t="s">
        <v>237</v>
      </c>
      <c r="D20" s="141" t="s">
        <v>238</v>
      </c>
      <c r="E20" s="141" t="s">
        <v>239</v>
      </c>
      <c r="F20" s="141">
        <v>31</v>
      </c>
      <c r="G20" s="142">
        <v>1.8</v>
      </c>
      <c r="H20" s="142">
        <v>7</v>
      </c>
      <c r="I20" s="142">
        <v>0.1</v>
      </c>
      <c r="J20" s="142">
        <v>0</v>
      </c>
      <c r="K20" s="142">
        <v>3.4</v>
      </c>
      <c r="L20" s="142">
        <v>3.3</v>
      </c>
      <c r="M20" s="141">
        <v>6</v>
      </c>
      <c r="N20" s="141">
        <v>0</v>
      </c>
      <c r="O20" s="87"/>
    </row>
    <row r="21" spans="1:15">
      <c r="A21" s="141" t="s">
        <v>276</v>
      </c>
      <c r="B21" s="141" t="s">
        <v>277</v>
      </c>
      <c r="C21" s="141" t="s">
        <v>237</v>
      </c>
      <c r="D21" s="141" t="s">
        <v>238</v>
      </c>
      <c r="E21" s="141" t="s">
        <v>239</v>
      </c>
      <c r="F21" s="141">
        <v>15</v>
      </c>
      <c r="G21" s="142">
        <v>1.4</v>
      </c>
      <c r="H21" s="142">
        <v>2.9</v>
      </c>
      <c r="I21" s="142">
        <v>0.2</v>
      </c>
      <c r="J21" s="142">
        <v>0</v>
      </c>
      <c r="K21" s="142">
        <v>1.3</v>
      </c>
      <c r="L21" s="142">
        <v>0.8</v>
      </c>
      <c r="M21" s="141">
        <v>28</v>
      </c>
      <c r="N21" s="141">
        <v>0</v>
      </c>
      <c r="O21" s="87"/>
    </row>
    <row r="22" spans="1:15">
      <c r="A22" s="141" t="s">
        <v>278</v>
      </c>
      <c r="B22" s="141" t="s">
        <v>279</v>
      </c>
      <c r="C22" s="141" t="s">
        <v>237</v>
      </c>
      <c r="D22" s="141" t="s">
        <v>238</v>
      </c>
      <c r="E22" s="141" t="s">
        <v>239</v>
      </c>
      <c r="F22" s="141">
        <v>96</v>
      </c>
      <c r="G22" s="142">
        <v>3.4</v>
      </c>
      <c r="H22" s="142">
        <v>21</v>
      </c>
      <c r="I22" s="142">
        <v>1.5</v>
      </c>
      <c r="J22" s="142">
        <v>0.2</v>
      </c>
      <c r="K22" s="142">
        <v>2.4</v>
      </c>
      <c r="L22" s="142">
        <v>4.5</v>
      </c>
      <c r="M22" s="141">
        <v>15</v>
      </c>
      <c r="N22" s="141">
        <v>2</v>
      </c>
      <c r="O22" s="87"/>
    </row>
    <row r="23" spans="1:15">
      <c r="A23" s="141" t="s">
        <v>280</v>
      </c>
      <c r="B23" s="141" t="s">
        <v>281</v>
      </c>
      <c r="C23" s="141" t="s">
        <v>237</v>
      </c>
      <c r="D23" s="141" t="s">
        <v>238</v>
      </c>
      <c r="E23" s="141" t="s">
        <v>239</v>
      </c>
      <c r="F23" s="141">
        <v>15</v>
      </c>
      <c r="G23" s="142">
        <v>0.7</v>
      </c>
      <c r="H23" s="142">
        <v>3.6</v>
      </c>
      <c r="I23" s="142">
        <v>0.1</v>
      </c>
      <c r="J23" s="142">
        <v>0</v>
      </c>
      <c r="K23" s="142">
        <v>0.5</v>
      </c>
      <c r="L23" s="142">
        <v>1.7</v>
      </c>
      <c r="M23" s="141">
        <v>2</v>
      </c>
      <c r="N23" s="141">
        <v>0</v>
      </c>
      <c r="O23" s="87"/>
    </row>
    <row r="24" spans="1:15">
      <c r="A24" s="141" t="s">
        <v>282</v>
      </c>
      <c r="B24" s="141" t="s">
        <v>283</v>
      </c>
      <c r="C24" s="141" t="s">
        <v>237</v>
      </c>
      <c r="D24" s="141" t="s">
        <v>238</v>
      </c>
      <c r="E24" s="141" t="s">
        <v>239</v>
      </c>
      <c r="F24" s="141">
        <v>31</v>
      </c>
      <c r="G24" s="142">
        <v>1</v>
      </c>
      <c r="H24" s="142">
        <v>6</v>
      </c>
      <c r="I24" s="142">
        <v>0.3</v>
      </c>
      <c r="J24" s="142">
        <v>0</v>
      </c>
      <c r="K24" s="142">
        <v>2.1</v>
      </c>
      <c r="L24" s="142">
        <v>4.2</v>
      </c>
      <c r="M24" s="141">
        <v>2</v>
      </c>
      <c r="N24" s="141">
        <v>0</v>
      </c>
      <c r="O24" s="87"/>
    </row>
    <row r="25" spans="1:15">
      <c r="A25" s="141" t="s">
        <v>284</v>
      </c>
      <c r="B25" s="141" t="s">
        <v>285</v>
      </c>
      <c r="C25" s="141" t="s">
        <v>237</v>
      </c>
      <c r="D25" s="141" t="s">
        <v>238</v>
      </c>
      <c r="E25" s="141" t="s">
        <v>239</v>
      </c>
      <c r="F25" s="141">
        <v>61</v>
      </c>
      <c r="G25" s="142">
        <v>1.5</v>
      </c>
      <c r="H25" s="142">
        <v>14</v>
      </c>
      <c r="I25" s="142">
        <v>0.3</v>
      </c>
      <c r="J25" s="142">
        <v>0</v>
      </c>
      <c r="K25" s="142">
        <v>1.8</v>
      </c>
      <c r="L25" s="142">
        <v>3.9</v>
      </c>
      <c r="M25" s="141">
        <v>20</v>
      </c>
      <c r="N25" s="141">
        <v>0</v>
      </c>
      <c r="O25" s="87"/>
    </row>
    <row r="26" spans="1:15">
      <c r="A26" s="141" t="s">
        <v>286</v>
      </c>
      <c r="B26" s="141" t="s">
        <v>287</v>
      </c>
      <c r="C26" s="141" t="s">
        <v>237</v>
      </c>
      <c r="D26" s="141" t="s">
        <v>238</v>
      </c>
      <c r="E26" s="141" t="s">
        <v>239</v>
      </c>
      <c r="F26" s="141">
        <v>16</v>
      </c>
      <c r="G26" s="142">
        <v>0.7</v>
      </c>
      <c r="H26" s="142">
        <v>3.4</v>
      </c>
      <c r="I26" s="142">
        <v>0.1</v>
      </c>
      <c r="J26" s="142">
        <v>0</v>
      </c>
      <c r="K26" s="142">
        <v>1.6</v>
      </c>
      <c r="L26" s="142">
        <v>1.9</v>
      </c>
      <c r="M26" s="141">
        <v>39</v>
      </c>
      <c r="N26" s="141">
        <v>0</v>
      </c>
      <c r="O26" s="87"/>
    </row>
    <row r="27" spans="1:15">
      <c r="A27" s="141" t="s">
        <v>288</v>
      </c>
      <c r="B27" s="141" t="s">
        <v>289</v>
      </c>
      <c r="C27" s="141" t="s">
        <v>237</v>
      </c>
      <c r="D27" s="141" t="s">
        <v>238</v>
      </c>
      <c r="E27" s="141" t="s">
        <v>239</v>
      </c>
      <c r="F27" s="141">
        <v>44</v>
      </c>
      <c r="G27" s="142">
        <v>1.7</v>
      </c>
      <c r="H27" s="142">
        <v>10</v>
      </c>
      <c r="I27" s="142">
        <v>0.2</v>
      </c>
      <c r="J27" s="142">
        <v>0</v>
      </c>
      <c r="K27" s="142">
        <v>2</v>
      </c>
      <c r="L27" s="142">
        <v>7</v>
      </c>
      <c r="M27" s="141">
        <v>78</v>
      </c>
      <c r="N27" s="141">
        <v>1</v>
      </c>
      <c r="O27" s="87"/>
    </row>
    <row r="28" spans="1:15">
      <c r="A28" s="141" t="s">
        <v>290</v>
      </c>
      <c r="B28" s="141" t="s">
        <v>291</v>
      </c>
      <c r="C28" s="141" t="s">
        <v>237</v>
      </c>
      <c r="D28" s="141" t="s">
        <v>238</v>
      </c>
      <c r="E28" s="141" t="s">
        <v>239</v>
      </c>
      <c r="F28" s="141">
        <v>18</v>
      </c>
      <c r="G28" s="142">
        <v>0.9</v>
      </c>
      <c r="H28" s="142">
        <v>3.9</v>
      </c>
      <c r="I28" s="142">
        <v>0.2</v>
      </c>
      <c r="J28" s="142">
        <v>0</v>
      </c>
      <c r="K28" s="142">
        <v>1.2</v>
      </c>
      <c r="L28" s="142">
        <v>2.6</v>
      </c>
      <c r="M28" s="141">
        <v>5</v>
      </c>
      <c r="N28" s="141">
        <v>0</v>
      </c>
      <c r="O28" s="87"/>
    </row>
    <row r="29" spans="1:15">
      <c r="A29" s="141" t="s">
        <v>292</v>
      </c>
      <c r="B29" s="141" t="s">
        <v>293</v>
      </c>
      <c r="C29" s="141" t="s">
        <v>237</v>
      </c>
      <c r="D29" s="141" t="s">
        <v>238</v>
      </c>
      <c r="E29" s="141" t="s">
        <v>239</v>
      </c>
      <c r="F29" s="141">
        <v>41</v>
      </c>
      <c r="G29" s="142">
        <v>0.9</v>
      </c>
      <c r="H29" s="142">
        <v>9.6</v>
      </c>
      <c r="I29" s="142">
        <v>0.2</v>
      </c>
      <c r="J29" s="142">
        <v>0</v>
      </c>
      <c r="K29" s="142">
        <v>2.8</v>
      </c>
      <c r="L29" s="142">
        <v>4.7</v>
      </c>
      <c r="M29" s="141">
        <v>69</v>
      </c>
      <c r="N29" s="141">
        <v>0</v>
      </c>
      <c r="O29" s="87"/>
    </row>
    <row r="30" spans="1:15">
      <c r="A30" s="141" t="s">
        <v>294</v>
      </c>
      <c r="B30" s="141" t="s">
        <v>295</v>
      </c>
      <c r="C30" s="141" t="s">
        <v>296</v>
      </c>
      <c r="D30" s="141" t="s">
        <v>238</v>
      </c>
      <c r="E30" s="141" t="s">
        <v>239</v>
      </c>
      <c r="F30" s="141">
        <v>160</v>
      </c>
      <c r="G30" s="142">
        <v>2</v>
      </c>
      <c r="H30" s="142">
        <v>8.5</v>
      </c>
      <c r="I30" s="142">
        <v>14.7</v>
      </c>
      <c r="J30" s="142">
        <v>2.1</v>
      </c>
      <c r="K30" s="142">
        <v>6.7</v>
      </c>
      <c r="L30" s="142">
        <v>0.7</v>
      </c>
      <c r="M30" s="141">
        <v>7</v>
      </c>
      <c r="N30" s="141">
        <v>0</v>
      </c>
      <c r="O30" s="87"/>
    </row>
    <row r="31" spans="1:15">
      <c r="A31" s="141" t="s">
        <v>297</v>
      </c>
      <c r="B31" s="141" t="s">
        <v>298</v>
      </c>
      <c r="C31" s="141" t="s">
        <v>296</v>
      </c>
      <c r="D31" s="141" t="s">
        <v>238</v>
      </c>
      <c r="E31" s="141" t="s">
        <v>239</v>
      </c>
      <c r="F31" s="141">
        <v>48</v>
      </c>
      <c r="G31" s="142">
        <v>1.4</v>
      </c>
      <c r="H31" s="142">
        <v>11.1</v>
      </c>
      <c r="I31" s="142">
        <v>0.4</v>
      </c>
      <c r="J31" s="142">
        <v>0</v>
      </c>
      <c r="K31" s="142">
        <v>2</v>
      </c>
      <c r="L31" s="142">
        <v>9.1999999999999993</v>
      </c>
      <c r="M31" s="141">
        <v>1</v>
      </c>
      <c r="N31" s="141">
        <v>0</v>
      </c>
      <c r="O31" s="87"/>
    </row>
    <row r="32" spans="1:15">
      <c r="A32" s="141" t="s">
        <v>299</v>
      </c>
      <c r="B32" s="141" t="s">
        <v>300</v>
      </c>
      <c r="C32" s="141" t="s">
        <v>296</v>
      </c>
      <c r="D32" s="141" t="s">
        <v>238</v>
      </c>
      <c r="E32" s="141" t="s">
        <v>239</v>
      </c>
      <c r="F32" s="141">
        <v>57</v>
      </c>
      <c r="G32" s="142">
        <v>0.7</v>
      </c>
      <c r="H32" s="142">
        <v>14.5</v>
      </c>
      <c r="I32" s="142">
        <v>0.3</v>
      </c>
      <c r="J32" s="142">
        <v>0</v>
      </c>
      <c r="K32" s="142">
        <v>2.4</v>
      </c>
      <c r="L32" s="142">
        <v>10</v>
      </c>
      <c r="M32" s="141">
        <v>1</v>
      </c>
      <c r="N32" s="141">
        <v>0</v>
      </c>
      <c r="O32" s="87"/>
    </row>
    <row r="33" spans="1:15">
      <c r="A33" s="141" t="s">
        <v>301</v>
      </c>
      <c r="B33" s="141" t="s">
        <v>302</v>
      </c>
      <c r="C33" s="141" t="s">
        <v>296</v>
      </c>
      <c r="D33" s="141" t="s">
        <v>238</v>
      </c>
      <c r="E33" s="141" t="s">
        <v>239</v>
      </c>
      <c r="F33" s="141">
        <v>46</v>
      </c>
      <c r="G33" s="142">
        <v>0.7</v>
      </c>
      <c r="H33" s="142">
        <v>11.4</v>
      </c>
      <c r="I33" s="142">
        <v>0.3</v>
      </c>
      <c r="J33" s="142">
        <v>0</v>
      </c>
      <c r="K33" s="142">
        <v>1.4</v>
      </c>
      <c r="L33" s="142">
        <v>9.9</v>
      </c>
      <c r="M33" s="141">
        <v>0</v>
      </c>
      <c r="N33" s="141">
        <v>0</v>
      </c>
      <c r="O33" s="87"/>
    </row>
    <row r="34" spans="1:15">
      <c r="A34" s="141" t="s">
        <v>303</v>
      </c>
      <c r="B34" s="141" t="s">
        <v>304</v>
      </c>
      <c r="C34" s="141" t="s">
        <v>296</v>
      </c>
      <c r="D34" s="141" t="s">
        <v>238</v>
      </c>
      <c r="E34" s="141" t="s">
        <v>239</v>
      </c>
      <c r="F34" s="141">
        <v>32</v>
      </c>
      <c r="G34" s="142">
        <v>0.7</v>
      </c>
      <c r="H34" s="142">
        <v>7.7</v>
      </c>
      <c r="I34" s="142">
        <v>0.3</v>
      </c>
      <c r="J34" s="142">
        <v>0</v>
      </c>
      <c r="K34" s="142">
        <v>2</v>
      </c>
      <c r="L34" s="142">
        <v>4.9000000000000004</v>
      </c>
      <c r="M34" s="141">
        <v>1</v>
      </c>
      <c r="N34" s="141">
        <v>0</v>
      </c>
      <c r="O34" s="87"/>
    </row>
    <row r="35" spans="1:15">
      <c r="A35" s="141" t="s">
        <v>305</v>
      </c>
      <c r="B35" s="141" t="s">
        <v>306</v>
      </c>
      <c r="C35" s="141" t="s">
        <v>296</v>
      </c>
      <c r="D35" s="141" t="s">
        <v>238</v>
      </c>
      <c r="E35" s="141" t="s">
        <v>239</v>
      </c>
      <c r="F35" s="141">
        <v>45</v>
      </c>
      <c r="G35" s="142">
        <v>1</v>
      </c>
      <c r="H35" s="142">
        <v>10</v>
      </c>
      <c r="I35" s="142">
        <v>0.5</v>
      </c>
      <c r="J35" s="142">
        <v>0</v>
      </c>
      <c r="K35" s="142">
        <v>3.5</v>
      </c>
      <c r="L35" s="142">
        <v>6</v>
      </c>
      <c r="M35" s="141">
        <v>1</v>
      </c>
      <c r="N35" s="141">
        <v>0</v>
      </c>
      <c r="O35" s="87"/>
    </row>
    <row r="36" spans="1:15">
      <c r="A36" s="141" t="s">
        <v>307</v>
      </c>
      <c r="B36" s="141" t="s">
        <v>308</v>
      </c>
      <c r="C36" s="141" t="s">
        <v>296</v>
      </c>
      <c r="D36" s="141" t="s">
        <v>238</v>
      </c>
      <c r="E36" s="141" t="s">
        <v>239</v>
      </c>
      <c r="F36" s="141">
        <v>83</v>
      </c>
      <c r="G36" s="142">
        <v>1.7</v>
      </c>
      <c r="H36" s="142">
        <v>18.7</v>
      </c>
      <c r="I36" s="142">
        <v>1.2</v>
      </c>
      <c r="J36" s="142">
        <v>0.1</v>
      </c>
      <c r="K36" s="142">
        <v>4</v>
      </c>
      <c r="L36" s="142">
        <v>13.7</v>
      </c>
      <c r="M36" s="141">
        <v>3</v>
      </c>
      <c r="N36" s="141">
        <v>0</v>
      </c>
      <c r="O36" s="87"/>
    </row>
    <row r="37" spans="1:15">
      <c r="A37" s="141" t="s">
        <v>309</v>
      </c>
      <c r="B37" s="141" t="s">
        <v>310</v>
      </c>
      <c r="C37" s="141" t="s">
        <v>296</v>
      </c>
      <c r="D37" s="141" t="s">
        <v>238</v>
      </c>
      <c r="E37" s="141" t="s">
        <v>239</v>
      </c>
      <c r="F37" s="141">
        <v>61</v>
      </c>
      <c r="G37" s="142">
        <v>1.1000000000000001</v>
      </c>
      <c r="H37" s="142">
        <v>14.7</v>
      </c>
      <c r="I37" s="142">
        <v>0.5</v>
      </c>
      <c r="J37" s="142">
        <v>0</v>
      </c>
      <c r="K37" s="142">
        <v>3</v>
      </c>
      <c r="L37" s="142">
        <v>9</v>
      </c>
      <c r="M37" s="141">
        <v>3</v>
      </c>
      <c r="N37" s="141">
        <v>0</v>
      </c>
      <c r="O37" s="87"/>
    </row>
    <row r="38" spans="1:15">
      <c r="A38" s="141" t="s">
        <v>311</v>
      </c>
      <c r="B38" s="141" t="s">
        <v>312</v>
      </c>
      <c r="C38" s="141" t="s">
        <v>296</v>
      </c>
      <c r="D38" s="141" t="s">
        <v>238</v>
      </c>
      <c r="E38" s="141" t="s">
        <v>239</v>
      </c>
      <c r="F38" s="141">
        <v>29</v>
      </c>
      <c r="G38" s="142">
        <v>1.1000000000000001</v>
      </c>
      <c r="H38" s="142">
        <v>9.3000000000000007</v>
      </c>
      <c r="I38" s="142">
        <v>0.3</v>
      </c>
      <c r="J38" s="142">
        <v>0</v>
      </c>
      <c r="K38" s="142">
        <v>2.8</v>
      </c>
      <c r="L38" s="142">
        <v>2.5</v>
      </c>
      <c r="M38" s="141">
        <v>2</v>
      </c>
      <c r="N38" s="141">
        <v>0</v>
      </c>
      <c r="O38" s="87"/>
    </row>
    <row r="39" spans="1:15">
      <c r="A39" s="141" t="s">
        <v>313</v>
      </c>
      <c r="B39" s="141" t="s">
        <v>314</v>
      </c>
      <c r="C39" s="141" t="s">
        <v>296</v>
      </c>
      <c r="D39" s="141" t="s">
        <v>238</v>
      </c>
      <c r="E39" s="141" t="s">
        <v>239</v>
      </c>
      <c r="F39" s="141">
        <v>53</v>
      </c>
      <c r="G39" s="142">
        <v>0.8</v>
      </c>
      <c r="H39" s="142">
        <v>13.3</v>
      </c>
      <c r="I39" s="142">
        <v>0.3</v>
      </c>
      <c r="J39" s="142">
        <v>0</v>
      </c>
      <c r="K39" s="142">
        <v>1.8</v>
      </c>
      <c r="L39" s="142">
        <v>10.6</v>
      </c>
      <c r="M39" s="141">
        <v>2</v>
      </c>
      <c r="N39" s="141">
        <v>0</v>
      </c>
      <c r="O39" s="87"/>
    </row>
    <row r="40" spans="1:15">
      <c r="A40" s="141" t="s">
        <v>315</v>
      </c>
      <c r="B40" s="141" t="s">
        <v>316</v>
      </c>
      <c r="C40" s="141" t="s">
        <v>296</v>
      </c>
      <c r="D40" s="141" t="s">
        <v>238</v>
      </c>
      <c r="E40" s="141" t="s">
        <v>239</v>
      </c>
      <c r="F40" s="141">
        <v>52</v>
      </c>
      <c r="G40" s="142">
        <v>0.3</v>
      </c>
      <c r="H40" s="142">
        <v>13.8</v>
      </c>
      <c r="I40" s="142">
        <v>0.2</v>
      </c>
      <c r="J40" s="142">
        <v>0</v>
      </c>
      <c r="K40" s="142">
        <v>2.4</v>
      </c>
      <c r="L40" s="142">
        <v>10.4</v>
      </c>
      <c r="M40" s="141">
        <v>1</v>
      </c>
      <c r="N40" s="141">
        <v>0</v>
      </c>
      <c r="O40" s="87"/>
    </row>
    <row r="41" spans="1:15">
      <c r="A41" s="141" t="s">
        <v>317</v>
      </c>
      <c r="B41" s="141" t="s">
        <v>318</v>
      </c>
      <c r="C41" s="141" t="s">
        <v>296</v>
      </c>
      <c r="D41" s="141" t="s">
        <v>238</v>
      </c>
      <c r="E41" s="141" t="s">
        <v>239</v>
      </c>
      <c r="F41" s="141">
        <v>60</v>
      </c>
      <c r="G41" s="142">
        <v>0.8</v>
      </c>
      <c r="H41" s="142">
        <v>15</v>
      </c>
      <c r="I41" s="142">
        <v>0.4</v>
      </c>
      <c r="J41" s="142">
        <v>0.1</v>
      </c>
      <c r="K41" s="142">
        <v>1.6</v>
      </c>
      <c r="L41" s="142">
        <v>13.7</v>
      </c>
      <c r="M41" s="141">
        <v>1</v>
      </c>
      <c r="N41" s="141">
        <v>0</v>
      </c>
      <c r="O41" s="87"/>
    </row>
    <row r="42" spans="1:15">
      <c r="A42" s="141" t="s">
        <v>319</v>
      </c>
      <c r="B42" s="141" t="s">
        <v>320</v>
      </c>
      <c r="C42" s="141" t="s">
        <v>296</v>
      </c>
      <c r="D42" s="141" t="s">
        <v>238</v>
      </c>
      <c r="E42" s="141" t="s">
        <v>239</v>
      </c>
      <c r="F42" s="141">
        <v>34</v>
      </c>
      <c r="G42" s="142">
        <v>0.8</v>
      </c>
      <c r="H42" s="142">
        <v>8.1999999999999993</v>
      </c>
      <c r="I42" s="142">
        <v>0.2</v>
      </c>
      <c r="J42" s="142">
        <v>0</v>
      </c>
      <c r="K42" s="142">
        <v>0.9</v>
      </c>
      <c r="L42" s="142">
        <v>7.9</v>
      </c>
      <c r="M42" s="141">
        <v>16</v>
      </c>
      <c r="N42" s="141">
        <v>0</v>
      </c>
      <c r="O42" s="87"/>
    </row>
    <row r="43" spans="1:15">
      <c r="A43" s="141" t="s">
        <v>321</v>
      </c>
      <c r="B43" s="141" t="s">
        <v>322</v>
      </c>
      <c r="C43" s="141" t="s">
        <v>296</v>
      </c>
      <c r="D43" s="141" t="s">
        <v>238</v>
      </c>
      <c r="E43" s="141" t="s">
        <v>239</v>
      </c>
      <c r="F43" s="141">
        <v>39</v>
      </c>
      <c r="G43" s="142">
        <v>0.9</v>
      </c>
      <c r="H43" s="142">
        <v>9.5</v>
      </c>
      <c r="I43" s="142">
        <v>0.3</v>
      </c>
      <c r="J43" s="142">
        <v>0</v>
      </c>
      <c r="K43" s="142">
        <v>1.5</v>
      </c>
      <c r="L43" s="142">
        <v>8.4</v>
      </c>
      <c r="M43" s="141">
        <v>0</v>
      </c>
      <c r="N43" s="141">
        <v>0</v>
      </c>
      <c r="O43" s="87"/>
    </row>
    <row r="44" spans="1:15">
      <c r="A44" s="141" t="s">
        <v>323</v>
      </c>
      <c r="B44" s="141" t="s">
        <v>324</v>
      </c>
      <c r="C44" s="141" t="s">
        <v>296</v>
      </c>
      <c r="D44" s="141" t="s">
        <v>238</v>
      </c>
      <c r="E44" s="141" t="s">
        <v>239</v>
      </c>
      <c r="F44" s="141">
        <v>47</v>
      </c>
      <c r="G44" s="142">
        <v>0.9</v>
      </c>
      <c r="H44" s="142">
        <v>11.8</v>
      </c>
      <c r="I44" s="142">
        <v>0.1</v>
      </c>
      <c r="J44" s="142">
        <v>0</v>
      </c>
      <c r="K44" s="142">
        <v>2.4</v>
      </c>
      <c r="L44" s="142">
        <v>9.4</v>
      </c>
      <c r="M44" s="141">
        <v>0</v>
      </c>
      <c r="N44" s="141">
        <v>0</v>
      </c>
      <c r="O44" s="87"/>
    </row>
    <row r="45" spans="1:15">
      <c r="A45" s="141" t="s">
        <v>325</v>
      </c>
      <c r="B45" s="141" t="s">
        <v>326</v>
      </c>
      <c r="C45" s="141" t="s">
        <v>296</v>
      </c>
      <c r="D45" s="141" t="s">
        <v>238</v>
      </c>
      <c r="E45" s="141" t="s">
        <v>239</v>
      </c>
      <c r="F45" s="141">
        <v>57</v>
      </c>
      <c r="G45" s="142">
        <v>0.4</v>
      </c>
      <c r="H45" s="142">
        <v>15.2</v>
      </c>
      <c r="I45" s="142">
        <v>0.1</v>
      </c>
      <c r="J45" s="142">
        <v>0</v>
      </c>
      <c r="K45" s="142">
        <v>3.1</v>
      </c>
      <c r="L45" s="142">
        <v>10</v>
      </c>
      <c r="M45" s="141">
        <v>1</v>
      </c>
      <c r="N45" s="141">
        <v>0</v>
      </c>
      <c r="O45" s="87"/>
    </row>
    <row r="46" spans="1:15">
      <c r="A46" s="141" t="s">
        <v>327</v>
      </c>
      <c r="B46" s="141" t="s">
        <v>328</v>
      </c>
      <c r="C46" s="141" t="s">
        <v>296</v>
      </c>
      <c r="D46" s="141" t="s">
        <v>238</v>
      </c>
      <c r="E46" s="141" t="s">
        <v>239</v>
      </c>
      <c r="F46" s="141">
        <v>50</v>
      </c>
      <c r="G46" s="142">
        <v>0.5</v>
      </c>
      <c r="H46" s="142">
        <v>13.1</v>
      </c>
      <c r="I46" s="142">
        <v>0.1</v>
      </c>
      <c r="J46" s="142">
        <v>0</v>
      </c>
      <c r="K46" s="142">
        <v>1.4</v>
      </c>
      <c r="L46" s="142">
        <v>9.9</v>
      </c>
      <c r="M46" s="141">
        <v>1</v>
      </c>
      <c r="N46" s="141">
        <v>0</v>
      </c>
      <c r="O46" s="87"/>
    </row>
    <row r="47" spans="1:15">
      <c r="A47" s="141" t="s">
        <v>329</v>
      </c>
      <c r="B47" s="141" t="s">
        <v>330</v>
      </c>
      <c r="C47" s="141" t="s">
        <v>296</v>
      </c>
      <c r="D47" s="141" t="s">
        <v>238</v>
      </c>
      <c r="E47" s="141" t="s">
        <v>239</v>
      </c>
      <c r="F47" s="141">
        <v>89</v>
      </c>
      <c r="G47" s="142">
        <v>1.1000000000000001</v>
      </c>
      <c r="H47" s="142">
        <v>22.8</v>
      </c>
      <c r="I47" s="142">
        <v>0.3</v>
      </c>
      <c r="J47" s="142">
        <v>0.1</v>
      </c>
      <c r="K47" s="142">
        <v>2.6</v>
      </c>
      <c r="L47" s="142">
        <v>12.2</v>
      </c>
      <c r="M47" s="141">
        <v>1</v>
      </c>
      <c r="N47" s="141">
        <v>0</v>
      </c>
      <c r="O47" s="87"/>
    </row>
    <row r="48" spans="1:15">
      <c r="A48" s="141" t="s">
        <v>331</v>
      </c>
      <c r="B48" s="141" t="s">
        <v>332</v>
      </c>
      <c r="C48" s="141" t="s">
        <v>296</v>
      </c>
      <c r="D48" s="141" t="s">
        <v>238</v>
      </c>
      <c r="E48" s="141" t="s">
        <v>239</v>
      </c>
      <c r="F48" s="141">
        <v>42</v>
      </c>
      <c r="G48" s="142">
        <v>0.8</v>
      </c>
      <c r="H48" s="142">
        <v>10.7</v>
      </c>
      <c r="I48" s="142">
        <v>0.1</v>
      </c>
      <c r="J48" s="142">
        <v>0</v>
      </c>
      <c r="K48" s="142">
        <v>1.6</v>
      </c>
      <c r="L48" s="142">
        <v>6.9</v>
      </c>
      <c r="M48" s="141">
        <v>0</v>
      </c>
      <c r="N48" s="141">
        <v>0</v>
      </c>
      <c r="O48" s="87"/>
    </row>
    <row r="49" spans="1:15">
      <c r="A49" s="141" t="s">
        <v>333</v>
      </c>
      <c r="B49" s="141" t="s">
        <v>334</v>
      </c>
      <c r="C49" s="141" t="s">
        <v>296</v>
      </c>
      <c r="D49" s="141" t="s">
        <v>238</v>
      </c>
      <c r="E49" s="141" t="s">
        <v>239</v>
      </c>
      <c r="F49" s="141">
        <v>30</v>
      </c>
      <c r="G49" s="142">
        <v>0.6</v>
      </c>
      <c r="H49" s="142">
        <v>7.6</v>
      </c>
      <c r="I49" s="142">
        <v>0.2</v>
      </c>
      <c r="J49" s="142">
        <v>0</v>
      </c>
      <c r="K49" s="142">
        <v>0.4</v>
      </c>
      <c r="L49" s="142">
        <v>6.2</v>
      </c>
      <c r="M49" s="141">
        <v>2</v>
      </c>
      <c r="N49" s="141">
        <v>0</v>
      </c>
      <c r="O49" s="87"/>
    </row>
    <row r="50" spans="1:15">
      <c r="A50" s="141" t="s">
        <v>335</v>
      </c>
      <c r="B50" s="141" t="s">
        <v>336</v>
      </c>
      <c r="C50" s="141" t="s">
        <v>296</v>
      </c>
      <c r="D50" s="141" t="s">
        <v>238</v>
      </c>
      <c r="E50" s="141" t="s">
        <v>239</v>
      </c>
      <c r="F50" s="141">
        <v>69</v>
      </c>
      <c r="G50" s="142">
        <v>0.7</v>
      </c>
      <c r="H50" s="142">
        <v>18.100000000000001</v>
      </c>
      <c r="I50" s="142">
        <v>0.2</v>
      </c>
      <c r="J50" s="142">
        <v>0.1</v>
      </c>
      <c r="K50" s="142">
        <v>0.9</v>
      </c>
      <c r="L50" s="142">
        <v>15.5</v>
      </c>
      <c r="M50" s="141">
        <v>2</v>
      </c>
      <c r="N50" s="141">
        <v>0</v>
      </c>
      <c r="O50" s="87"/>
    </row>
    <row r="51" spans="1:15">
      <c r="A51" s="141" t="s">
        <v>337</v>
      </c>
      <c r="B51" s="141" t="s">
        <v>338</v>
      </c>
      <c r="C51" s="141" t="s">
        <v>339</v>
      </c>
      <c r="D51" s="141" t="s">
        <v>238</v>
      </c>
      <c r="E51" s="141" t="s">
        <v>239</v>
      </c>
      <c r="F51" s="141">
        <v>110</v>
      </c>
      <c r="G51" s="142">
        <v>7.5</v>
      </c>
      <c r="H51" s="142">
        <v>19.7</v>
      </c>
      <c r="I51" s="142">
        <v>0.5</v>
      </c>
      <c r="J51" s="142">
        <v>0.1</v>
      </c>
      <c r="K51" s="142">
        <v>6.3</v>
      </c>
      <c r="L51" s="142">
        <v>0.6</v>
      </c>
      <c r="M51" s="141">
        <v>5</v>
      </c>
      <c r="N51" s="141">
        <v>1</v>
      </c>
      <c r="O51" s="87"/>
    </row>
    <row r="52" spans="1:15">
      <c r="A52" s="141" t="s">
        <v>340</v>
      </c>
      <c r="B52" s="141" t="s">
        <v>341</v>
      </c>
      <c r="C52" s="141" t="s">
        <v>339</v>
      </c>
      <c r="D52" s="141" t="s">
        <v>238</v>
      </c>
      <c r="E52" s="141" t="s">
        <v>239</v>
      </c>
      <c r="F52" s="141">
        <v>121</v>
      </c>
      <c r="G52" s="142">
        <v>11.9</v>
      </c>
      <c r="H52" s="142">
        <v>8.9</v>
      </c>
      <c r="I52" s="142">
        <v>5.2</v>
      </c>
      <c r="J52" s="142">
        <v>0.7</v>
      </c>
      <c r="K52" s="142">
        <v>5.2</v>
      </c>
      <c r="L52" s="142">
        <v>2.2000000000000002</v>
      </c>
      <c r="M52" s="141">
        <v>6</v>
      </c>
      <c r="N52" s="141">
        <v>2</v>
      </c>
      <c r="O52" s="87"/>
    </row>
    <row r="53" spans="1:15">
      <c r="A53" s="141" t="s">
        <v>342</v>
      </c>
      <c r="B53" s="141" t="s">
        <v>343</v>
      </c>
      <c r="C53" s="141" t="s">
        <v>339</v>
      </c>
      <c r="D53" s="141" t="s">
        <v>238</v>
      </c>
      <c r="E53" s="141" t="s">
        <v>239</v>
      </c>
      <c r="F53" s="141">
        <v>164</v>
      </c>
      <c r="G53" s="142">
        <v>8.9</v>
      </c>
      <c r="H53" s="142">
        <v>27.4</v>
      </c>
      <c r="I53" s="142">
        <v>2.6</v>
      </c>
      <c r="J53" s="142">
        <v>0.3</v>
      </c>
      <c r="K53" s="142">
        <v>7.6</v>
      </c>
      <c r="L53" s="142">
        <v>4.8</v>
      </c>
      <c r="M53" s="141">
        <v>7</v>
      </c>
      <c r="N53" s="141">
        <v>1</v>
      </c>
      <c r="O53" s="87"/>
    </row>
    <row r="54" spans="1:15">
      <c r="A54" s="141" t="s">
        <v>344</v>
      </c>
      <c r="B54" s="141" t="s">
        <v>345</v>
      </c>
      <c r="C54" s="141" t="s">
        <v>339</v>
      </c>
      <c r="D54" s="141" t="s">
        <v>238</v>
      </c>
      <c r="E54" s="141" t="s">
        <v>239</v>
      </c>
      <c r="F54" s="141">
        <v>166</v>
      </c>
      <c r="G54" s="142">
        <v>7.9</v>
      </c>
      <c r="H54" s="142">
        <v>14.3</v>
      </c>
      <c r="I54" s="142">
        <v>9.6</v>
      </c>
      <c r="J54" s="142">
        <v>1.4</v>
      </c>
      <c r="K54" s="142">
        <v>6</v>
      </c>
      <c r="L54" s="142">
        <v>0.3</v>
      </c>
      <c r="M54" s="141">
        <v>300</v>
      </c>
      <c r="N54" s="141">
        <v>4</v>
      </c>
      <c r="O54" s="87"/>
    </row>
    <row r="55" spans="1:15">
      <c r="A55" s="141" t="s">
        <v>346</v>
      </c>
      <c r="B55" s="141" t="s">
        <v>347</v>
      </c>
      <c r="C55" s="141" t="s">
        <v>339</v>
      </c>
      <c r="D55" s="141" t="s">
        <v>238</v>
      </c>
      <c r="E55" s="141" t="s">
        <v>239</v>
      </c>
      <c r="F55" s="141">
        <v>116</v>
      </c>
      <c r="G55" s="142">
        <v>9</v>
      </c>
      <c r="H55" s="142">
        <v>20.100000000000001</v>
      </c>
      <c r="I55" s="142">
        <v>0.4</v>
      </c>
      <c r="J55" s="142">
        <v>0.1</v>
      </c>
      <c r="K55" s="142">
        <v>7.9</v>
      </c>
      <c r="L55" s="142">
        <v>1.8</v>
      </c>
      <c r="M55" s="141">
        <v>2</v>
      </c>
      <c r="N55" s="141">
        <v>1</v>
      </c>
      <c r="O55" s="87"/>
    </row>
    <row r="56" spans="1:15">
      <c r="A56" s="141" t="s">
        <v>348</v>
      </c>
      <c r="B56" s="141" t="s">
        <v>349</v>
      </c>
      <c r="C56" s="141" t="s">
        <v>339</v>
      </c>
      <c r="D56" s="141" t="s">
        <v>238</v>
      </c>
      <c r="E56" s="141" t="s">
        <v>239</v>
      </c>
      <c r="F56" s="141">
        <v>130</v>
      </c>
      <c r="G56" s="142">
        <v>2.7</v>
      </c>
      <c r="H56" s="142">
        <v>28.2</v>
      </c>
      <c r="I56" s="142">
        <v>0.3</v>
      </c>
      <c r="J56" s="142">
        <v>0.1</v>
      </c>
      <c r="K56" s="142">
        <v>0.4</v>
      </c>
      <c r="L56" s="142">
        <v>0.1</v>
      </c>
      <c r="M56" s="141">
        <v>1</v>
      </c>
      <c r="N56" s="141">
        <v>1</v>
      </c>
      <c r="O56" s="87"/>
    </row>
    <row r="57" spans="1:15">
      <c r="A57" s="141" t="s">
        <v>350</v>
      </c>
      <c r="B57" s="141" t="s">
        <v>351</v>
      </c>
      <c r="C57" s="141" t="s">
        <v>339</v>
      </c>
      <c r="D57" s="141" t="s">
        <v>238</v>
      </c>
      <c r="E57" s="141" t="s">
        <v>239</v>
      </c>
      <c r="F57" s="141">
        <v>123</v>
      </c>
      <c r="G57" s="142">
        <v>2.7</v>
      </c>
      <c r="H57" s="142">
        <v>25.6</v>
      </c>
      <c r="I57" s="142">
        <v>1</v>
      </c>
      <c r="J57" s="142">
        <v>0.2</v>
      </c>
      <c r="K57" s="142">
        <v>1.8</v>
      </c>
      <c r="L57" s="142">
        <v>0.4</v>
      </c>
      <c r="M57" s="141">
        <v>2</v>
      </c>
      <c r="N57" s="141">
        <v>1</v>
      </c>
      <c r="O57" s="87"/>
    </row>
    <row r="58" spans="1:15">
      <c r="A58" s="141" t="s">
        <v>352</v>
      </c>
      <c r="B58" s="141" t="s">
        <v>353</v>
      </c>
      <c r="C58" s="141" t="s">
        <v>339</v>
      </c>
      <c r="D58" s="141" t="s">
        <v>238</v>
      </c>
      <c r="E58" s="141" t="s">
        <v>239</v>
      </c>
      <c r="F58" s="141">
        <v>389</v>
      </c>
      <c r="G58" s="142">
        <v>16.899999999999999</v>
      </c>
      <c r="H58" s="142">
        <v>66.3</v>
      </c>
      <c r="I58" s="142">
        <v>6.9</v>
      </c>
      <c r="J58" s="142">
        <v>1.2</v>
      </c>
      <c r="K58" s="142">
        <v>10.6</v>
      </c>
      <c r="L58" s="142">
        <v>0.9</v>
      </c>
      <c r="M58" s="141">
        <v>2</v>
      </c>
      <c r="N58" s="141">
        <v>1</v>
      </c>
      <c r="O58" s="87"/>
    </row>
    <row r="59" spans="1:15">
      <c r="A59" s="141" t="s">
        <v>354</v>
      </c>
      <c r="B59" s="141" t="s">
        <v>355</v>
      </c>
      <c r="C59" s="141" t="s">
        <v>339</v>
      </c>
      <c r="D59" s="141" t="s">
        <v>238</v>
      </c>
      <c r="E59" s="141" t="s">
        <v>239</v>
      </c>
      <c r="F59" s="141">
        <v>90</v>
      </c>
      <c r="G59" s="142">
        <v>2</v>
      </c>
      <c r="H59" s="142">
        <v>21</v>
      </c>
      <c r="I59" s="142">
        <v>0.2</v>
      </c>
      <c r="J59" s="142">
        <v>0</v>
      </c>
      <c r="K59" s="142">
        <v>3</v>
      </c>
      <c r="L59" s="142">
        <v>4.2</v>
      </c>
      <c r="M59" s="141">
        <v>36</v>
      </c>
      <c r="N59" s="141">
        <v>0</v>
      </c>
      <c r="O59" s="87"/>
    </row>
    <row r="60" spans="1:15">
      <c r="A60" s="141" t="s">
        <v>356</v>
      </c>
      <c r="B60" s="141" t="s">
        <v>357</v>
      </c>
      <c r="C60" s="141" t="s">
        <v>339</v>
      </c>
      <c r="D60" s="141" t="s">
        <v>238</v>
      </c>
      <c r="E60" s="141" t="s">
        <v>239</v>
      </c>
      <c r="F60" s="141">
        <v>112</v>
      </c>
      <c r="G60" s="142">
        <v>3.8</v>
      </c>
      <c r="H60" s="142">
        <v>23.2</v>
      </c>
      <c r="I60" s="142">
        <v>0.2</v>
      </c>
      <c r="J60" s="142">
        <v>0</v>
      </c>
      <c r="K60" s="142">
        <v>1.4</v>
      </c>
      <c r="L60" s="142">
        <v>0.1</v>
      </c>
      <c r="M60" s="141">
        <v>5</v>
      </c>
      <c r="N60" s="141">
        <v>2</v>
      </c>
      <c r="O60" s="87"/>
    </row>
    <row r="61" spans="1:15">
      <c r="A61" s="141" t="s">
        <v>358</v>
      </c>
      <c r="B61" s="141" t="s">
        <v>359</v>
      </c>
      <c r="C61" s="141" t="s">
        <v>339</v>
      </c>
      <c r="D61" s="141" t="s">
        <v>238</v>
      </c>
      <c r="E61" s="141" t="s">
        <v>239</v>
      </c>
      <c r="F61" s="141">
        <v>250</v>
      </c>
      <c r="G61" s="142">
        <v>9</v>
      </c>
      <c r="H61" s="142">
        <v>49</v>
      </c>
      <c r="I61" s="142">
        <v>3.2</v>
      </c>
      <c r="J61" s="142">
        <v>0.7</v>
      </c>
      <c r="K61" s="142">
        <v>2.7</v>
      </c>
      <c r="L61" s="142">
        <v>5</v>
      </c>
      <c r="M61" s="141">
        <v>490</v>
      </c>
      <c r="N61" s="141">
        <v>5</v>
      </c>
      <c r="O61" s="87"/>
    </row>
    <row r="62" spans="1:15">
      <c r="A62" s="141" t="s">
        <v>360</v>
      </c>
      <c r="B62" s="141" t="s">
        <v>361</v>
      </c>
      <c r="C62" s="141" t="s">
        <v>339</v>
      </c>
      <c r="D62" s="141" t="s">
        <v>238</v>
      </c>
      <c r="E62" s="141" t="s">
        <v>239</v>
      </c>
      <c r="F62" s="141">
        <v>259</v>
      </c>
      <c r="G62" s="142">
        <v>8.5</v>
      </c>
      <c r="H62" s="142">
        <v>48</v>
      </c>
      <c r="I62" s="142">
        <v>3.3</v>
      </c>
      <c r="J62" s="142">
        <v>0.6</v>
      </c>
      <c r="K62" s="142">
        <v>6</v>
      </c>
      <c r="L62" s="142">
        <v>5</v>
      </c>
      <c r="M62" s="141">
        <v>600</v>
      </c>
      <c r="N62" s="141">
        <v>5</v>
      </c>
      <c r="O62" s="87"/>
    </row>
    <row r="63" spans="1:15">
      <c r="A63" s="141" t="s">
        <v>362</v>
      </c>
      <c r="B63" s="141" t="s">
        <v>363</v>
      </c>
      <c r="C63" s="141" t="s">
        <v>339</v>
      </c>
      <c r="D63" s="141" t="s">
        <v>238</v>
      </c>
      <c r="E63" s="141" t="s">
        <v>239</v>
      </c>
      <c r="F63" s="141">
        <v>240</v>
      </c>
      <c r="G63" s="142">
        <v>9</v>
      </c>
      <c r="H63" s="142">
        <v>42</v>
      </c>
      <c r="I63" s="142">
        <v>4</v>
      </c>
      <c r="J63" s="142">
        <v>0.8</v>
      </c>
      <c r="K63" s="142">
        <v>6</v>
      </c>
      <c r="L63" s="142">
        <v>5</v>
      </c>
      <c r="M63" s="141">
        <v>450</v>
      </c>
      <c r="N63" s="141">
        <v>4</v>
      </c>
      <c r="O63" s="87"/>
    </row>
    <row r="64" spans="1:15">
      <c r="A64" s="141" t="s">
        <v>364</v>
      </c>
      <c r="B64" s="141" t="s">
        <v>365</v>
      </c>
      <c r="C64" s="141" t="s">
        <v>339</v>
      </c>
      <c r="D64" s="141" t="s">
        <v>238</v>
      </c>
      <c r="E64" s="141" t="s">
        <v>239</v>
      </c>
      <c r="F64" s="141">
        <v>124</v>
      </c>
      <c r="G64" s="142">
        <v>5</v>
      </c>
      <c r="H64" s="142">
        <v>26</v>
      </c>
      <c r="I64" s="142">
        <v>0.9</v>
      </c>
      <c r="J64" s="142">
        <v>0.2</v>
      </c>
      <c r="K64" s="142">
        <v>3</v>
      </c>
      <c r="L64" s="142">
        <v>1</v>
      </c>
      <c r="M64" s="141">
        <v>6</v>
      </c>
      <c r="N64" s="141">
        <v>3</v>
      </c>
      <c r="O64" s="87"/>
    </row>
    <row r="65" spans="1:15">
      <c r="A65" s="141" t="s">
        <v>366</v>
      </c>
      <c r="B65" s="141" t="s">
        <v>367</v>
      </c>
      <c r="C65" s="141" t="s">
        <v>339</v>
      </c>
      <c r="D65" s="141" t="s">
        <v>238</v>
      </c>
      <c r="E65" s="141" t="s">
        <v>239</v>
      </c>
      <c r="F65" s="141">
        <v>87</v>
      </c>
      <c r="G65" s="142">
        <v>2</v>
      </c>
      <c r="H65" s="142">
        <v>20.100000000000001</v>
      </c>
      <c r="I65" s="142">
        <v>0.1</v>
      </c>
      <c r="J65" s="142">
        <v>0</v>
      </c>
      <c r="K65" s="142">
        <v>1.8</v>
      </c>
      <c r="L65" s="142">
        <v>0.9</v>
      </c>
      <c r="M65" s="141">
        <v>7</v>
      </c>
      <c r="N65" s="141">
        <v>0</v>
      </c>
      <c r="O65" s="87"/>
    </row>
    <row r="66" spans="1:15">
      <c r="A66" s="141" t="s">
        <v>368</v>
      </c>
      <c r="B66" s="141" t="s">
        <v>369</v>
      </c>
      <c r="C66" s="141" t="s">
        <v>339</v>
      </c>
      <c r="D66" s="141" t="s">
        <v>238</v>
      </c>
      <c r="E66" s="141" t="s">
        <v>239</v>
      </c>
      <c r="F66" s="141">
        <v>120</v>
      </c>
      <c r="G66" s="142">
        <v>4.4000000000000004</v>
      </c>
      <c r="H66" s="142">
        <v>21.3</v>
      </c>
      <c r="I66" s="142">
        <v>1.9</v>
      </c>
      <c r="J66" s="142">
        <v>0.2</v>
      </c>
      <c r="K66" s="142">
        <v>2.8</v>
      </c>
      <c r="L66" s="142">
        <v>0.9</v>
      </c>
      <c r="M66" s="141">
        <v>7</v>
      </c>
      <c r="N66" s="141">
        <v>1</v>
      </c>
      <c r="O66" s="87"/>
    </row>
    <row r="67" spans="1:15">
      <c r="A67" s="141" t="s">
        <v>370</v>
      </c>
      <c r="B67" s="141" t="s">
        <v>371</v>
      </c>
      <c r="C67" s="141" t="s">
        <v>372</v>
      </c>
      <c r="D67" s="141" t="s">
        <v>238</v>
      </c>
      <c r="E67" s="141" t="s">
        <v>239</v>
      </c>
      <c r="F67" s="141">
        <v>109</v>
      </c>
      <c r="G67" s="142">
        <v>24</v>
      </c>
      <c r="H67" s="142">
        <v>0</v>
      </c>
      <c r="I67" s="142">
        <v>1</v>
      </c>
      <c r="J67" s="142">
        <v>0.3</v>
      </c>
      <c r="K67" s="142">
        <v>0</v>
      </c>
      <c r="L67" s="142">
        <v>0</v>
      </c>
      <c r="M67" s="141">
        <v>50</v>
      </c>
      <c r="N67" s="141">
        <v>2</v>
      </c>
      <c r="O67" s="87"/>
    </row>
    <row r="68" spans="1:15">
      <c r="A68" s="141" t="s">
        <v>373</v>
      </c>
      <c r="B68" s="141" t="s">
        <v>374</v>
      </c>
      <c r="C68" s="141" t="s">
        <v>372</v>
      </c>
      <c r="D68" s="141" t="s">
        <v>238</v>
      </c>
      <c r="E68" s="141" t="s">
        <v>239</v>
      </c>
      <c r="F68" s="141">
        <v>116</v>
      </c>
      <c r="G68" s="142">
        <v>26</v>
      </c>
      <c r="H68" s="142">
        <v>0</v>
      </c>
      <c r="I68" s="142">
        <v>1</v>
      </c>
      <c r="J68" s="142">
        <v>0.3</v>
      </c>
      <c r="K68" s="142">
        <v>0</v>
      </c>
      <c r="L68" s="142">
        <v>0</v>
      </c>
      <c r="M68" s="141">
        <v>300</v>
      </c>
      <c r="N68" s="141">
        <v>5</v>
      </c>
      <c r="O68" s="87"/>
    </row>
    <row r="69" spans="1:15">
      <c r="A69" s="141" t="s">
        <v>375</v>
      </c>
      <c r="B69" s="141" t="s">
        <v>376</v>
      </c>
      <c r="C69" s="141" t="s">
        <v>372</v>
      </c>
      <c r="D69" s="141" t="s">
        <v>238</v>
      </c>
      <c r="E69" s="141" t="s">
        <v>239</v>
      </c>
      <c r="F69" s="141">
        <v>82</v>
      </c>
      <c r="G69" s="142">
        <v>18</v>
      </c>
      <c r="H69" s="142">
        <v>0</v>
      </c>
      <c r="I69" s="142">
        <v>0.7</v>
      </c>
      <c r="J69" s="142">
        <v>0.1</v>
      </c>
      <c r="K69" s="142">
        <v>0</v>
      </c>
      <c r="L69" s="142">
        <v>0</v>
      </c>
      <c r="M69" s="141">
        <v>54</v>
      </c>
      <c r="N69" s="141">
        <v>1</v>
      </c>
      <c r="O69" s="87"/>
    </row>
    <row r="70" spans="1:15">
      <c r="A70" s="141" t="s">
        <v>377</v>
      </c>
      <c r="B70" s="141" t="s">
        <v>378</v>
      </c>
      <c r="C70" s="141" t="s">
        <v>372</v>
      </c>
      <c r="D70" s="141" t="s">
        <v>238</v>
      </c>
      <c r="E70" s="141" t="s">
        <v>239</v>
      </c>
      <c r="F70" s="141">
        <v>140</v>
      </c>
      <c r="G70" s="142">
        <v>24</v>
      </c>
      <c r="H70" s="142">
        <v>0</v>
      </c>
      <c r="I70" s="142">
        <v>5</v>
      </c>
      <c r="J70" s="142">
        <v>1.3</v>
      </c>
      <c r="K70" s="142">
        <v>0</v>
      </c>
      <c r="L70" s="142">
        <v>0</v>
      </c>
      <c r="M70" s="141">
        <v>60</v>
      </c>
      <c r="N70" s="141">
        <v>1</v>
      </c>
      <c r="O70" s="87"/>
    </row>
    <row r="71" spans="1:15">
      <c r="A71" s="141" t="s">
        <v>379</v>
      </c>
      <c r="B71" s="141" t="s">
        <v>380</v>
      </c>
      <c r="C71" s="141" t="s">
        <v>372</v>
      </c>
      <c r="D71" s="141" t="s">
        <v>238</v>
      </c>
      <c r="E71" s="141" t="s">
        <v>239</v>
      </c>
      <c r="F71" s="141">
        <v>92</v>
      </c>
      <c r="G71" s="142">
        <v>15.6</v>
      </c>
      <c r="H71" s="142">
        <v>3.1</v>
      </c>
      <c r="I71" s="142">
        <v>1.4</v>
      </c>
      <c r="J71" s="142">
        <v>0.4</v>
      </c>
      <c r="K71" s="142">
        <v>0</v>
      </c>
      <c r="L71" s="142">
        <v>0</v>
      </c>
      <c r="M71" s="141">
        <v>44</v>
      </c>
      <c r="N71" s="141">
        <v>1</v>
      </c>
      <c r="O71" s="87"/>
    </row>
    <row r="72" spans="1:15">
      <c r="A72" s="141" t="s">
        <v>381</v>
      </c>
      <c r="B72" s="141" t="s">
        <v>382</v>
      </c>
      <c r="C72" s="141" t="s">
        <v>372</v>
      </c>
      <c r="D72" s="141" t="s">
        <v>238</v>
      </c>
      <c r="E72" s="141" t="s">
        <v>239</v>
      </c>
      <c r="F72" s="141">
        <v>136</v>
      </c>
      <c r="G72" s="142">
        <v>21</v>
      </c>
      <c r="H72" s="142">
        <v>0</v>
      </c>
      <c r="I72" s="142">
        <v>5.5</v>
      </c>
      <c r="J72" s="142">
        <v>1.5</v>
      </c>
      <c r="K72" s="142">
        <v>0</v>
      </c>
      <c r="L72" s="142">
        <v>0</v>
      </c>
      <c r="M72" s="141">
        <v>45</v>
      </c>
      <c r="N72" s="141">
        <v>1</v>
      </c>
      <c r="O72" s="87"/>
    </row>
    <row r="73" spans="1:15">
      <c r="A73" s="141" t="s">
        <v>383</v>
      </c>
      <c r="B73" s="141" t="s">
        <v>384</v>
      </c>
      <c r="C73" s="141" t="s">
        <v>372</v>
      </c>
      <c r="D73" s="141" t="s">
        <v>238</v>
      </c>
      <c r="E73" s="141" t="s">
        <v>239</v>
      </c>
      <c r="F73" s="141">
        <v>250</v>
      </c>
      <c r="G73" s="142">
        <v>25</v>
      </c>
      <c r="H73" s="142">
        <v>0</v>
      </c>
      <c r="I73" s="142">
        <v>20</v>
      </c>
      <c r="J73" s="142">
        <v>9</v>
      </c>
      <c r="K73" s="142">
        <v>0</v>
      </c>
      <c r="L73" s="142">
        <v>0</v>
      </c>
      <c r="M73" s="141">
        <v>70</v>
      </c>
      <c r="N73" s="141">
        <v>2</v>
      </c>
      <c r="O73" s="87"/>
    </row>
    <row r="74" spans="1:15">
      <c r="A74" s="141" t="s">
        <v>385</v>
      </c>
      <c r="B74" s="141" t="s">
        <v>386</v>
      </c>
      <c r="C74" s="141" t="s">
        <v>372</v>
      </c>
      <c r="D74" s="141" t="s">
        <v>238</v>
      </c>
      <c r="E74" s="141" t="s">
        <v>239</v>
      </c>
      <c r="F74" s="141">
        <v>140</v>
      </c>
      <c r="G74" s="142">
        <v>26</v>
      </c>
      <c r="H74" s="142">
        <v>0</v>
      </c>
      <c r="I74" s="142">
        <v>4</v>
      </c>
      <c r="J74" s="142">
        <v>1.5</v>
      </c>
      <c r="K74" s="142">
        <v>0</v>
      </c>
      <c r="L74" s="142">
        <v>0</v>
      </c>
      <c r="M74" s="141">
        <v>70</v>
      </c>
      <c r="N74" s="141">
        <v>2</v>
      </c>
      <c r="O74" s="87"/>
    </row>
    <row r="75" spans="1:15">
      <c r="A75" s="141" t="s">
        <v>387</v>
      </c>
      <c r="B75" s="141" t="s">
        <v>388</v>
      </c>
      <c r="C75" s="141" t="s">
        <v>372</v>
      </c>
      <c r="D75" s="141" t="s">
        <v>238</v>
      </c>
      <c r="E75" s="141" t="s">
        <v>239</v>
      </c>
      <c r="F75" s="141">
        <v>52</v>
      </c>
      <c r="G75" s="142">
        <v>11</v>
      </c>
      <c r="H75" s="142">
        <v>1</v>
      </c>
      <c r="I75" s="142">
        <v>0.2</v>
      </c>
      <c r="J75" s="142">
        <v>0</v>
      </c>
      <c r="K75" s="142">
        <v>0</v>
      </c>
      <c r="L75" s="142">
        <v>1</v>
      </c>
      <c r="M75" s="141">
        <v>166</v>
      </c>
      <c r="N75" s="141">
        <v>3</v>
      </c>
      <c r="O75" s="87"/>
    </row>
    <row r="76" spans="1:15">
      <c r="A76" s="141" t="s">
        <v>389</v>
      </c>
      <c r="B76" s="141" t="s">
        <v>390</v>
      </c>
      <c r="C76" s="141" t="s">
        <v>372</v>
      </c>
      <c r="D76" s="141" t="s">
        <v>238</v>
      </c>
      <c r="E76" s="141" t="s">
        <v>239</v>
      </c>
      <c r="F76" s="141">
        <v>99</v>
      </c>
      <c r="G76" s="142">
        <v>24</v>
      </c>
      <c r="H76" s="142">
        <v>0.2</v>
      </c>
      <c r="I76" s="142">
        <v>0.3</v>
      </c>
      <c r="J76" s="142">
        <v>0.1</v>
      </c>
      <c r="K76" s="142">
        <v>0</v>
      </c>
      <c r="L76" s="142">
        <v>0</v>
      </c>
      <c r="M76" s="141">
        <v>150</v>
      </c>
      <c r="N76" s="141">
        <v>1</v>
      </c>
      <c r="O76" s="87"/>
    </row>
    <row r="77" spans="1:15">
      <c r="A77" s="141" t="s">
        <v>391</v>
      </c>
      <c r="B77" s="141" t="s">
        <v>392</v>
      </c>
      <c r="C77" s="141" t="s">
        <v>372</v>
      </c>
      <c r="D77" s="141" t="s">
        <v>238</v>
      </c>
      <c r="E77" s="141" t="s">
        <v>239</v>
      </c>
      <c r="F77" s="141">
        <v>170</v>
      </c>
      <c r="G77" s="142">
        <v>20</v>
      </c>
      <c r="H77" s="142">
        <v>2</v>
      </c>
      <c r="I77" s="142">
        <v>10</v>
      </c>
      <c r="J77" s="142">
        <v>4</v>
      </c>
      <c r="K77" s="142">
        <v>0</v>
      </c>
      <c r="L77" s="142">
        <v>0.5</v>
      </c>
      <c r="M77" s="141">
        <v>450</v>
      </c>
      <c r="N77" s="141">
        <v>6</v>
      </c>
      <c r="O77" s="87"/>
    </row>
    <row r="78" spans="1:15">
      <c r="A78" s="141" t="s">
        <v>393</v>
      </c>
      <c r="B78" s="141" t="s">
        <v>394</v>
      </c>
      <c r="C78" s="141" t="s">
        <v>372</v>
      </c>
      <c r="D78" s="141" t="s">
        <v>395</v>
      </c>
      <c r="E78" s="141" t="s">
        <v>396</v>
      </c>
      <c r="F78" s="141">
        <v>78</v>
      </c>
      <c r="G78" s="142">
        <v>6.5</v>
      </c>
      <c r="H78" s="142">
        <v>0.6</v>
      </c>
      <c r="I78" s="142">
        <v>5.3</v>
      </c>
      <c r="J78" s="142">
        <v>1.6</v>
      </c>
      <c r="K78" s="142">
        <v>0</v>
      </c>
      <c r="L78" s="142">
        <v>0.6</v>
      </c>
      <c r="M78" s="141">
        <v>62</v>
      </c>
      <c r="N78" s="141">
        <v>1</v>
      </c>
      <c r="O78" s="87"/>
    </row>
    <row r="79" spans="1:15">
      <c r="A79" s="141" t="s">
        <v>397</v>
      </c>
      <c r="B79" s="141" t="s">
        <v>398</v>
      </c>
      <c r="C79" s="141" t="s">
        <v>372</v>
      </c>
      <c r="D79" s="141" t="s">
        <v>238</v>
      </c>
      <c r="E79" s="141" t="s">
        <v>239</v>
      </c>
      <c r="F79" s="141">
        <v>143</v>
      </c>
      <c r="G79" s="142">
        <v>22</v>
      </c>
      <c r="H79" s="142">
        <v>0</v>
      </c>
      <c r="I79" s="142">
        <v>5.9</v>
      </c>
      <c r="J79" s="142">
        <v>2</v>
      </c>
      <c r="K79" s="142">
        <v>0</v>
      </c>
      <c r="L79" s="142">
        <v>0</v>
      </c>
      <c r="M79" s="141">
        <v>62</v>
      </c>
      <c r="N79" s="141">
        <v>2</v>
      </c>
      <c r="O79" s="87"/>
    </row>
    <row r="80" spans="1:15">
      <c r="A80" s="141" t="s">
        <v>399</v>
      </c>
      <c r="B80" s="141" t="s">
        <v>400</v>
      </c>
      <c r="C80" s="141" t="s">
        <v>372</v>
      </c>
      <c r="D80" s="141" t="s">
        <v>238</v>
      </c>
      <c r="E80" s="141" t="s">
        <v>239</v>
      </c>
      <c r="F80" s="141">
        <v>172</v>
      </c>
      <c r="G80" s="142">
        <v>24</v>
      </c>
      <c r="H80" s="142">
        <v>7.4</v>
      </c>
      <c r="I80" s="142">
        <v>4.5</v>
      </c>
      <c r="J80" s="142">
        <v>1.2</v>
      </c>
      <c r="K80" s="142">
        <v>0</v>
      </c>
      <c r="L80" s="142">
        <v>0</v>
      </c>
      <c r="M80" s="141">
        <v>286</v>
      </c>
      <c r="N80" s="141">
        <v>1</v>
      </c>
      <c r="O80" s="87"/>
    </row>
    <row r="81" spans="1:15">
      <c r="A81" s="141" t="s">
        <v>401</v>
      </c>
      <c r="B81" s="141" t="s">
        <v>402</v>
      </c>
      <c r="C81" s="141" t="s">
        <v>372</v>
      </c>
      <c r="D81" s="141" t="s">
        <v>238</v>
      </c>
      <c r="E81" s="141" t="s">
        <v>239</v>
      </c>
      <c r="F81" s="141">
        <v>73</v>
      </c>
      <c r="G81" s="142">
        <v>16</v>
      </c>
      <c r="H81" s="142">
        <v>0</v>
      </c>
      <c r="I81" s="142">
        <v>1</v>
      </c>
      <c r="J81" s="142">
        <v>0.2</v>
      </c>
      <c r="K81" s="142">
        <v>0</v>
      </c>
      <c r="L81" s="142">
        <v>0</v>
      </c>
      <c r="M81" s="141">
        <v>60</v>
      </c>
      <c r="N81" s="141">
        <v>1</v>
      </c>
      <c r="O81" s="87"/>
    </row>
    <row r="82" spans="1:15">
      <c r="A82" s="141" t="s">
        <v>403</v>
      </c>
      <c r="B82" s="141" t="s">
        <v>404</v>
      </c>
      <c r="C82" s="141" t="s">
        <v>372</v>
      </c>
      <c r="D82" s="141" t="s">
        <v>238</v>
      </c>
      <c r="E82" s="141" t="s">
        <v>239</v>
      </c>
      <c r="F82" s="141">
        <v>110</v>
      </c>
      <c r="G82" s="142">
        <v>24</v>
      </c>
      <c r="H82" s="142">
        <v>0</v>
      </c>
      <c r="I82" s="142">
        <v>1</v>
      </c>
      <c r="J82" s="142">
        <v>0.3</v>
      </c>
      <c r="K82" s="142">
        <v>0</v>
      </c>
      <c r="L82" s="142">
        <v>0</v>
      </c>
      <c r="M82" s="141">
        <v>70</v>
      </c>
      <c r="N82" s="141">
        <v>1</v>
      </c>
      <c r="O82" s="87"/>
    </row>
    <row r="83" spans="1:15">
      <c r="A83" s="141" t="s">
        <v>405</v>
      </c>
      <c r="B83" s="141" t="s">
        <v>406</v>
      </c>
      <c r="C83" s="141" t="s">
        <v>372</v>
      </c>
      <c r="D83" s="141" t="s">
        <v>238</v>
      </c>
      <c r="E83" s="141" t="s">
        <v>239</v>
      </c>
      <c r="F83" s="141">
        <v>165</v>
      </c>
      <c r="G83" s="142">
        <v>31</v>
      </c>
      <c r="H83" s="142">
        <v>0</v>
      </c>
      <c r="I83" s="142">
        <v>2</v>
      </c>
      <c r="J83" s="142">
        <v>1</v>
      </c>
      <c r="K83" s="142">
        <v>0</v>
      </c>
      <c r="L83" s="142">
        <v>0</v>
      </c>
      <c r="M83" s="141">
        <v>74</v>
      </c>
      <c r="N83" s="141">
        <v>1</v>
      </c>
      <c r="O83" s="87"/>
    </row>
    <row r="84" spans="1:15">
      <c r="A84" s="141" t="s">
        <v>407</v>
      </c>
      <c r="B84" s="141" t="s">
        <v>408</v>
      </c>
      <c r="C84" s="141" t="s">
        <v>372</v>
      </c>
      <c r="D84" s="141" t="s">
        <v>238</v>
      </c>
      <c r="E84" s="141" t="s">
        <v>239</v>
      </c>
      <c r="F84" s="141">
        <v>135</v>
      </c>
      <c r="G84" s="142">
        <v>29</v>
      </c>
      <c r="H84" s="142">
        <v>0</v>
      </c>
      <c r="I84" s="142">
        <v>1.6</v>
      </c>
      <c r="J84" s="142">
        <v>0.4</v>
      </c>
      <c r="K84" s="142">
        <v>0</v>
      </c>
      <c r="L84" s="142">
        <v>0</v>
      </c>
      <c r="M84" s="141">
        <v>80</v>
      </c>
      <c r="N84" s="141">
        <v>2</v>
      </c>
      <c r="O84" s="87"/>
    </row>
    <row r="85" spans="1:15">
      <c r="A85" s="141" t="s">
        <v>409</v>
      </c>
      <c r="B85" s="141" t="s">
        <v>410</v>
      </c>
      <c r="C85" s="141" t="s">
        <v>372</v>
      </c>
      <c r="D85" s="141" t="s">
        <v>238</v>
      </c>
      <c r="E85" s="141" t="s">
        <v>239</v>
      </c>
      <c r="F85" s="141">
        <v>200</v>
      </c>
      <c r="G85" s="142">
        <v>20</v>
      </c>
      <c r="H85" s="142">
        <v>0</v>
      </c>
      <c r="I85" s="142">
        <v>13</v>
      </c>
      <c r="J85" s="142">
        <v>3</v>
      </c>
      <c r="K85" s="142">
        <v>0</v>
      </c>
      <c r="L85" s="142">
        <v>0</v>
      </c>
      <c r="M85" s="141">
        <v>70</v>
      </c>
      <c r="N85" s="141">
        <v>1</v>
      </c>
      <c r="O85" s="87"/>
    </row>
    <row r="86" spans="1:15">
      <c r="A86" s="141" t="s">
        <v>411</v>
      </c>
      <c r="B86" s="141" t="s">
        <v>412</v>
      </c>
      <c r="C86" s="141" t="s">
        <v>372</v>
      </c>
      <c r="D86" s="141" t="s">
        <v>238</v>
      </c>
      <c r="E86" s="141" t="s">
        <v>239</v>
      </c>
      <c r="F86" s="141">
        <v>90</v>
      </c>
      <c r="G86" s="142">
        <v>20</v>
      </c>
      <c r="H86" s="142">
        <v>0</v>
      </c>
      <c r="I86" s="142">
        <v>1</v>
      </c>
      <c r="J86" s="142">
        <v>0.2</v>
      </c>
      <c r="K86" s="142">
        <v>0</v>
      </c>
      <c r="L86" s="142">
        <v>0</v>
      </c>
      <c r="M86" s="141">
        <v>70</v>
      </c>
      <c r="N86" s="141">
        <v>1</v>
      </c>
      <c r="O86" s="87"/>
    </row>
    <row r="87" spans="1:15">
      <c r="A87" s="141" t="s">
        <v>413</v>
      </c>
      <c r="B87" s="141" t="s">
        <v>414</v>
      </c>
      <c r="C87" s="141" t="s">
        <v>372</v>
      </c>
      <c r="D87" s="141" t="s">
        <v>238</v>
      </c>
      <c r="E87" s="141" t="s">
        <v>239</v>
      </c>
      <c r="F87" s="141">
        <v>165</v>
      </c>
      <c r="G87" s="142">
        <v>31</v>
      </c>
      <c r="H87" s="142">
        <v>0</v>
      </c>
      <c r="I87" s="142">
        <v>3.6</v>
      </c>
      <c r="J87" s="142">
        <v>1</v>
      </c>
      <c r="K87" s="142">
        <v>0</v>
      </c>
      <c r="L87" s="142">
        <v>0</v>
      </c>
      <c r="M87" s="141">
        <v>74</v>
      </c>
      <c r="N87" s="141">
        <v>1</v>
      </c>
      <c r="O87" s="87"/>
    </row>
    <row r="88" spans="1:15">
      <c r="A88" s="141" t="s">
        <v>415</v>
      </c>
      <c r="B88" s="141" t="s">
        <v>416</v>
      </c>
      <c r="C88" s="141" t="s">
        <v>372</v>
      </c>
      <c r="D88" s="141" t="s">
        <v>238</v>
      </c>
      <c r="E88" s="141" t="s">
        <v>239</v>
      </c>
      <c r="F88" s="141">
        <v>82</v>
      </c>
      <c r="G88" s="142">
        <v>15</v>
      </c>
      <c r="H88" s="142">
        <v>2</v>
      </c>
      <c r="I88" s="142">
        <v>1</v>
      </c>
      <c r="J88" s="142">
        <v>0.2</v>
      </c>
      <c r="K88" s="142">
        <v>0</v>
      </c>
      <c r="L88" s="142">
        <v>0</v>
      </c>
      <c r="M88" s="141">
        <v>230</v>
      </c>
      <c r="N88" s="141">
        <v>1</v>
      </c>
      <c r="O88" s="87"/>
    </row>
    <row r="89" spans="1:15">
      <c r="A89" s="141" t="s">
        <v>417</v>
      </c>
      <c r="B89" s="141" t="s">
        <v>418</v>
      </c>
      <c r="C89" s="141" t="s">
        <v>372</v>
      </c>
      <c r="D89" s="141" t="s">
        <v>238</v>
      </c>
      <c r="E89" s="141" t="s">
        <v>239</v>
      </c>
      <c r="F89" s="141">
        <v>208</v>
      </c>
      <c r="G89" s="142">
        <v>20</v>
      </c>
      <c r="H89" s="142">
        <v>0</v>
      </c>
      <c r="I89" s="142">
        <v>13</v>
      </c>
      <c r="J89" s="142">
        <v>3.1</v>
      </c>
      <c r="K89" s="142">
        <v>0</v>
      </c>
      <c r="L89" s="142">
        <v>0</v>
      </c>
      <c r="M89" s="141">
        <v>59</v>
      </c>
      <c r="N89" s="141">
        <v>1</v>
      </c>
      <c r="O89" s="87"/>
    </row>
    <row r="90" spans="1:15">
      <c r="A90" s="141" t="s">
        <v>419</v>
      </c>
      <c r="B90" s="141" t="s">
        <v>420</v>
      </c>
      <c r="C90" s="141" t="s">
        <v>372</v>
      </c>
      <c r="D90" s="141" t="s">
        <v>238</v>
      </c>
      <c r="E90" s="141" t="s">
        <v>239</v>
      </c>
      <c r="F90" s="141">
        <v>208</v>
      </c>
      <c r="G90" s="142">
        <v>25</v>
      </c>
      <c r="H90" s="142">
        <v>0</v>
      </c>
      <c r="I90" s="142">
        <v>11</v>
      </c>
      <c r="J90" s="142">
        <v>2</v>
      </c>
      <c r="K90" s="142">
        <v>0</v>
      </c>
      <c r="L90" s="142">
        <v>0</v>
      </c>
      <c r="M90" s="141">
        <v>120</v>
      </c>
      <c r="N90" s="141">
        <v>2</v>
      </c>
      <c r="O90" s="87"/>
    </row>
    <row r="91" spans="1:15">
      <c r="A91" s="141" t="s">
        <v>421</v>
      </c>
      <c r="B91" s="141" t="s">
        <v>422</v>
      </c>
      <c r="C91" s="141" t="s">
        <v>372</v>
      </c>
      <c r="D91" s="141" t="s">
        <v>238</v>
      </c>
      <c r="E91" s="141" t="s">
        <v>239</v>
      </c>
      <c r="F91" s="141">
        <v>193</v>
      </c>
      <c r="G91" s="142">
        <v>20</v>
      </c>
      <c r="H91" s="142">
        <v>9</v>
      </c>
      <c r="I91" s="142">
        <v>11</v>
      </c>
      <c r="J91" s="142">
        <v>2.2000000000000002</v>
      </c>
      <c r="K91" s="142">
        <v>1.4</v>
      </c>
      <c r="L91" s="142">
        <v>0.5</v>
      </c>
      <c r="M91" s="141">
        <v>9</v>
      </c>
      <c r="N91" s="141">
        <v>3</v>
      </c>
      <c r="O91" s="87"/>
    </row>
    <row r="92" spans="1:15">
      <c r="A92" s="141" t="s">
        <v>423</v>
      </c>
      <c r="B92" s="141" t="s">
        <v>424</v>
      </c>
      <c r="C92" s="141" t="s">
        <v>372</v>
      </c>
      <c r="D92" s="141" t="s">
        <v>238</v>
      </c>
      <c r="E92" s="141" t="s">
        <v>239</v>
      </c>
      <c r="F92" s="141">
        <v>170</v>
      </c>
      <c r="G92" s="142">
        <v>26</v>
      </c>
      <c r="H92" s="142">
        <v>0</v>
      </c>
      <c r="I92" s="142">
        <v>7</v>
      </c>
      <c r="J92" s="142">
        <v>3</v>
      </c>
      <c r="K92" s="142">
        <v>0</v>
      </c>
      <c r="L92" s="142">
        <v>0</v>
      </c>
      <c r="M92" s="141">
        <v>72</v>
      </c>
      <c r="N92" s="141">
        <v>2</v>
      </c>
      <c r="O92" s="87"/>
    </row>
    <row r="93" spans="1:15">
      <c r="A93" s="141" t="s">
        <v>425</v>
      </c>
      <c r="B93" s="141" t="s">
        <v>426</v>
      </c>
      <c r="C93" s="141" t="s">
        <v>372</v>
      </c>
      <c r="D93" s="141" t="s">
        <v>238</v>
      </c>
      <c r="E93" s="141" t="s">
        <v>239</v>
      </c>
      <c r="F93" s="141">
        <v>76</v>
      </c>
      <c r="G93" s="142">
        <v>8</v>
      </c>
      <c r="H93" s="142">
        <v>1.9</v>
      </c>
      <c r="I93" s="142">
        <v>4.8</v>
      </c>
      <c r="J93" s="142">
        <v>0.7</v>
      </c>
      <c r="K93" s="142">
        <v>0.3</v>
      </c>
      <c r="L93" s="142">
        <v>0.3</v>
      </c>
      <c r="M93" s="141">
        <v>7</v>
      </c>
      <c r="N93" s="141">
        <v>2</v>
      </c>
      <c r="O93" s="87"/>
    </row>
    <row r="94" spans="1:15">
      <c r="A94" s="141" t="s">
        <v>427</v>
      </c>
      <c r="B94" s="141" t="s">
        <v>428</v>
      </c>
      <c r="C94" s="141" t="s">
        <v>429</v>
      </c>
      <c r="D94" s="141" t="s">
        <v>238</v>
      </c>
      <c r="E94" s="141" t="s">
        <v>239</v>
      </c>
      <c r="F94" s="141">
        <v>60</v>
      </c>
      <c r="G94" s="142">
        <v>3.5</v>
      </c>
      <c r="H94" s="142">
        <v>4.8</v>
      </c>
      <c r="I94" s="142">
        <v>3.3</v>
      </c>
      <c r="J94" s="142">
        <v>2.1</v>
      </c>
      <c r="K94" s="142">
        <v>0</v>
      </c>
      <c r="L94" s="142">
        <v>4.8</v>
      </c>
      <c r="M94" s="141">
        <v>40</v>
      </c>
      <c r="N94" s="141">
        <v>4</v>
      </c>
      <c r="O94" s="87"/>
    </row>
    <row r="95" spans="1:15">
      <c r="A95" s="141" t="s">
        <v>430</v>
      </c>
      <c r="B95" s="141" t="s">
        <v>431</v>
      </c>
      <c r="C95" s="141" t="s">
        <v>429</v>
      </c>
      <c r="D95" s="141" t="s">
        <v>238</v>
      </c>
      <c r="E95" s="141" t="s">
        <v>239</v>
      </c>
      <c r="F95" s="141">
        <v>42</v>
      </c>
      <c r="G95" s="142">
        <v>3.4</v>
      </c>
      <c r="H95" s="142">
        <v>5</v>
      </c>
      <c r="I95" s="142">
        <v>1</v>
      </c>
      <c r="J95" s="142">
        <v>0.6</v>
      </c>
      <c r="K95" s="142">
        <v>0</v>
      </c>
      <c r="L95" s="142">
        <v>5</v>
      </c>
      <c r="M95" s="141">
        <v>44</v>
      </c>
      <c r="N95" s="141">
        <v>2</v>
      </c>
      <c r="O95" s="87"/>
    </row>
    <row r="96" spans="1:15">
      <c r="A96" s="141" t="s">
        <v>432</v>
      </c>
      <c r="B96" s="141" t="s">
        <v>433</v>
      </c>
      <c r="C96" s="141" t="s">
        <v>429</v>
      </c>
      <c r="D96" s="141" t="s">
        <v>238</v>
      </c>
      <c r="E96" s="141" t="s">
        <v>239</v>
      </c>
      <c r="F96" s="141">
        <v>280</v>
      </c>
      <c r="G96" s="142">
        <v>28</v>
      </c>
      <c r="H96" s="142">
        <v>3</v>
      </c>
      <c r="I96" s="142">
        <v>17</v>
      </c>
      <c r="J96" s="142">
        <v>10</v>
      </c>
      <c r="K96" s="142">
        <v>0</v>
      </c>
      <c r="L96" s="142">
        <v>1</v>
      </c>
      <c r="M96" s="141">
        <v>620</v>
      </c>
      <c r="N96" s="141">
        <v>6</v>
      </c>
      <c r="O96" s="87"/>
    </row>
    <row r="97" spans="1:15">
      <c r="A97" s="141" t="s">
        <v>434</v>
      </c>
      <c r="B97" s="141" t="s">
        <v>435</v>
      </c>
      <c r="C97" s="141" t="s">
        <v>429</v>
      </c>
      <c r="D97" s="141" t="s">
        <v>238</v>
      </c>
      <c r="E97" s="141" t="s">
        <v>239</v>
      </c>
      <c r="F97" s="141">
        <v>380</v>
      </c>
      <c r="G97" s="142">
        <v>29</v>
      </c>
      <c r="H97" s="142">
        <v>4</v>
      </c>
      <c r="I97" s="142">
        <v>29</v>
      </c>
      <c r="J97" s="142">
        <v>18</v>
      </c>
      <c r="K97" s="142">
        <v>0</v>
      </c>
      <c r="L97" s="142">
        <v>0.5</v>
      </c>
      <c r="M97" s="141">
        <v>300</v>
      </c>
      <c r="N97" s="141">
        <v>6</v>
      </c>
      <c r="O97" s="87"/>
    </row>
    <row r="98" spans="1:15">
      <c r="A98" s="141" t="s">
        <v>436</v>
      </c>
      <c r="B98" s="141" t="s">
        <v>437</v>
      </c>
      <c r="C98" s="141" t="s">
        <v>429</v>
      </c>
      <c r="D98" s="141" t="s">
        <v>238</v>
      </c>
      <c r="E98" s="141" t="s">
        <v>239</v>
      </c>
      <c r="F98" s="141">
        <v>98</v>
      </c>
      <c r="G98" s="142">
        <v>11</v>
      </c>
      <c r="H98" s="142">
        <v>3</v>
      </c>
      <c r="I98" s="142">
        <v>4</v>
      </c>
      <c r="J98" s="142">
        <v>2.5</v>
      </c>
      <c r="K98" s="142">
        <v>0</v>
      </c>
      <c r="L98" s="142">
        <v>3</v>
      </c>
      <c r="M98" s="141">
        <v>400</v>
      </c>
      <c r="N98" s="141">
        <v>4</v>
      </c>
      <c r="O98" s="87"/>
    </row>
    <row r="99" spans="1:15">
      <c r="A99" s="141" t="s">
        <v>438</v>
      </c>
      <c r="B99" s="141" t="s">
        <v>439</v>
      </c>
      <c r="C99" s="141" t="s">
        <v>429</v>
      </c>
      <c r="D99" s="141" t="s">
        <v>238</v>
      </c>
      <c r="E99" s="141" t="s">
        <v>239</v>
      </c>
      <c r="F99" s="141">
        <v>120</v>
      </c>
      <c r="G99" s="142">
        <v>10</v>
      </c>
      <c r="H99" s="142">
        <v>4</v>
      </c>
      <c r="I99" s="142">
        <v>8</v>
      </c>
      <c r="J99" s="142">
        <v>5</v>
      </c>
      <c r="K99" s="142">
        <v>0</v>
      </c>
      <c r="L99" s="142">
        <v>4</v>
      </c>
      <c r="M99" s="141">
        <v>40</v>
      </c>
      <c r="N99" s="141">
        <v>4</v>
      </c>
      <c r="O99" s="87"/>
    </row>
    <row r="100" spans="1:15">
      <c r="A100" s="141" t="s">
        <v>440</v>
      </c>
      <c r="B100" s="141" t="s">
        <v>441</v>
      </c>
      <c r="C100" s="141" t="s">
        <v>429</v>
      </c>
      <c r="D100" s="141" t="s">
        <v>238</v>
      </c>
      <c r="E100" s="141" t="s">
        <v>239</v>
      </c>
      <c r="F100" s="141">
        <v>60</v>
      </c>
      <c r="G100" s="142">
        <v>4</v>
      </c>
      <c r="H100" s="142">
        <v>5</v>
      </c>
      <c r="I100" s="142">
        <v>3</v>
      </c>
      <c r="J100" s="142">
        <v>2</v>
      </c>
      <c r="K100" s="142">
        <v>0</v>
      </c>
      <c r="L100" s="142">
        <v>5</v>
      </c>
      <c r="M100" s="141">
        <v>36</v>
      </c>
      <c r="N100" s="141">
        <v>3</v>
      </c>
      <c r="O100" s="87"/>
    </row>
    <row r="101" spans="1:15">
      <c r="A101" s="141" t="s">
        <v>442</v>
      </c>
      <c r="B101" s="141" t="s">
        <v>443</v>
      </c>
      <c r="C101" s="141" t="s">
        <v>444</v>
      </c>
      <c r="D101" s="141" t="s">
        <v>238</v>
      </c>
      <c r="E101" s="141" t="s">
        <v>239</v>
      </c>
      <c r="F101" s="141">
        <v>900</v>
      </c>
      <c r="G101" s="142">
        <v>0</v>
      </c>
      <c r="H101" s="142">
        <v>0</v>
      </c>
      <c r="I101" s="142">
        <v>100</v>
      </c>
      <c r="J101" s="142">
        <v>14</v>
      </c>
      <c r="K101" s="142">
        <v>0</v>
      </c>
      <c r="L101" s="142">
        <v>0</v>
      </c>
      <c r="M101" s="141">
        <v>0</v>
      </c>
      <c r="N101" s="141">
        <v>2</v>
      </c>
      <c r="O101" s="87"/>
    </row>
    <row r="102" spans="1:15">
      <c r="A102" s="141" t="s">
        <v>445</v>
      </c>
      <c r="B102" s="141" t="s">
        <v>446</v>
      </c>
      <c r="C102" s="141" t="s">
        <v>444</v>
      </c>
      <c r="D102" s="141" t="s">
        <v>238</v>
      </c>
      <c r="E102" s="141" t="s">
        <v>239</v>
      </c>
      <c r="F102" s="141">
        <v>145</v>
      </c>
      <c r="G102" s="142">
        <v>1</v>
      </c>
      <c r="H102" s="142">
        <v>3.8</v>
      </c>
      <c r="I102" s="142">
        <v>15.3</v>
      </c>
      <c r="J102" s="142">
        <v>2</v>
      </c>
      <c r="K102" s="142">
        <v>3.3</v>
      </c>
      <c r="L102" s="142">
        <v>0</v>
      </c>
      <c r="M102" s="141">
        <v>735</v>
      </c>
      <c r="N102" s="141">
        <v>6</v>
      </c>
      <c r="O102" s="87"/>
    </row>
    <row r="103" spans="1:15">
      <c r="A103" s="141" t="s">
        <v>447</v>
      </c>
      <c r="B103" s="141" t="s">
        <v>448</v>
      </c>
      <c r="C103" s="141" t="s">
        <v>444</v>
      </c>
      <c r="D103" s="141" t="s">
        <v>238</v>
      </c>
      <c r="E103" s="141" t="s">
        <v>239</v>
      </c>
      <c r="F103" s="141">
        <v>579</v>
      </c>
      <c r="G103" s="142">
        <v>21</v>
      </c>
      <c r="H103" s="142">
        <v>22</v>
      </c>
      <c r="I103" s="142">
        <v>50</v>
      </c>
      <c r="J103" s="142">
        <v>3.8</v>
      </c>
      <c r="K103" s="142">
        <v>12.5</v>
      </c>
      <c r="L103" s="142">
        <v>4.4000000000000004</v>
      </c>
      <c r="M103" s="141">
        <v>1</v>
      </c>
      <c r="N103" s="141">
        <v>1</v>
      </c>
      <c r="O103" s="87"/>
    </row>
    <row r="104" spans="1:15">
      <c r="A104" s="141" t="s">
        <v>449</v>
      </c>
      <c r="B104" s="141" t="s">
        <v>450</v>
      </c>
      <c r="C104" s="141" t="s">
        <v>444</v>
      </c>
      <c r="D104" s="141" t="s">
        <v>238</v>
      </c>
      <c r="E104" s="141" t="s">
        <v>239</v>
      </c>
      <c r="F104" s="141">
        <v>567</v>
      </c>
      <c r="G104" s="142">
        <v>26</v>
      </c>
      <c r="H104" s="142">
        <v>16</v>
      </c>
      <c r="I104" s="142">
        <v>49</v>
      </c>
      <c r="J104" s="142">
        <v>7</v>
      </c>
      <c r="K104" s="142">
        <v>8.5</v>
      </c>
      <c r="L104" s="142">
        <v>4.7</v>
      </c>
      <c r="M104" s="141">
        <v>18</v>
      </c>
      <c r="N104" s="141">
        <v>3</v>
      </c>
      <c r="O104" s="87"/>
    </row>
    <row r="105" spans="1:15">
      <c r="A105" s="141" t="s">
        <v>451</v>
      </c>
      <c r="B105" s="141" t="s">
        <v>452</v>
      </c>
      <c r="C105" s="141" t="s">
        <v>444</v>
      </c>
      <c r="D105" s="141" t="s">
        <v>238</v>
      </c>
      <c r="E105" s="141" t="s">
        <v>239</v>
      </c>
      <c r="F105" s="141">
        <v>600</v>
      </c>
      <c r="G105" s="142">
        <v>18</v>
      </c>
      <c r="H105" s="142">
        <v>16</v>
      </c>
      <c r="I105" s="142">
        <v>55</v>
      </c>
      <c r="J105" s="142">
        <v>7</v>
      </c>
      <c r="K105" s="142">
        <v>8</v>
      </c>
      <c r="L105" s="142">
        <v>4</v>
      </c>
      <c r="M105" s="141">
        <v>5</v>
      </c>
      <c r="N105" s="141">
        <v>3</v>
      </c>
      <c r="O105" s="87"/>
    </row>
    <row r="106" spans="1:15">
      <c r="A106" s="141" t="s">
        <v>453</v>
      </c>
      <c r="B106" s="141" t="s">
        <v>454</v>
      </c>
      <c r="C106" s="141" t="s">
        <v>444</v>
      </c>
      <c r="D106" s="141" t="s">
        <v>238</v>
      </c>
      <c r="E106" s="141" t="s">
        <v>239</v>
      </c>
      <c r="F106" s="141">
        <v>717</v>
      </c>
      <c r="G106" s="142">
        <v>0.9</v>
      </c>
      <c r="H106" s="142">
        <v>0.1</v>
      </c>
      <c r="I106" s="142">
        <v>81</v>
      </c>
      <c r="J106" s="142">
        <v>51</v>
      </c>
      <c r="K106" s="142">
        <v>0</v>
      </c>
      <c r="L106" s="142">
        <v>0.1</v>
      </c>
      <c r="M106" s="141">
        <v>11</v>
      </c>
      <c r="N106" s="141">
        <v>6</v>
      </c>
      <c r="O106" s="87"/>
    </row>
    <row r="107" spans="1:15">
      <c r="A107" s="141" t="s">
        <v>455</v>
      </c>
      <c r="B107" s="141" t="s">
        <v>456</v>
      </c>
      <c r="C107" s="141" t="s">
        <v>444</v>
      </c>
      <c r="D107" s="141" t="s">
        <v>238</v>
      </c>
      <c r="E107" s="141" t="s">
        <v>239</v>
      </c>
      <c r="F107" s="141">
        <v>654</v>
      </c>
      <c r="G107" s="142">
        <v>15</v>
      </c>
      <c r="H107" s="142">
        <v>14</v>
      </c>
      <c r="I107" s="142">
        <v>65</v>
      </c>
      <c r="J107" s="142">
        <v>6</v>
      </c>
      <c r="K107" s="142">
        <v>6.7</v>
      </c>
      <c r="L107" s="142">
        <v>2.6</v>
      </c>
      <c r="M107" s="141">
        <v>2</v>
      </c>
      <c r="N107" s="141">
        <v>1</v>
      </c>
      <c r="O107" s="87"/>
    </row>
    <row r="108" spans="1:15">
      <c r="A108" s="141" t="s">
        <v>457</v>
      </c>
      <c r="B108" s="141" t="s">
        <v>458</v>
      </c>
      <c r="C108" s="141" t="s">
        <v>444</v>
      </c>
      <c r="D108" s="141" t="s">
        <v>238</v>
      </c>
      <c r="E108" s="141" t="s">
        <v>239</v>
      </c>
      <c r="F108" s="141">
        <v>486</v>
      </c>
      <c r="G108" s="142">
        <v>17</v>
      </c>
      <c r="H108" s="142">
        <v>42</v>
      </c>
      <c r="I108" s="142">
        <v>31</v>
      </c>
      <c r="J108" s="142">
        <v>3.3</v>
      </c>
      <c r="K108" s="142">
        <v>34</v>
      </c>
      <c r="L108" s="142">
        <v>0</v>
      </c>
      <c r="M108" s="141">
        <v>16</v>
      </c>
      <c r="N108" s="141">
        <v>1</v>
      </c>
      <c r="O108" s="87"/>
    </row>
    <row r="109" spans="1:15">
      <c r="A109" s="141" t="s">
        <v>459</v>
      </c>
      <c r="B109" s="141" t="s">
        <v>460</v>
      </c>
      <c r="C109" s="141" t="s">
        <v>461</v>
      </c>
      <c r="D109" s="141" t="s">
        <v>238</v>
      </c>
      <c r="E109" s="141" t="s">
        <v>239</v>
      </c>
      <c r="F109" s="141">
        <v>247</v>
      </c>
      <c r="G109" s="142">
        <v>4</v>
      </c>
      <c r="H109" s="142">
        <v>81</v>
      </c>
      <c r="I109" s="142">
        <v>1.2</v>
      </c>
      <c r="J109" s="142">
        <v>0.3</v>
      </c>
      <c r="K109" s="142">
        <v>53</v>
      </c>
      <c r="L109" s="142">
        <v>2.2000000000000002</v>
      </c>
      <c r="M109" s="141">
        <v>10</v>
      </c>
      <c r="N109" s="141">
        <v>2</v>
      </c>
      <c r="O109" s="87"/>
    </row>
    <row r="110" spans="1:15">
      <c r="A110" s="141" t="s">
        <v>462</v>
      </c>
      <c r="B110" s="141" t="s">
        <v>463</v>
      </c>
      <c r="C110" s="141" t="s">
        <v>461</v>
      </c>
      <c r="D110" s="141" t="s">
        <v>238</v>
      </c>
      <c r="E110" s="141" t="s">
        <v>239</v>
      </c>
      <c r="F110" s="141">
        <v>375</v>
      </c>
      <c r="G110" s="142">
        <v>18</v>
      </c>
      <c r="H110" s="142">
        <v>44</v>
      </c>
      <c r="I110" s="142">
        <v>22</v>
      </c>
      <c r="J110" s="142">
        <v>1.5</v>
      </c>
      <c r="K110" s="142">
        <v>10.5</v>
      </c>
      <c r="L110" s="142">
        <v>2.2999999999999998</v>
      </c>
      <c r="M110" s="141">
        <v>168</v>
      </c>
      <c r="N110" s="141">
        <v>2</v>
      </c>
      <c r="O110" s="87"/>
    </row>
    <row r="111" spans="1:15">
      <c r="A111" s="141" t="s">
        <v>464</v>
      </c>
      <c r="B111" s="141" t="s">
        <v>465</v>
      </c>
      <c r="C111" s="141" t="s">
        <v>461</v>
      </c>
      <c r="D111" s="141" t="s">
        <v>238</v>
      </c>
      <c r="E111" s="141" t="s">
        <v>239</v>
      </c>
      <c r="F111" s="141">
        <v>325</v>
      </c>
      <c r="G111" s="142">
        <v>14</v>
      </c>
      <c r="H111" s="142">
        <v>58</v>
      </c>
      <c r="I111" s="142">
        <v>14</v>
      </c>
      <c r="J111" s="142">
        <v>2.1</v>
      </c>
      <c r="K111" s="142">
        <v>33</v>
      </c>
      <c r="L111" s="142">
        <v>2.8</v>
      </c>
      <c r="M111" s="141">
        <v>52</v>
      </c>
      <c r="N111" s="141">
        <v>3</v>
      </c>
      <c r="O111" s="87"/>
    </row>
    <row r="112" spans="1:15">
      <c r="A112" s="141" t="s">
        <v>466</v>
      </c>
      <c r="B112" s="141" t="s">
        <v>467</v>
      </c>
      <c r="C112" s="141" t="s">
        <v>461</v>
      </c>
      <c r="D112" s="141" t="s">
        <v>238</v>
      </c>
      <c r="E112" s="141" t="s">
        <v>239</v>
      </c>
      <c r="F112" s="141">
        <v>66</v>
      </c>
      <c r="G112" s="142">
        <v>4.4000000000000004</v>
      </c>
      <c r="H112" s="142">
        <v>5.8</v>
      </c>
      <c r="I112" s="142">
        <v>4.4000000000000004</v>
      </c>
      <c r="J112" s="142">
        <v>0.2</v>
      </c>
      <c r="K112" s="142">
        <v>3.3</v>
      </c>
      <c r="L112" s="142">
        <v>1.8</v>
      </c>
      <c r="M112" s="141">
        <v>1135</v>
      </c>
      <c r="N112" s="141">
        <v>7</v>
      </c>
      <c r="O112" s="87"/>
    </row>
    <row r="113" spans="1:15">
      <c r="A113" s="141" t="s">
        <v>468</v>
      </c>
      <c r="B113" s="141" t="s">
        <v>469</v>
      </c>
      <c r="C113" s="141" t="s">
        <v>461</v>
      </c>
      <c r="D113" s="141" t="s">
        <v>238</v>
      </c>
      <c r="E113" s="141" t="s">
        <v>239</v>
      </c>
      <c r="F113" s="141">
        <v>265</v>
      </c>
      <c r="G113" s="142">
        <v>9</v>
      </c>
      <c r="H113" s="142">
        <v>69</v>
      </c>
      <c r="I113" s="142">
        <v>4.3</v>
      </c>
      <c r="J113" s="142">
        <v>1.6</v>
      </c>
      <c r="K113" s="142">
        <v>42</v>
      </c>
      <c r="L113" s="142">
        <v>4.0999999999999996</v>
      </c>
      <c r="M113" s="141">
        <v>25</v>
      </c>
      <c r="N113" s="141">
        <v>2</v>
      </c>
      <c r="O113" s="87"/>
    </row>
    <row r="114" spans="1:15">
      <c r="A114" s="141" t="s">
        <v>470</v>
      </c>
      <c r="B114" s="141" t="s">
        <v>471</v>
      </c>
      <c r="C114" s="141" t="s">
        <v>461</v>
      </c>
      <c r="D114" s="141" t="s">
        <v>238</v>
      </c>
      <c r="E114" s="141" t="s">
        <v>239</v>
      </c>
      <c r="F114" s="141">
        <v>282</v>
      </c>
      <c r="G114" s="142">
        <v>14</v>
      </c>
      <c r="H114" s="142">
        <v>54</v>
      </c>
      <c r="I114" s="142">
        <v>13</v>
      </c>
      <c r="J114" s="142">
        <v>2.1</v>
      </c>
      <c r="K114" s="142">
        <v>35</v>
      </c>
      <c r="L114" s="142">
        <v>10.3</v>
      </c>
      <c r="M114" s="141">
        <v>68</v>
      </c>
      <c r="N114" s="141">
        <v>2</v>
      </c>
      <c r="O114" s="87"/>
    </row>
    <row r="115" spans="1:15">
      <c r="A115" s="141" t="s">
        <v>472</v>
      </c>
      <c r="B115" s="141" t="s">
        <v>473</v>
      </c>
      <c r="C115" s="141" t="s">
        <v>461</v>
      </c>
      <c r="D115" s="141" t="s">
        <v>238</v>
      </c>
      <c r="E115" s="141" t="s">
        <v>239</v>
      </c>
      <c r="F115" s="141">
        <v>251</v>
      </c>
      <c r="G115" s="142">
        <v>10.4</v>
      </c>
      <c r="H115" s="142">
        <v>64</v>
      </c>
      <c r="I115" s="142">
        <v>3.3</v>
      </c>
      <c r="J115" s="142">
        <v>1.4</v>
      </c>
      <c r="K115" s="142">
        <v>26.5</v>
      </c>
      <c r="L115" s="142">
        <v>0.6</v>
      </c>
      <c r="M115" s="141">
        <v>20</v>
      </c>
      <c r="N115" s="141">
        <v>2</v>
      </c>
      <c r="O115" s="87"/>
    </row>
    <row r="116" spans="1:15">
      <c r="A116" s="141" t="s">
        <v>474</v>
      </c>
      <c r="B116" s="141" t="s">
        <v>475</v>
      </c>
      <c r="C116" s="141" t="s">
        <v>461</v>
      </c>
      <c r="D116" s="141" t="s">
        <v>238</v>
      </c>
      <c r="E116" s="141" t="s">
        <v>239</v>
      </c>
      <c r="F116" s="141">
        <v>0</v>
      </c>
      <c r="G116" s="142">
        <v>0</v>
      </c>
      <c r="H116" s="142">
        <v>0</v>
      </c>
      <c r="I116" s="142">
        <v>0</v>
      </c>
      <c r="J116" s="142">
        <v>0</v>
      </c>
      <c r="K116" s="142">
        <v>0</v>
      </c>
      <c r="L116" s="142">
        <v>0</v>
      </c>
      <c r="M116" s="141">
        <v>38758</v>
      </c>
      <c r="N116" s="141">
        <v>3</v>
      </c>
      <c r="O116" s="87"/>
    </row>
    <row r="117" spans="1:15">
      <c r="A117" s="141" t="s">
        <v>476</v>
      </c>
      <c r="B117" s="141" t="s">
        <v>477</v>
      </c>
      <c r="C117" s="141" t="s">
        <v>461</v>
      </c>
      <c r="D117" s="141" t="s">
        <v>238</v>
      </c>
      <c r="E117" s="141" t="s">
        <v>239</v>
      </c>
      <c r="F117" s="141">
        <v>18</v>
      </c>
      <c r="G117" s="142">
        <v>0</v>
      </c>
      <c r="H117" s="142">
        <v>0.04</v>
      </c>
      <c r="I117" s="142">
        <v>0</v>
      </c>
      <c r="J117" s="142">
        <v>0</v>
      </c>
      <c r="K117" s="142">
        <v>0</v>
      </c>
      <c r="L117" s="142">
        <v>0.04</v>
      </c>
      <c r="M117" s="141">
        <v>2</v>
      </c>
      <c r="N117" s="141">
        <v>2</v>
      </c>
      <c r="O117" s="87"/>
    </row>
    <row r="118" spans="1:15">
      <c r="A118" s="141" t="s">
        <v>478</v>
      </c>
      <c r="B118" s="141" t="s">
        <v>479</v>
      </c>
      <c r="C118" s="141" t="s">
        <v>461</v>
      </c>
      <c r="D118" s="141" t="s">
        <v>238</v>
      </c>
      <c r="E118" s="141" t="s">
        <v>239</v>
      </c>
      <c r="F118" s="141">
        <v>88</v>
      </c>
      <c r="G118" s="142">
        <v>0.5</v>
      </c>
      <c r="H118" s="142">
        <v>17</v>
      </c>
      <c r="I118" s="142">
        <v>0</v>
      </c>
      <c r="J118" s="142">
        <v>0</v>
      </c>
      <c r="K118" s="142">
        <v>0</v>
      </c>
      <c r="L118" s="142">
        <v>15</v>
      </c>
      <c r="M118" s="141">
        <v>23</v>
      </c>
      <c r="N118" s="141">
        <v>4</v>
      </c>
      <c r="O118" s="87"/>
    </row>
    <row r="119" spans="1:15">
      <c r="A119" s="141" t="s">
        <v>480</v>
      </c>
      <c r="B119" s="141" t="s">
        <v>481</v>
      </c>
      <c r="C119" s="141" t="s">
        <v>461</v>
      </c>
      <c r="D119" s="141" t="s">
        <v>238</v>
      </c>
      <c r="E119" s="141" t="s">
        <v>239</v>
      </c>
      <c r="F119" s="141">
        <v>304</v>
      </c>
      <c r="G119" s="142">
        <v>0.3</v>
      </c>
      <c r="H119" s="142">
        <v>82.4</v>
      </c>
      <c r="I119" s="142">
        <v>0</v>
      </c>
      <c r="J119" s="142">
        <v>0</v>
      </c>
      <c r="K119" s="142">
        <v>0.2</v>
      </c>
      <c r="L119" s="142">
        <v>82.1</v>
      </c>
      <c r="M119" s="141">
        <v>4</v>
      </c>
      <c r="N119" s="141">
        <v>2</v>
      </c>
      <c r="O119" s="87"/>
    </row>
    <row r="120" spans="1:15">
      <c r="A120" s="141" t="s">
        <v>482</v>
      </c>
      <c r="B120" s="141" t="s">
        <v>483</v>
      </c>
      <c r="C120" s="141" t="s">
        <v>484</v>
      </c>
      <c r="D120" s="141" t="s">
        <v>395</v>
      </c>
      <c r="E120" s="141" t="s">
        <v>396</v>
      </c>
      <c r="F120" s="141">
        <v>0</v>
      </c>
      <c r="G120" s="142">
        <v>0</v>
      </c>
      <c r="H120" s="142">
        <v>0</v>
      </c>
      <c r="I120" s="142">
        <v>0</v>
      </c>
      <c r="J120" s="142">
        <v>0</v>
      </c>
      <c r="K120" s="142">
        <v>0</v>
      </c>
      <c r="L120" s="142">
        <v>0</v>
      </c>
      <c r="M120" s="141">
        <v>5</v>
      </c>
      <c r="N120" s="141">
        <v>1</v>
      </c>
      <c r="O120" s="87"/>
    </row>
    <row r="121" spans="1:15">
      <c r="A121" s="141" t="s">
        <v>485</v>
      </c>
      <c r="B121" s="141" t="s">
        <v>486</v>
      </c>
      <c r="C121" s="141" t="s">
        <v>484</v>
      </c>
      <c r="D121" s="141" t="s">
        <v>395</v>
      </c>
      <c r="E121" s="141" t="s">
        <v>396</v>
      </c>
      <c r="F121" s="141">
        <v>0</v>
      </c>
      <c r="G121" s="142">
        <v>0</v>
      </c>
      <c r="H121" s="142">
        <v>0</v>
      </c>
      <c r="I121" s="142">
        <v>0</v>
      </c>
      <c r="J121" s="142">
        <v>0</v>
      </c>
      <c r="K121" s="142">
        <v>0</v>
      </c>
      <c r="L121" s="142">
        <v>0</v>
      </c>
      <c r="M121" s="141">
        <v>5</v>
      </c>
      <c r="N121" s="141">
        <v>1</v>
      </c>
      <c r="O121" s="87"/>
    </row>
    <row r="122" spans="1:15">
      <c r="A122" s="141" t="s">
        <v>487</v>
      </c>
      <c r="B122" s="141" t="s">
        <v>488</v>
      </c>
      <c r="C122" s="141" t="s">
        <v>237</v>
      </c>
      <c r="D122" s="141" t="s">
        <v>238</v>
      </c>
      <c r="E122" s="141" t="s">
        <v>239</v>
      </c>
      <c r="F122" s="141">
        <v>20</v>
      </c>
      <c r="G122" s="142">
        <v>1.2</v>
      </c>
      <c r="H122" s="142">
        <v>3.5</v>
      </c>
      <c r="I122" s="142">
        <v>0.2</v>
      </c>
      <c r="J122" s="142">
        <v>0</v>
      </c>
      <c r="K122" s="142">
        <v>1.5</v>
      </c>
      <c r="L122" s="142">
        <v>1.8</v>
      </c>
      <c r="M122" s="141">
        <v>25</v>
      </c>
      <c r="N122" s="141">
        <v>1</v>
      </c>
      <c r="O122" s="87"/>
    </row>
    <row r="123" spans="1:15">
      <c r="A123" s="141" t="s">
        <v>489</v>
      </c>
      <c r="B123" s="141" t="s">
        <v>490</v>
      </c>
      <c r="C123" s="141" t="s">
        <v>296</v>
      </c>
      <c r="D123" s="141" t="s">
        <v>238</v>
      </c>
      <c r="E123" s="141" t="s">
        <v>239</v>
      </c>
      <c r="F123" s="141">
        <v>55</v>
      </c>
      <c r="G123" s="142">
        <v>0.7</v>
      </c>
      <c r="H123" s="142">
        <v>13</v>
      </c>
      <c r="I123" s="142">
        <v>0.2</v>
      </c>
      <c r="J123" s="142">
        <v>0</v>
      </c>
      <c r="K123" s="142">
        <v>2</v>
      </c>
      <c r="L123" s="142">
        <v>10</v>
      </c>
      <c r="M123" s="141">
        <v>2</v>
      </c>
      <c r="N123" s="141">
        <v>1</v>
      </c>
      <c r="O123" s="87"/>
    </row>
    <row r="124" spans="1:15">
      <c r="A124" s="141" t="s">
        <v>491</v>
      </c>
      <c r="B124" s="141" t="s">
        <v>492</v>
      </c>
      <c r="C124" s="141" t="s">
        <v>237</v>
      </c>
      <c r="D124" s="141" t="s">
        <v>238</v>
      </c>
      <c r="E124" s="141" t="s">
        <v>239</v>
      </c>
      <c r="F124" s="141">
        <v>30</v>
      </c>
      <c r="G124" s="142">
        <v>2</v>
      </c>
      <c r="H124" s="142">
        <v>6</v>
      </c>
      <c r="I124" s="142">
        <v>0.3</v>
      </c>
      <c r="J124" s="142">
        <v>0</v>
      </c>
      <c r="K124" s="142">
        <v>2</v>
      </c>
      <c r="L124" s="142">
        <v>3</v>
      </c>
      <c r="M124" s="141">
        <v>20</v>
      </c>
      <c r="N124" s="141">
        <v>1</v>
      </c>
      <c r="O124" s="87"/>
    </row>
    <row r="125" spans="1:15">
      <c r="A125" s="141" t="s">
        <v>493</v>
      </c>
      <c r="B125" s="141" t="s">
        <v>494</v>
      </c>
      <c r="C125" s="141" t="s">
        <v>372</v>
      </c>
      <c r="D125" s="141" t="s">
        <v>238</v>
      </c>
      <c r="E125" s="141" t="s">
        <v>239</v>
      </c>
      <c r="F125" s="141">
        <v>250</v>
      </c>
      <c r="G125" s="142">
        <v>33</v>
      </c>
      <c r="H125" s="142">
        <v>0</v>
      </c>
      <c r="I125" s="142">
        <v>13</v>
      </c>
      <c r="J125" s="142">
        <v>4.5</v>
      </c>
      <c r="K125" s="142">
        <v>0</v>
      </c>
      <c r="L125" s="142">
        <v>0</v>
      </c>
      <c r="M125" s="141">
        <v>1800</v>
      </c>
      <c r="N125" s="141">
        <v>7</v>
      </c>
      <c r="O125" s="87"/>
    </row>
    <row r="126" spans="1:15">
      <c r="A126" s="141" t="s">
        <v>495</v>
      </c>
      <c r="B126" s="141" t="s">
        <v>496</v>
      </c>
      <c r="C126" s="141" t="s">
        <v>372</v>
      </c>
      <c r="D126" s="141" t="s">
        <v>238</v>
      </c>
      <c r="E126" s="141" t="s">
        <v>239</v>
      </c>
      <c r="F126" s="141">
        <v>110</v>
      </c>
      <c r="G126" s="142">
        <v>18</v>
      </c>
      <c r="H126" s="142">
        <v>2</v>
      </c>
      <c r="I126" s="142">
        <v>3</v>
      </c>
      <c r="J126" s="142">
        <v>1</v>
      </c>
      <c r="K126" s="142">
        <v>0</v>
      </c>
      <c r="L126" s="142">
        <v>1</v>
      </c>
      <c r="M126" s="141">
        <v>1000</v>
      </c>
      <c r="N126" s="141">
        <v>7</v>
      </c>
      <c r="O126" s="87"/>
    </row>
    <row r="127" spans="1:15">
      <c r="A127" s="141" t="s">
        <v>497</v>
      </c>
      <c r="B127" s="141" t="s">
        <v>498</v>
      </c>
      <c r="C127" s="141" t="s">
        <v>499</v>
      </c>
      <c r="D127" s="141" t="s">
        <v>238</v>
      </c>
      <c r="E127" s="141" t="s">
        <v>239</v>
      </c>
      <c r="F127" s="141">
        <v>536</v>
      </c>
      <c r="G127" s="142">
        <v>7</v>
      </c>
      <c r="H127" s="142">
        <v>53</v>
      </c>
      <c r="I127" s="142">
        <v>35</v>
      </c>
      <c r="J127" s="142">
        <v>5</v>
      </c>
      <c r="K127" s="142">
        <v>4</v>
      </c>
      <c r="L127" s="142">
        <v>0.5</v>
      </c>
      <c r="M127" s="141">
        <v>525</v>
      </c>
      <c r="N127" s="141">
        <v>9</v>
      </c>
      <c r="O127" s="87"/>
    </row>
    <row r="128" spans="1:15">
      <c r="A128" s="141" t="s">
        <v>500</v>
      </c>
      <c r="B128" s="141" t="s">
        <v>501</v>
      </c>
      <c r="C128" s="141" t="s">
        <v>237</v>
      </c>
      <c r="D128" s="141" t="s">
        <v>238</v>
      </c>
      <c r="E128" s="141" t="s">
        <v>239</v>
      </c>
      <c r="F128" s="141">
        <v>11</v>
      </c>
      <c r="G128" s="142">
        <v>0.5</v>
      </c>
      <c r="H128" s="142">
        <v>2.2999999999999998</v>
      </c>
      <c r="I128" s="142">
        <v>0.2</v>
      </c>
      <c r="J128" s="142">
        <v>0</v>
      </c>
      <c r="K128" s="142">
        <v>1.2</v>
      </c>
      <c r="L128" s="142">
        <v>1.2</v>
      </c>
      <c r="M128" s="141">
        <v>1200</v>
      </c>
      <c r="N128" s="141">
        <v>6</v>
      </c>
      <c r="O128" s="87"/>
    </row>
    <row r="129" spans="1:15">
      <c r="A129" s="141" t="s">
        <v>502</v>
      </c>
      <c r="B129" s="141" t="s">
        <v>503</v>
      </c>
      <c r="C129" s="141" t="s">
        <v>372</v>
      </c>
      <c r="D129" s="141" t="s">
        <v>238</v>
      </c>
      <c r="E129" s="141" t="s">
        <v>239</v>
      </c>
      <c r="F129" s="141">
        <v>117</v>
      </c>
      <c r="G129" s="142">
        <v>18.3</v>
      </c>
      <c r="H129" s="142">
        <v>0</v>
      </c>
      <c r="I129" s="142">
        <v>4.3</v>
      </c>
      <c r="J129" s="142">
        <v>0.9</v>
      </c>
      <c r="K129" s="142">
        <v>0</v>
      </c>
      <c r="L129" s="142">
        <v>0</v>
      </c>
      <c r="M129" s="141">
        <v>1200</v>
      </c>
      <c r="N129" s="141">
        <v>7</v>
      </c>
      <c r="O129" s="87"/>
    </row>
    <row r="130" spans="1:15">
      <c r="A130" s="141" t="s">
        <v>504</v>
      </c>
      <c r="B130" s="141" t="s">
        <v>505</v>
      </c>
      <c r="C130" s="141" t="s">
        <v>372</v>
      </c>
      <c r="D130" s="141" t="s">
        <v>238</v>
      </c>
      <c r="E130" s="141" t="s">
        <v>239</v>
      </c>
      <c r="F130" s="141">
        <v>95</v>
      </c>
      <c r="G130" s="142">
        <v>7.5</v>
      </c>
      <c r="H130" s="142">
        <v>15</v>
      </c>
      <c r="I130" s="142">
        <v>0.5</v>
      </c>
      <c r="J130" s="142">
        <v>0.1</v>
      </c>
      <c r="K130" s="142">
        <v>0.5</v>
      </c>
      <c r="L130" s="142">
        <v>6.5</v>
      </c>
      <c r="M130" s="141">
        <v>700</v>
      </c>
      <c r="N130" s="141">
        <v>8</v>
      </c>
      <c r="O130" s="87"/>
    </row>
    <row r="131" spans="1:15">
      <c r="A131" s="141" t="s">
        <v>506</v>
      </c>
      <c r="B131" s="141" t="s">
        <v>507</v>
      </c>
      <c r="C131" s="141" t="s">
        <v>508</v>
      </c>
      <c r="D131" s="141" t="s">
        <v>238</v>
      </c>
      <c r="E131" s="141" t="s">
        <v>239</v>
      </c>
      <c r="F131" s="141">
        <v>400</v>
      </c>
      <c r="G131" s="142">
        <v>80</v>
      </c>
      <c r="H131" s="142">
        <v>8</v>
      </c>
      <c r="I131" s="142">
        <v>6</v>
      </c>
      <c r="J131" s="142">
        <v>2</v>
      </c>
      <c r="K131" s="142">
        <v>2</v>
      </c>
      <c r="L131" s="142">
        <v>3</v>
      </c>
      <c r="M131" s="141">
        <v>500</v>
      </c>
      <c r="N131" s="141">
        <v>7</v>
      </c>
      <c r="O131" s="87"/>
    </row>
    <row r="132" spans="1:15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</row>
    <row r="133" spans="1:15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</row>
    <row r="134" spans="1:15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</row>
    <row r="135" spans="1:15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</row>
    <row r="136" spans="1:15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</row>
    <row r="137" spans="1:15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</row>
    <row r="138" spans="1:15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</row>
    <row r="139" spans="1:15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</row>
    <row r="140" spans="1:15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</row>
    <row r="141" spans="1:15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</row>
    <row r="142" spans="1:15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</row>
    <row r="143" spans="1:15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</row>
    <row r="144" spans="1:15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</row>
    <row r="145" spans="1:15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</row>
    <row r="146" spans="1:15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</row>
    <row r="147" spans="1:15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</row>
    <row r="148" spans="1:15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</row>
    <row r="149" spans="1:15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</row>
    <row r="150" spans="1:15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</row>
    <row r="151" spans="1:15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</row>
    <row r="152" spans="1:15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</row>
    <row r="153" spans="1:15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</row>
    <row r="154" spans="1:15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</row>
    <row r="155" spans="1:15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</row>
    <row r="156" spans="1:15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</row>
    <row r="157" spans="1:15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</row>
    <row r="158" spans="1:15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</row>
    <row r="159" spans="1:15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</row>
    <row r="160" spans="1:15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</row>
    <row r="161" spans="1:15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</row>
    <row r="162" spans="1:15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</row>
    <row r="163" spans="1:15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</row>
    <row r="164" spans="1:15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</row>
    <row r="165" spans="1:1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</row>
    <row r="166" spans="1:15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</row>
    <row r="167" spans="1:15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</row>
    <row r="168" spans="1:15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</row>
    <row r="169" spans="1:15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</row>
    <row r="170" spans="1:15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</row>
    <row r="171" spans="1:15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</row>
    <row r="172" spans="1:15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</row>
    <row r="173" spans="1:15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</row>
    <row r="174" spans="1:15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</row>
    <row r="175" spans="1:1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</row>
    <row r="176" spans="1:15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</row>
    <row r="177" spans="1:15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</row>
    <row r="178" spans="1:15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</row>
    <row r="179" spans="1:15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</row>
    <row r="180" spans="1:15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</row>
    <row r="181" spans="1:15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</row>
    <row r="182" spans="1:15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</row>
    <row r="183" spans="1:15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</row>
    <row r="184" spans="1:15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</row>
    <row r="185" spans="1:1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</row>
    <row r="186" spans="1:15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</row>
    <row r="187" spans="1:15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</row>
    <row r="188" spans="1:15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</row>
    <row r="189" spans="1:15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</row>
    <row r="190" spans="1:15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</row>
    <row r="191" spans="1:15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</row>
    <row r="192" spans="1:15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</row>
    <row r="193" spans="1:15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</row>
    <row r="194" spans="1:15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</row>
    <row r="195" spans="1:1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</row>
    <row r="196" spans="1:15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</row>
    <row r="197" spans="1:15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</row>
    <row r="198" spans="1:15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</row>
    <row r="199" spans="1:15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</row>
    <row r="200" spans="1:15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</row>
    <row r="201" spans="1:15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</row>
    <row r="202" spans="1:15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</row>
    <row r="203" spans="1:15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</row>
    <row r="204" spans="1:15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</row>
    <row r="205" spans="1:1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</row>
    <row r="206" spans="1:15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</row>
    <row r="207" spans="1:15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</row>
    <row r="208" spans="1:15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</row>
    <row r="209" spans="1:15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</row>
    <row r="210" spans="1:15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</row>
    <row r="211" spans="1:15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</row>
    <row r="212" spans="1:15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</row>
    <row r="213" spans="1:15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</row>
    <row r="214" spans="1:15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</row>
    <row r="215" spans="1: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</row>
    <row r="216" spans="1:15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</row>
    <row r="217" spans="1:15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</row>
    <row r="218" spans="1:15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</row>
    <row r="219" spans="1:15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</row>
    <row r="220" spans="1:15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</row>
    <row r="221" spans="1:15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</row>
    <row r="222" spans="1:15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</row>
    <row r="223" spans="1:15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</row>
    <row r="224" spans="1:15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</row>
    <row r="225" spans="1:1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</row>
    <row r="226" spans="1:15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</row>
    <row r="227" spans="1:15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</row>
    <row r="228" spans="1:15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</row>
    <row r="229" spans="1:15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</row>
    <row r="230" spans="1:15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</row>
    <row r="231" spans="1:15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</row>
    <row r="232" spans="1:15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</row>
    <row r="233" spans="1:15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</row>
    <row r="234" spans="1:15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</row>
    <row r="235" spans="1:1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</row>
    <row r="236" spans="1:15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</row>
    <row r="237" spans="1:15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</row>
    <row r="238" spans="1:15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</row>
    <row r="239" spans="1:15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</row>
    <row r="240" spans="1:15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</row>
    <row r="241" spans="1:15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</row>
    <row r="242" spans="1:15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</row>
    <row r="243" spans="1:15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</row>
    <row r="244" spans="1:15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</row>
    <row r="245" spans="1:1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</row>
    <row r="246" spans="1:15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</row>
    <row r="247" spans="1:15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</row>
    <row r="248" spans="1:15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</row>
    <row r="249" spans="1:15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</row>
    <row r="250" spans="1:15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</row>
    <row r="251" spans="1:15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</row>
    <row r="252" spans="1:15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</row>
    <row r="253" spans="1:15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</row>
    <row r="254" spans="1:15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</row>
    <row r="255" spans="1:1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</row>
    <row r="256" spans="1:15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</row>
    <row r="257" spans="1:15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</row>
    <row r="258" spans="1:15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</row>
    <row r="259" spans="1:15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</row>
    <row r="260" spans="1:15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</row>
    <row r="261" spans="1:15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</row>
    <row r="262" spans="1:15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</row>
    <row r="263" spans="1:15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</row>
    <row r="264" spans="1:15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</row>
    <row r="265" spans="1:1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</row>
    <row r="266" spans="1:15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</row>
    <row r="267" spans="1:15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</row>
    <row r="268" spans="1:15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</row>
    <row r="269" spans="1:15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</row>
    <row r="270" spans="1:15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</row>
    <row r="271" spans="1:15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</row>
    <row r="272" spans="1:15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</row>
    <row r="273" spans="1:15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</row>
    <row r="274" spans="1:15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</row>
    <row r="275" spans="1:1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</row>
    <row r="276" spans="1:15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</row>
    <row r="277" spans="1:15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</row>
    <row r="278" spans="1:15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</row>
    <row r="279" spans="1:15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</row>
    <row r="280" spans="1:15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</row>
    <row r="281" spans="1:15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</row>
    <row r="282" spans="1:15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</row>
    <row r="283" spans="1:15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</row>
    <row r="284" spans="1:15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</row>
    <row r="285" spans="1:1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</row>
    <row r="286" spans="1:15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</row>
    <row r="287" spans="1:15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</row>
    <row r="288" spans="1:15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</row>
    <row r="289" spans="1:15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</row>
    <row r="290" spans="1:15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</row>
    <row r="291" spans="1:15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</row>
    <row r="292" spans="1:15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</row>
    <row r="293" spans="1:15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</row>
    <row r="294" spans="1:15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</row>
    <row r="295" spans="1:1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</row>
    <row r="296" spans="1:15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</row>
    <row r="297" spans="1:15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</row>
    <row r="298" spans="1:15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</row>
    <row r="299" spans="1:15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</row>
    <row r="300" spans="1:15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</row>
    <row r="301" spans="1:15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</row>
    <row r="302" spans="1:15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</row>
    <row r="303" spans="1:15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</row>
    <row r="304" spans="1:15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</row>
    <row r="305" spans="1:1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</row>
    <row r="306" spans="1:15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</row>
    <row r="307" spans="1:15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</row>
    <row r="308" spans="1:15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</row>
    <row r="309" spans="1:15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</row>
    <row r="310" spans="1:15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</row>
    <row r="311" spans="1:15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</row>
    <row r="312" spans="1:15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</row>
    <row r="313" spans="1:15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</row>
    <row r="314" spans="1:15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</row>
    <row r="315" spans="1: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</row>
    <row r="316" spans="1:15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</row>
    <row r="317" spans="1:15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</row>
    <row r="318" spans="1:15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</row>
    <row r="319" spans="1:15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</row>
    <row r="320" spans="1:15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</row>
    <row r="321" spans="1:15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</row>
    <row r="322" spans="1:15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</row>
    <row r="323" spans="1:15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</row>
    <row r="324" spans="1:15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</row>
    <row r="325" spans="1:1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</row>
    <row r="326" spans="1:15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</row>
    <row r="327" spans="1:15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</row>
    <row r="328" spans="1:15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</row>
    <row r="329" spans="1:15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</row>
    <row r="330" spans="1:15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</row>
    <row r="331" spans="1:15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</row>
    <row r="332" spans="1:15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</row>
    <row r="333" spans="1:15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</row>
    <row r="334" spans="1:15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</row>
    <row r="335" spans="1:1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</row>
    <row r="336" spans="1:15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</row>
    <row r="337" spans="1:15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</row>
    <row r="338" spans="1:15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</row>
    <row r="339" spans="1:15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</row>
    <row r="340" spans="1:15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</row>
    <row r="341" spans="1:15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</row>
    <row r="342" spans="1:15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</row>
    <row r="343" spans="1:15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</row>
    <row r="344" spans="1:15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</row>
    <row r="345" spans="1:1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</row>
    <row r="346" spans="1:15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</row>
    <row r="347" spans="1:15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</row>
    <row r="348" spans="1:15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</row>
    <row r="349" spans="1:15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</row>
    <row r="350" spans="1:15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</row>
    <row r="351" spans="1:15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</row>
    <row r="352" spans="1:15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</row>
    <row r="353" spans="1:15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</row>
    <row r="354" spans="1:15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</row>
    <row r="355" spans="1:1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</row>
    <row r="356" spans="1:15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</row>
    <row r="357" spans="1:15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</row>
    <row r="358" spans="1:15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</row>
    <row r="359" spans="1:15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</row>
    <row r="360" spans="1:15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</row>
    <row r="361" spans="1:15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</row>
    <row r="362" spans="1:15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</row>
    <row r="363" spans="1:15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</row>
    <row r="364" spans="1:15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</row>
    <row r="365" spans="1:1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</row>
    <row r="366" spans="1:15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</row>
    <row r="367" spans="1:15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</row>
    <row r="368" spans="1:15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</row>
    <row r="369" spans="1:15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</row>
    <row r="370" spans="1:15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</row>
    <row r="371" spans="1:15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</row>
    <row r="372" spans="1:15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</row>
    <row r="373" spans="1:15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</row>
    <row r="374" spans="1:15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</row>
    <row r="375" spans="1:1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</row>
    <row r="376" spans="1:15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</row>
    <row r="377" spans="1:15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</row>
    <row r="378" spans="1:15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</row>
    <row r="379" spans="1:15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</row>
    <row r="380" spans="1:15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</row>
    <row r="381" spans="1:15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</row>
    <row r="382" spans="1:15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</row>
    <row r="383" spans="1:15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</row>
    <row r="384" spans="1:15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</row>
    <row r="385" spans="1:1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</row>
    <row r="386" spans="1:15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</row>
    <row r="387" spans="1:15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</row>
    <row r="388" spans="1:15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</row>
    <row r="389" spans="1:15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</row>
    <row r="390" spans="1:15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</row>
    <row r="391" spans="1:15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</row>
    <row r="392" spans="1:15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</row>
    <row r="393" spans="1:15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</row>
    <row r="394" spans="1:15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</row>
    <row r="395" spans="1:1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</row>
    <row r="396" spans="1:15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</row>
    <row r="397" spans="1:15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</row>
    <row r="398" spans="1:15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</row>
    <row r="399" spans="1:15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</row>
    <row r="400" spans="1:15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</row>
    <row r="401" spans="1:15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</row>
    <row r="402" spans="1:15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</row>
    <row r="403" spans="1:15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</row>
    <row r="404" spans="1:15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</row>
    <row r="405" spans="1:1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</row>
    <row r="406" spans="1:15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</row>
    <row r="407" spans="1:15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</row>
    <row r="408" spans="1:15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</row>
    <row r="409" spans="1:15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</row>
    <row r="410" spans="1:15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</row>
    <row r="411" spans="1:15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</row>
    <row r="412" spans="1:15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</row>
    <row r="413" spans="1:15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</row>
    <row r="414" spans="1:15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</row>
    <row r="415" spans="1: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</row>
    <row r="416" spans="1:15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</row>
    <row r="417" spans="1:15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</row>
    <row r="418" spans="1:15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</row>
    <row r="419" spans="1:15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</row>
    <row r="420" spans="1:15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</row>
    <row r="421" spans="1:15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</row>
    <row r="422" spans="1:15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</row>
    <row r="423" spans="1:15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</row>
    <row r="424" spans="1:15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</row>
    <row r="425" spans="1:1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</row>
    <row r="426" spans="1:15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</row>
    <row r="427" spans="1:15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</row>
    <row r="428" spans="1:15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</row>
    <row r="429" spans="1:15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</row>
    <row r="430" spans="1:15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</row>
    <row r="431" spans="1:15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</row>
    <row r="432" spans="1:15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</row>
    <row r="433" spans="1:15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</row>
    <row r="434" spans="1:15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</row>
    <row r="435" spans="1:1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</row>
    <row r="436" spans="1:15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</row>
    <row r="437" spans="1:15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</row>
    <row r="438" spans="1:15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</row>
    <row r="439" spans="1:15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</row>
    <row r="440" spans="1:15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</row>
    <row r="441" spans="1:15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</row>
    <row r="442" spans="1:15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</row>
    <row r="443" spans="1:15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</row>
    <row r="444" spans="1:15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</row>
    <row r="445" spans="1:1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</row>
    <row r="446" spans="1:15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</row>
    <row r="447" spans="1:15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</row>
    <row r="448" spans="1:15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</row>
    <row r="449" spans="1:15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</row>
    <row r="450" spans="1:15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</row>
    <row r="451" spans="1:15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</row>
    <row r="452" spans="1:15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</row>
    <row r="453" spans="1:15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</row>
    <row r="454" spans="1:15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</row>
    <row r="455" spans="1:1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</row>
    <row r="456" spans="1:15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</row>
    <row r="457" spans="1:15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</row>
    <row r="458" spans="1:15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</row>
    <row r="459" spans="1:15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</row>
    <row r="460" spans="1:15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</row>
    <row r="461" spans="1:15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</row>
    <row r="462" spans="1:15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</row>
    <row r="463" spans="1:15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</row>
    <row r="464" spans="1:15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</row>
    <row r="465" spans="1:1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</row>
    <row r="466" spans="1:15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</row>
    <row r="467" spans="1:15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</row>
    <row r="468" spans="1:15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</row>
    <row r="469" spans="1:15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</row>
    <row r="470" spans="1:15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</row>
    <row r="471" spans="1:15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</row>
    <row r="472" spans="1:15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</row>
    <row r="473" spans="1:15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</row>
    <row r="474" spans="1:15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</row>
    <row r="475" spans="1:1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</row>
    <row r="476" spans="1:15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</row>
    <row r="477" spans="1:15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</row>
    <row r="478" spans="1:15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</row>
    <row r="479" spans="1:15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</row>
    <row r="480" spans="1:15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</row>
    <row r="481" spans="1:15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</row>
    <row r="482" spans="1:15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</row>
    <row r="483" spans="1:15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</row>
    <row r="484" spans="1:15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</row>
    <row r="485" spans="1:1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</row>
    <row r="486" spans="1:15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</row>
    <row r="487" spans="1:15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</row>
    <row r="488" spans="1:15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</row>
    <row r="489" spans="1:15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</row>
    <row r="490" spans="1:15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</row>
    <row r="491" spans="1:15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</row>
    <row r="492" spans="1:15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</row>
    <row r="493" spans="1:15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</row>
    <row r="494" spans="1:15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</row>
    <row r="495" spans="1:1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</row>
    <row r="496" spans="1:15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</row>
    <row r="497" spans="1:15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</row>
    <row r="498" spans="1:15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</row>
    <row r="499" spans="1:15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</row>
    <row r="500" spans="1:15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</row>
  </sheetData>
  <autoFilter ref="A1:N500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6D7A8"/>
    <outlinePr summaryBelow="0" summaryRight="0"/>
  </sheetPr>
  <dimension ref="A1:BV10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I5" sqref="AI5"/>
    </sheetView>
  </sheetViews>
  <sheetFormatPr defaultColWidth="14.42578125" defaultRowHeight="15" customHeight="1" outlineLevelCol="1"/>
  <cols>
    <col min="13" max="19" width="7.28515625" customWidth="1"/>
    <col min="20" max="20" width="7.28515625" customWidth="1" collapsed="1"/>
    <col min="21" max="21" width="7.28515625" style="169" hidden="1" customWidth="1" outlineLevel="1"/>
    <col min="22" max="22" width="7.28515625" customWidth="1"/>
    <col min="33" max="39" width="7.28515625" customWidth="1"/>
    <col min="40" max="40" width="7.28515625" customWidth="1" collapsed="1"/>
    <col min="41" max="41" width="7.28515625" style="176" hidden="1" customWidth="1" outlineLevel="1"/>
    <col min="42" max="42" width="7.28515625" customWidth="1"/>
    <col min="53" max="59" width="7.28515625" customWidth="1"/>
    <col min="60" max="60" width="7.28515625" customWidth="1" collapsed="1"/>
    <col min="61" max="61" width="7.28515625" style="176" hidden="1" customWidth="1" outlineLevel="1"/>
    <col min="62" max="62" width="7.28515625" customWidth="1"/>
    <col min="64" max="69" width="14.42578125" style="165"/>
    <col min="70" max="70" width="14.42578125" style="165" collapsed="1"/>
    <col min="71" max="71" width="14.42578125" style="165" hidden="1" customWidth="1" outlineLevel="1"/>
    <col min="72" max="72" width="14.42578125" style="165"/>
  </cols>
  <sheetData>
    <row r="1" spans="1:74">
      <c r="A1" s="13"/>
      <c r="B1" s="13"/>
      <c r="C1" s="21" t="s">
        <v>509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166"/>
      <c r="U1" s="163"/>
      <c r="V1" s="6"/>
      <c r="W1" s="21" t="s">
        <v>510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166"/>
      <c r="AL1" s="6"/>
      <c r="AM1" s="6"/>
      <c r="AN1" s="6"/>
      <c r="AO1" s="174"/>
      <c r="AP1" s="6"/>
      <c r="AQ1" s="21" t="s">
        <v>511</v>
      </c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166"/>
      <c r="BF1" s="6"/>
      <c r="BG1" s="6"/>
      <c r="BH1" s="6"/>
      <c r="BI1" s="174"/>
      <c r="BJ1" s="6"/>
      <c r="BK1" s="167" t="s">
        <v>512</v>
      </c>
      <c r="BL1" s="6"/>
      <c r="BM1" s="6"/>
      <c r="BN1" s="6"/>
      <c r="BO1" s="166"/>
      <c r="BP1" s="6"/>
      <c r="BQ1" s="6"/>
      <c r="BR1" s="6"/>
      <c r="BS1" s="8"/>
      <c r="BT1" s="170"/>
      <c r="BU1" s="15"/>
      <c r="BV1" s="15"/>
    </row>
    <row r="2" spans="1:74" s="169" customFormat="1">
      <c r="A2" s="143" t="s">
        <v>64</v>
      </c>
      <c r="B2" s="143" t="s">
        <v>65</v>
      </c>
      <c r="C2" s="144" t="s">
        <v>513</v>
      </c>
      <c r="D2" s="145" t="s">
        <v>514</v>
      </c>
      <c r="E2" s="33" t="s">
        <v>515</v>
      </c>
      <c r="F2" s="145" t="s">
        <v>516</v>
      </c>
      <c r="G2" s="33" t="s">
        <v>517</v>
      </c>
      <c r="H2" s="145" t="s">
        <v>518</v>
      </c>
      <c r="I2" s="33" t="s">
        <v>519</v>
      </c>
      <c r="J2" s="145" t="s">
        <v>520</v>
      </c>
      <c r="K2" s="33" t="s">
        <v>521</v>
      </c>
      <c r="L2" s="145" t="s">
        <v>522</v>
      </c>
      <c r="M2" s="145" t="s">
        <v>523</v>
      </c>
      <c r="N2" s="145" t="s">
        <v>524</v>
      </c>
      <c r="O2" s="145" t="s">
        <v>525</v>
      </c>
      <c r="P2" s="145" t="s">
        <v>526</v>
      </c>
      <c r="Q2" s="145" t="s">
        <v>527</v>
      </c>
      <c r="R2" s="145" t="s">
        <v>528</v>
      </c>
      <c r="S2" s="145" t="s">
        <v>529</v>
      </c>
      <c r="T2" s="145" t="s">
        <v>530</v>
      </c>
      <c r="U2" s="143" t="s">
        <v>577</v>
      </c>
      <c r="V2" s="145" t="s">
        <v>576</v>
      </c>
      <c r="W2" s="144" t="s">
        <v>531</v>
      </c>
      <c r="X2" s="145" t="s">
        <v>532</v>
      </c>
      <c r="Y2" s="33" t="s">
        <v>533</v>
      </c>
      <c r="Z2" s="145" t="s">
        <v>534</v>
      </c>
      <c r="AA2" s="33" t="s">
        <v>535</v>
      </c>
      <c r="AB2" s="145" t="s">
        <v>536</v>
      </c>
      <c r="AC2" s="33" t="s">
        <v>537</v>
      </c>
      <c r="AD2" s="145" t="s">
        <v>538</v>
      </c>
      <c r="AE2" s="33" t="s">
        <v>539</v>
      </c>
      <c r="AF2" s="145" t="s">
        <v>540</v>
      </c>
      <c r="AG2" s="145" t="s">
        <v>541</v>
      </c>
      <c r="AH2" s="145" t="s">
        <v>542</v>
      </c>
      <c r="AI2" s="145" t="s">
        <v>543</v>
      </c>
      <c r="AJ2" s="145" t="s">
        <v>544</v>
      </c>
      <c r="AK2" s="145" t="s">
        <v>545</v>
      </c>
      <c r="AL2" s="145" t="s">
        <v>546</v>
      </c>
      <c r="AM2" s="145" t="s">
        <v>547</v>
      </c>
      <c r="AN2" s="145" t="s">
        <v>548</v>
      </c>
      <c r="AO2" s="143" t="s">
        <v>578</v>
      </c>
      <c r="AP2" s="145" t="s">
        <v>579</v>
      </c>
      <c r="AQ2" s="144" t="s">
        <v>549</v>
      </c>
      <c r="AR2" s="145" t="s">
        <v>550</v>
      </c>
      <c r="AS2" s="33" t="s">
        <v>551</v>
      </c>
      <c r="AT2" s="145" t="s">
        <v>552</v>
      </c>
      <c r="AU2" s="33" t="s">
        <v>553</v>
      </c>
      <c r="AV2" s="145" t="s">
        <v>554</v>
      </c>
      <c r="AW2" s="33" t="s">
        <v>555</v>
      </c>
      <c r="AX2" s="145" t="s">
        <v>556</v>
      </c>
      <c r="AY2" s="33" t="s">
        <v>557</v>
      </c>
      <c r="AZ2" s="145" t="s">
        <v>558</v>
      </c>
      <c r="BA2" s="145" t="s">
        <v>559</v>
      </c>
      <c r="BB2" s="145" t="s">
        <v>560</v>
      </c>
      <c r="BC2" s="145" t="s">
        <v>561</v>
      </c>
      <c r="BD2" s="145" t="s">
        <v>562</v>
      </c>
      <c r="BE2" s="145" t="s">
        <v>563</v>
      </c>
      <c r="BF2" s="145" t="s">
        <v>564</v>
      </c>
      <c r="BG2" s="145" t="s">
        <v>565</v>
      </c>
      <c r="BH2" s="145" t="s">
        <v>566</v>
      </c>
      <c r="BI2" s="143" t="s">
        <v>580</v>
      </c>
      <c r="BJ2" s="145" t="s">
        <v>581</v>
      </c>
      <c r="BK2" s="147" t="s">
        <v>567</v>
      </c>
      <c r="BL2" s="145" t="s">
        <v>67</v>
      </c>
      <c r="BM2" s="145" t="s">
        <v>68</v>
      </c>
      <c r="BN2" s="145" t="s">
        <v>69</v>
      </c>
      <c r="BO2" s="145" t="s">
        <v>70</v>
      </c>
      <c r="BP2" s="145" t="s">
        <v>71</v>
      </c>
      <c r="BQ2" s="145" t="s">
        <v>72</v>
      </c>
      <c r="BR2" s="145" t="s">
        <v>73</v>
      </c>
      <c r="BS2" s="143" t="s">
        <v>582</v>
      </c>
      <c r="BT2" s="148" t="s">
        <v>583</v>
      </c>
      <c r="BU2" s="146"/>
      <c r="BV2" s="146"/>
    </row>
    <row r="3" spans="1:74">
      <c r="A3" s="149" t="s">
        <v>81</v>
      </c>
      <c r="B3" s="149" t="s">
        <v>569</v>
      </c>
      <c r="C3" s="150" t="s">
        <v>483</v>
      </c>
      <c r="D3" s="151">
        <v>1</v>
      </c>
      <c r="E3" s="152" t="s">
        <v>439</v>
      </c>
      <c r="F3" s="151">
        <v>125</v>
      </c>
      <c r="G3" s="152" t="s">
        <v>507</v>
      </c>
      <c r="H3" s="151">
        <v>35</v>
      </c>
      <c r="I3" s="152" t="s">
        <v>306</v>
      </c>
      <c r="J3" s="151">
        <v>100</v>
      </c>
      <c r="K3" s="153"/>
      <c r="L3" s="154"/>
      <c r="M3" s="155" cm="1">
        <f t="array" ref="M3:M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Alimentacion_data!F2:F200, ""),
  _xlpm.valores, IF(_xlpm.alimentos="", 0, IF(_xlpm.unidades="ud", _xlpm.cantidades*_xlpm.macro, (_xlpm.cantidades/100)*_xlpm.macro)),
  _xlfn.BYROW(_xlpm.valores, _xlfn.LAMBDA(_xlpm.fila, IF(SUM(_xlpm.fila)=0,"",SUM(_xlpm.fila))))
 )</f>
        <v>335</v>
      </c>
      <c r="N3" s="155" cm="1">
        <f t="array" ref="N3:N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Alimentacion_data!G2:G200, ""),
  _xlpm.valores, IF(_xlpm.alimentos="", 0, IF(_xlpm.unidades="ud", _xlpm.cantidades*_xlpm.macro, (_xlpm.cantidades/100)*_xlpm.macro)),
  _xlfn.BYROW(_xlpm.valores, _xlfn.LAMBDA(_xlpm.fila, IF(SUM(_xlpm.fila)=0,"",SUM(_xlpm.fila))))
 )</f>
        <v>41.5</v>
      </c>
      <c r="O3" s="155" cm="1">
        <f t="array" ref="O3:O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Alimentacion_data!H2:H200, ""),
  _xlpm.valores, IF(_xlpm.alimentos="", 0, IF(_xlpm.unidades="ud", _xlpm.cantidades*_xlpm.macro, (_xlpm.cantidades/100)*_xlpm.macro)),
  _xlfn.BYROW(_xlpm.valores, _xlfn.LAMBDA(_xlpm.fila, IF(SUM(_xlpm.fila)=0,"",SUM(_xlpm.fila))))
 )</f>
        <v>17.8</v>
      </c>
      <c r="P3" s="155" cm="1">
        <f t="array" ref="P3:P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Alimentacion_data!I2:I200, ""),
  _xlpm.valores, IF(_xlpm.alimentos="", 0, IF(_xlpm.unidades="ud", _xlpm.cantidades*_xlpm.macro, (_xlpm.cantidades/100)*_xlpm.macro)),
  _xlfn.BYROW(_xlpm.valores, _xlfn.LAMBDA(_xlpm.fila, IF(SUM(_xlpm.fila)=0,"",SUM(_xlpm.fila))))
 )</f>
        <v>12.6</v>
      </c>
      <c r="Q3" s="155" cm="1">
        <f t="array" ref="Q3:Q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Alimentacion_data!J2:J200, ""),
  _xlpm.valores, IF(_xlpm.alimentos="", 0, IF(_xlpm.unidades="ud", _xlpm.cantidades*_xlpm.macro, (_xlpm.cantidades/100)*_xlpm.macro)),
  _xlfn.BYROW(_xlpm.valores, _xlfn.LAMBDA(_xlpm.fila, IF(SUM(_xlpm.fila)=0,"",SUM(_xlpm.fila))))
 )</f>
        <v>6.95</v>
      </c>
      <c r="R3" s="155" cm="1">
        <f t="array" ref="R3:R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Alimentacion_data!K2:K200, ""),
  _xlpm.valores, IF(_xlpm.alimentos="", 0, IF(_xlpm.unidades="ud", _xlpm.cantidades*_xlpm.macro, (_xlpm.cantidades/100)*_xlpm.macro)),
  _xlfn.BYROW(_xlpm.valores, _xlfn.LAMBDA(_xlpm.fila, IF(SUM(_xlpm.fila)=0,"",SUM(_xlpm.fila))))
 )</f>
        <v>4.2</v>
      </c>
      <c r="S3" s="155" cm="1">
        <f t="array" ref="S3:S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Alimentacion_data!L2:L200, ""),
  _xlpm.valores, IF(_xlpm.alimentos="", 0, IF(_xlpm.unidades="ud", _xlpm.cantidades*_xlpm.macro, (_xlpm.cantidades/100)*_xlpm.macro)),
  _xlfn.BYROW(_xlpm.valores, _xlfn.LAMBDA(_xlpm.fila, IF(SUM(_xlpm.fila)=0,"",SUM(_xlpm.fila))))
 )</f>
        <v>12.05</v>
      </c>
      <c r="T3" s="155" cm="1">
        <f t="array" ref="T3:T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Alimentacion_data!M2:M200 * 2.5 / 1000, ""),
  _xlpm.valores, IF(_xlpm.alimentos="", 0, IF(_xlpm.unidades="ud", _xlpm.cantidades*_xlpm.macro, (_xlpm.cantidades/100)*_xlpm.macro)),
  _xlfn.BYROW(_xlpm.valores, _xlfn.LAMBDA(_xlpm.fila, IF(SUM(_xlpm.fila)=0,"",SUM(_xlpm.fila))))
 )</f>
        <v>0.5774999999999999</v>
      </c>
      <c r="U3" s="168" cm="1">
        <f t="array" ref="U3:U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 * Alimentacion_data!N2:N200, ""),
  _xlpm.valores, IF(_xlpm.alimentos="", 0, IF(_xlpm.unidades="ud", _xlpm.cantidades*_xlpm.macro, (_xlpm.cantidades/100)*_xlpm.macro)),
  _xlfn.BYROW(_xlpm.valores, _xlfn.LAMBDA(_xlpm.fila, IF(SUM(_xlpm.fila)=0,"",SUM(_xlpm.fila))))
 )</f>
        <v>1580</v>
      </c>
      <c r="V3" s="155" cm="1">
        <f t="array" ref="V3:V100">IFERROR(ROUND(U3:U100/M3:M100,2),"")</f>
        <v>4.72</v>
      </c>
      <c r="W3" s="150" t="s">
        <v>398</v>
      </c>
      <c r="X3" s="151">
        <v>200</v>
      </c>
      <c r="Y3" s="152" t="s">
        <v>363</v>
      </c>
      <c r="Z3" s="151">
        <v>50</v>
      </c>
      <c r="AA3" s="152" t="s">
        <v>443</v>
      </c>
      <c r="AB3" s="151">
        <v>10</v>
      </c>
      <c r="AC3" s="152" t="s">
        <v>488</v>
      </c>
      <c r="AD3" s="151">
        <v>300</v>
      </c>
      <c r="AE3" s="152" t="s">
        <v>490</v>
      </c>
      <c r="AF3" s="151">
        <v>200</v>
      </c>
      <c r="AG3" s="155" cm="1">
        <f t="array" ref="AG3:AG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Alimentacion_data!F2:F200, ""),
  _xlpm.valores, IF(_xlpm.alimentos="", 0, IF(_xlpm.unidades="ud", _xlpm.cantidades*_xlpm.macro, (_xlpm.cantidades/100)*_xlpm.macro)),
  _xlfn.BYROW(_xlpm.valores, _xlfn.LAMBDA(_xlpm.fila, IF(SUM(_xlpm.fila)=0,"",SUM(_xlpm.fila))))
 )</f>
        <v>666</v>
      </c>
      <c r="AH3" s="155" cm="1">
        <f t="array" ref="AH3:AH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Alimentacion_data!G2:G200, ""),
  _xlpm.valores, IF(_xlpm.alimentos="", 0, IF(_xlpm.unidades="ud", _xlpm.cantidades*_xlpm.macro, (_xlpm.cantidades/100)*_xlpm.macro)),
  _xlfn.BYROW(_xlpm.valores, _xlfn.LAMBDA(_xlpm.fila, IF(SUM(_xlpm.fila)=0,"",SUM(_xlpm.fila))))
 )</f>
        <v>53.5</v>
      </c>
      <c r="AI3" s="155" cm="1">
        <f t="array" ref="AI3:AI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Alimentacion_data!H2:H200, ""),
  _xlpm.valores, IF(_xlpm.alimentos="", 0, IF(_xlpm.unidades="ud", _xlpm.cantidades*_xlpm.macro, (_xlpm.cantidades/100)*_xlpm.macro)),
  _xlfn.BYROW(_xlpm.valores, _xlfn.LAMBDA(_xlpm.fila, IF(SUM(_xlpm.fila)=0,"",SUM(_xlpm.fila))))
 )</f>
        <v>57.5</v>
      </c>
      <c r="AJ3" s="155" cm="1">
        <f t="array" ref="AJ3:AJ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Alimentacion_data!I2:I200, ""),
  _xlpm.valores, IF(_xlpm.alimentos="", 0, IF(_xlpm.unidades="ud", _xlpm.cantidades*_xlpm.macro, (_xlpm.cantidades/100)*_xlpm.macro)),
  _xlfn.BYROW(_xlpm.valores, _xlfn.LAMBDA(_xlpm.fila, IF(SUM(_xlpm.fila)=0,"",SUM(_xlpm.fila))))
 )</f>
        <v>24.8</v>
      </c>
      <c r="AK3" s="155" cm="1">
        <f t="array" ref="AK3:AK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Alimentacion_data!J2:J200, ""),
  _xlpm.valores, IF(_xlpm.alimentos="", 0, IF(_xlpm.unidades="ud", _xlpm.cantidades*_xlpm.macro, (_xlpm.cantidades/100)*_xlpm.macro)),
  _xlfn.BYROW(_xlpm.valores, _xlfn.LAMBDA(_xlpm.fila, IF(SUM(_xlpm.fila)=0,"",SUM(_xlpm.fila))))
 )</f>
        <v>5.8000000000000007</v>
      </c>
      <c r="AL3" s="155" cm="1">
        <f t="array" ref="AL3:AL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Alimentacion_data!K2:K200, ""),
  _xlpm.valores, IF(_xlpm.alimentos="", 0, IF(_xlpm.unidades="ud", _xlpm.cantidades*_xlpm.macro, (_xlpm.cantidades/100)*_xlpm.macro)),
  _xlfn.BYROW(_xlpm.valores, _xlfn.LAMBDA(_xlpm.fila, IF(SUM(_xlpm.fila)=0,"",SUM(_xlpm.fila))))
 )</f>
        <v>11.5</v>
      </c>
      <c r="AM3" s="155" cm="1">
        <f t="array" ref="AM3:AM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Alimentacion_data!L2:L200, ""),
  _xlpm.valores, IF(_xlpm.alimentos="", 0, IF(_xlpm.unidades="ud", _xlpm.cantidades*_xlpm.macro, (_xlpm.cantidades/100)*_xlpm.macro)),
  _xlfn.BYROW(_xlpm.valores, _xlfn.LAMBDA(_xlpm.fila, IF(SUM(_xlpm.fila)=0,"",SUM(_xlpm.fila))))
 )</f>
        <v>27.9</v>
      </c>
      <c r="AN3" s="155" cm="1">
        <f t="array" ref="AN3:AN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Alimentacion_data!M2:M200 * 2.5 / 1000, ""),
  _xlpm.valores, IF(_xlpm.alimentos="", 0, IF(_xlpm.unidades="ud", _xlpm.cantidades*_xlpm.macro, (_xlpm.cantidades/100)*_xlpm.macro)),
  _xlfn.BYROW(_xlpm.valores, _xlfn.LAMBDA(_xlpm.fila, IF(SUM(_xlpm.fila)=0,"",SUM(_xlpm.fila))))
 )</f>
        <v>1.07</v>
      </c>
      <c r="AO3" s="175" cm="1">
        <f t="array" ref="AO3:AO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 * Alimentacion_data!N2:N200, ""),
  _xlpm.valores, IF(_xlpm.alimentos="", 0, IF(_xlpm.unidades="ud", _xlpm.cantidades*_xlpm.macro, (_xlpm.cantidades/100)*_xlpm.macro)),
  _xlfn.BYROW(_xlpm.valores, _xlfn.LAMBDA(_xlpm.fila, IF(SUM(_xlpm.fila)=0,"",SUM(_xlpm.fila))))
 )</f>
        <v>1402</v>
      </c>
      <c r="AP3" s="155" cm="1">
        <f t="array" ref="AP3:AP100">IFERROR(ROUND(AO3:AO100/AG3:AG100,2),"")</f>
        <v>2.11</v>
      </c>
      <c r="AQ3" s="150" t="s">
        <v>394</v>
      </c>
      <c r="AR3" s="151">
        <v>2</v>
      </c>
      <c r="AS3" s="152" t="s">
        <v>367</v>
      </c>
      <c r="AT3" s="151">
        <v>250</v>
      </c>
      <c r="AU3" s="152" t="s">
        <v>275</v>
      </c>
      <c r="AV3" s="151">
        <v>200</v>
      </c>
      <c r="AW3" s="152" t="s">
        <v>443</v>
      </c>
      <c r="AX3" s="151">
        <v>10</v>
      </c>
      <c r="AY3" s="152" t="s">
        <v>441</v>
      </c>
      <c r="AZ3" s="151">
        <v>125</v>
      </c>
      <c r="BA3" s="155" cm="1">
        <f t="array" ref="BA3:BA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Alimentacion_data!F2:F200, ""),
  _xlpm.valores, IF(_xlpm.alimentos="", 0, IF(_xlpm.unidades="ud", _xlpm.cantidades*_xlpm.macro, (_xlpm.cantidades/100)*_xlpm.macro)),
  _xlfn.BYROW(_xlpm.valores, _xlfn.LAMBDA(_xlpm.fila, IF(SUM(_xlpm.fila)=0,"",SUM(_xlpm.fila))))
 )</f>
        <v>600.5</v>
      </c>
      <c r="BB3" s="155" cm="1">
        <f t="array" ref="BB3:BB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Alimentacion_data!G2:G200, ""),
  _xlpm.valores, IF(_xlpm.alimentos="", 0, IF(_xlpm.unidades="ud", _xlpm.cantidades*_xlpm.macro, (_xlpm.cantidades/100)*_xlpm.macro)),
  _xlfn.BYROW(_xlpm.valores, _xlfn.LAMBDA(_xlpm.fila, IF(SUM(_xlpm.fila)=0,"",SUM(_xlpm.fila))))
 )</f>
        <v>26.6</v>
      </c>
      <c r="BC3" s="155" cm="1">
        <f t="array" ref="BC3:BC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Alimentacion_data!H2:H200, ""),
  _xlpm.valores, IF(_xlpm.alimentos="", 0, IF(_xlpm.unidades="ud", _xlpm.cantidades*_xlpm.macro, (_xlpm.cantidades/100)*_xlpm.macro)),
  _xlfn.BYROW(_xlpm.valores, _xlfn.LAMBDA(_xlpm.fila, IF(SUM(_xlpm.fila)=0,"",SUM(_xlpm.fila))))
 )</f>
        <v>71.7</v>
      </c>
      <c r="BD3" s="155" cm="1">
        <f t="array" ref="BD3:BD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Alimentacion_data!I2:I200, ""),
  _xlpm.valores, IF(_xlpm.alimentos="", 0, IF(_xlpm.unidades="ud", _xlpm.cantidades*_xlpm.macro, (_xlpm.cantidades/100)*_xlpm.macro)),
  _xlfn.BYROW(_xlpm.valores, _xlfn.LAMBDA(_xlpm.fila, IF(SUM(_xlpm.fila)=0,"",SUM(_xlpm.fila))))
 )</f>
        <v>24.799999999999997</v>
      </c>
      <c r="BE3" s="155" cm="1">
        <f t="array" ref="BE3:BE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Alimentacion_data!J2:J200, ""),
  _xlpm.valores, IF(_xlpm.alimentos="", 0, IF(_xlpm.unidades="ud", _xlpm.cantidades*_xlpm.macro, (_xlpm.cantidades/100)*_xlpm.macro)),
  _xlfn.BYROW(_xlpm.valores, _xlfn.LAMBDA(_xlpm.fila, IF(SUM(_xlpm.fila)=0,"",SUM(_xlpm.fila))))
 )</f>
        <v>7.1000000000000005</v>
      </c>
      <c r="BF3" s="155" cm="1">
        <f t="array" ref="BF3:BF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Alimentacion_data!K2:K200, ""),
  _xlpm.valores, IF(_xlpm.alimentos="", 0, IF(_xlpm.unidades="ud", _xlpm.cantidades*_xlpm.macro, (_xlpm.cantidades/100)*_xlpm.macro)),
  _xlfn.BYROW(_xlpm.valores, _xlfn.LAMBDA(_xlpm.fila, IF(SUM(_xlpm.fila)=0,"",SUM(_xlpm.fila))))
 )</f>
        <v>11.3</v>
      </c>
      <c r="BG3" s="155" cm="1">
        <f t="array" ref="BG3:BG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Alimentacion_data!L2:L200, ""),
  _xlpm.valores, IF(_xlpm.alimentos="", 0, IF(_xlpm.unidades="ud", _xlpm.cantidades*_xlpm.macro, (_xlpm.cantidades/100)*_xlpm.macro)),
  _xlfn.BYROW(_xlpm.valores, _xlfn.LAMBDA(_xlpm.fila, IF(SUM(_xlpm.fila)=0,"",SUM(_xlpm.fila))))
 )</f>
        <v>16.3</v>
      </c>
      <c r="BH3" s="155" cm="1">
        <f t="array" ref="BH3:BH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Alimentacion_data!M2:M200 * 2.5 / 1000, ""),
  _xlpm.valores, IF(_xlpm.alimentos="", 0, IF(_xlpm.unidades="ud", _xlpm.cantidades*_xlpm.macro, (_xlpm.cantidades/100)*_xlpm.macro)),
  _xlfn.BYROW(_xlpm.valores, _xlfn.LAMBDA(_xlpm.fila, IF(SUM(_xlpm.fila)=0,"",SUM(_xlpm.fila))))
 )</f>
        <v>0.49625000000000002</v>
      </c>
      <c r="BI3" s="175" cm="1">
        <f t="array" ref="BI3:BI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 * Alimentacion_data!N2:N200, ""),
  _xlpm.valores, IF(_xlpm.alimentos="", 0, IF(_xlpm.unidades="ud", _xlpm.cantidades*_xlpm.macro, (_xlpm.cantidades/100)*_xlpm.macro)),
  _xlfn.BYROW(_xlpm.valores, _xlfn.LAMBDA(_xlpm.fila, IF(SUM(_xlpm.fila)=0,"",SUM(_xlpm.fila))))
 )</f>
        <v>561</v>
      </c>
      <c r="BJ3" s="155" cm="1">
        <f t="array" ref="BJ3:BJ100">IFERROR(ROUND(BI3:BI100/BA3:BA100,2),"")</f>
        <v>0.93</v>
      </c>
      <c r="BK3" s="172" cm="1">
        <f t="array" ref="BK3:BK100">IF((M3:M100="") * (AG3:AG100="") * (BA3:BA100=""), "",  ROUND(IFERROR(M3:M100*1, 0) + IFERROR(AG3:AG100*1, 0) + IFERROR(BA3:BA100*1, 0),0))</f>
        <v>1602</v>
      </c>
      <c r="BL3" s="164" cm="1">
        <f t="array" ref="BL3:BL100">IF((N3:N100="") * (AH3:AH100="") * (BB3:BB100=""), "",  ROUND(IFERROR(N3:N100*1, 0) + IFERROR(AH3:AH100*1, 0) + IFERROR(BB3:BB100*1, 0),0))</f>
        <v>122</v>
      </c>
      <c r="BM3" s="164" cm="1">
        <f t="array" ref="BM3:BM100">IF((O3:O100="") * (AI3:AI100="") * (BC3:BC100=""), "",  ROUND(IFERROR(O3:O100*1, 0) + IFERROR(AI3:AI100*1, 0) + IFERROR(BC3:BC100*1, 0),0))</f>
        <v>147</v>
      </c>
      <c r="BN3" s="164" cm="1">
        <f t="array" ref="BN3:BN100">IF((P3:P100="") * (AJ3:AJ100="") * (BD3:BD100=""), "",  ROUND(IFERROR(P3:P100*1, 0) + IFERROR(AJ3:AJ100*1, 0) + IFERROR(BD3:BD100*1, 0),0))</f>
        <v>62</v>
      </c>
      <c r="BO3" s="164" cm="1">
        <f t="array" ref="BO3:BO100">IF((Q3:Q100="") * (AK3:AK100="") * (BE3:BE100=""), "",  ROUND(IFERROR(Q3:Q100*1, 0) + IFERROR(AK3:AK100*1, 0) + IFERROR(BE3:BE100*1, 0),0))</f>
        <v>20</v>
      </c>
      <c r="BP3" s="164" cm="1">
        <f t="array" ref="BP3:BP100">IF((R3:R100="") * (AL3:AL100="") * (BF3:BF100=""), "",  ROUND(IFERROR(R3:R100*1, 0) + IFERROR(AL3:AL100*1, 0) + IFERROR(BF3:BF100*1, 0),0))</f>
        <v>27</v>
      </c>
      <c r="BQ3" s="164" cm="1">
        <f t="array" ref="BQ3:BQ100">IF((S3:S100="") * (AM3:AM100="") * (BG3:BG100=""), "",  ROUND(IFERROR(S3:S100*1, 0) + IFERROR(AM3:AM100*1, 0) + IFERROR(BG3:BG100*1, 0),0))</f>
        <v>56</v>
      </c>
      <c r="BR3" s="164" cm="1">
        <f t="array" ref="BR3:BR100">IF((T3:T100="") * (AN3:AN100="") * (BH3:BH100=""), "",  ROUND(IFERROR(T3:T100*1, 0) + IFERROR(AN3:AN100*1, 0) + IFERROR(BH3:BH100*1, 0),2))</f>
        <v>2.14</v>
      </c>
      <c r="BS3" s="173" cm="1">
        <f t="array" ref="BS3:BS100">IF((U3:U100="") * (AO3:AO100="") * (BI3:BI100=""), "",  ROUND(IFERROR(U3:U100*1, 0) + IFERROR(AO3:AO100*1, 0) + IFERROR(BI3:BI100*1, 0),2))</f>
        <v>3543</v>
      </c>
      <c r="BT3" s="171" cm="1">
        <f t="array" ref="BT3:BT100">IFERROR(ROUND(BS3:BS100/BK3:BK100,2),"")</f>
        <v>2.21</v>
      </c>
      <c r="BU3" s="156"/>
      <c r="BV3" s="156"/>
    </row>
    <row r="4" spans="1:74">
      <c r="A4" s="149" t="s">
        <v>81</v>
      </c>
      <c r="B4" s="149" t="s">
        <v>570</v>
      </c>
      <c r="C4" s="150"/>
      <c r="D4" s="151"/>
      <c r="E4" s="153"/>
      <c r="F4" s="154"/>
      <c r="G4" s="153"/>
      <c r="H4" s="154"/>
      <c r="I4" s="153"/>
      <c r="J4" s="154"/>
      <c r="K4" s="153"/>
      <c r="L4" s="154"/>
      <c r="M4" s="157" t="str">
        <v/>
      </c>
      <c r="N4" s="157" t="str">
        <v/>
      </c>
      <c r="O4" s="157" t="str">
        <v/>
      </c>
      <c r="P4" s="157" t="str">
        <v/>
      </c>
      <c r="Q4" s="157" t="str">
        <v/>
      </c>
      <c r="R4" s="157" t="str">
        <v/>
      </c>
      <c r="S4" s="157" t="str">
        <v/>
      </c>
      <c r="T4" s="157" t="str">
        <v/>
      </c>
      <c r="U4" s="163" t="str">
        <v/>
      </c>
      <c r="V4" s="157" t="str">
        <v/>
      </c>
      <c r="W4" s="158"/>
      <c r="X4" s="154"/>
      <c r="Y4" s="153"/>
      <c r="Z4" s="154"/>
      <c r="AA4" s="153"/>
      <c r="AB4" s="154"/>
      <c r="AC4" s="153"/>
      <c r="AD4" s="154"/>
      <c r="AE4" s="153"/>
      <c r="AF4" s="154"/>
      <c r="AG4" s="157" t="str">
        <v/>
      </c>
      <c r="AH4" s="157" t="str">
        <v/>
      </c>
      <c r="AI4" s="157" t="str">
        <v/>
      </c>
      <c r="AJ4" s="157" t="str">
        <v/>
      </c>
      <c r="AK4" s="157" t="str">
        <v/>
      </c>
      <c r="AL4" s="157" t="str">
        <v/>
      </c>
      <c r="AM4" s="157" t="str">
        <v/>
      </c>
      <c r="AN4" s="157" t="str">
        <v/>
      </c>
      <c r="AO4" s="174" t="str">
        <v/>
      </c>
      <c r="AP4" s="157" t="str">
        <v/>
      </c>
      <c r="AQ4" s="158"/>
      <c r="AR4" s="154"/>
      <c r="AS4" s="153"/>
      <c r="AT4" s="154"/>
      <c r="AU4" s="153"/>
      <c r="AV4" s="154"/>
      <c r="AW4" s="153"/>
      <c r="AX4" s="154"/>
      <c r="AY4" s="153"/>
      <c r="AZ4" s="154"/>
      <c r="BA4" s="157" t="str">
        <v/>
      </c>
      <c r="BB4" s="157" t="str">
        <v/>
      </c>
      <c r="BC4" s="157" t="str">
        <v/>
      </c>
      <c r="BD4" s="157" t="str">
        <v/>
      </c>
      <c r="BE4" s="157" t="str">
        <v/>
      </c>
      <c r="BF4" s="157" t="str">
        <v/>
      </c>
      <c r="BG4" s="157" t="str">
        <v/>
      </c>
      <c r="BH4" s="157" t="str">
        <v/>
      </c>
      <c r="BI4" s="174" t="str">
        <v/>
      </c>
      <c r="BJ4" s="157" t="str">
        <v/>
      </c>
      <c r="BK4" s="159" t="str">
        <v/>
      </c>
      <c r="BL4" s="160" t="str">
        <v/>
      </c>
      <c r="BM4" s="160" t="str">
        <v/>
      </c>
      <c r="BN4" s="160" t="str">
        <v/>
      </c>
      <c r="BO4" s="160" t="str">
        <v/>
      </c>
      <c r="BP4" s="160" t="str">
        <v/>
      </c>
      <c r="BQ4" s="160" t="str">
        <v/>
      </c>
      <c r="BR4" s="160" t="str">
        <v/>
      </c>
      <c r="BS4" s="8" t="str">
        <v/>
      </c>
      <c r="BT4" s="161" t="str">
        <v/>
      </c>
      <c r="BU4" s="156"/>
      <c r="BV4" s="156"/>
    </row>
    <row r="5" spans="1:74">
      <c r="A5" s="149" t="s">
        <v>81</v>
      </c>
      <c r="B5" s="149" t="s">
        <v>571</v>
      </c>
      <c r="C5" s="150"/>
      <c r="D5" s="151"/>
      <c r="E5" s="153"/>
      <c r="F5" s="154"/>
      <c r="G5" s="153"/>
      <c r="H5" s="154"/>
      <c r="I5" s="153"/>
      <c r="J5" s="154"/>
      <c r="K5" s="153"/>
      <c r="L5" s="154"/>
      <c r="M5" s="157" t="str">
        <v/>
      </c>
      <c r="N5" s="157" t="str">
        <v/>
      </c>
      <c r="O5" s="157" t="str">
        <v/>
      </c>
      <c r="P5" s="157" t="str">
        <v/>
      </c>
      <c r="Q5" s="157" t="str">
        <v/>
      </c>
      <c r="R5" s="157" t="str">
        <v/>
      </c>
      <c r="S5" s="157" t="str">
        <v/>
      </c>
      <c r="T5" s="157" t="str">
        <v/>
      </c>
      <c r="U5" s="163" t="str">
        <v/>
      </c>
      <c r="V5" s="157" t="str">
        <v/>
      </c>
      <c r="W5" s="158"/>
      <c r="X5" s="154"/>
      <c r="Y5" s="153"/>
      <c r="Z5" s="154"/>
      <c r="AA5" s="153"/>
      <c r="AB5" s="154"/>
      <c r="AC5" s="153"/>
      <c r="AD5" s="154"/>
      <c r="AE5" s="153"/>
      <c r="AF5" s="154"/>
      <c r="AG5" s="157" t="str">
        <v/>
      </c>
      <c r="AH5" s="157" t="str">
        <v/>
      </c>
      <c r="AI5" s="157" t="str">
        <v/>
      </c>
      <c r="AJ5" s="157" t="str">
        <v/>
      </c>
      <c r="AK5" s="157" t="str">
        <v/>
      </c>
      <c r="AL5" s="157" t="str">
        <v/>
      </c>
      <c r="AM5" s="157" t="str">
        <v/>
      </c>
      <c r="AN5" s="157" t="str">
        <v/>
      </c>
      <c r="AO5" s="174" t="str">
        <v/>
      </c>
      <c r="AP5" s="157" t="str">
        <v/>
      </c>
      <c r="AQ5" s="158"/>
      <c r="AR5" s="154"/>
      <c r="AS5" s="153"/>
      <c r="AT5" s="154"/>
      <c r="AU5" s="153"/>
      <c r="AV5" s="154"/>
      <c r="AW5" s="153"/>
      <c r="AX5" s="154"/>
      <c r="AY5" s="153"/>
      <c r="AZ5" s="154"/>
      <c r="BA5" s="157" t="str">
        <v/>
      </c>
      <c r="BB5" s="157" t="str">
        <v/>
      </c>
      <c r="BC5" s="157" t="str">
        <v/>
      </c>
      <c r="BD5" s="157" t="str">
        <v/>
      </c>
      <c r="BE5" s="157" t="str">
        <v/>
      </c>
      <c r="BF5" s="157" t="str">
        <v/>
      </c>
      <c r="BG5" s="157" t="str">
        <v/>
      </c>
      <c r="BH5" s="157" t="str">
        <v/>
      </c>
      <c r="BI5" s="174" t="str">
        <v/>
      </c>
      <c r="BJ5" s="157" t="str">
        <v/>
      </c>
      <c r="BK5" s="159" t="str">
        <v/>
      </c>
      <c r="BL5" s="160" t="str">
        <v/>
      </c>
      <c r="BM5" s="160" t="str">
        <v/>
      </c>
      <c r="BN5" s="160" t="str">
        <v/>
      </c>
      <c r="BO5" s="160" t="str">
        <v/>
      </c>
      <c r="BP5" s="160" t="str">
        <v/>
      </c>
      <c r="BQ5" s="160" t="str">
        <v/>
      </c>
      <c r="BR5" s="160" t="str">
        <v/>
      </c>
      <c r="BS5" s="8" t="str">
        <v/>
      </c>
      <c r="BT5" s="161" t="str">
        <v/>
      </c>
      <c r="BU5" s="156"/>
      <c r="BV5" s="156"/>
    </row>
    <row r="6" spans="1:74">
      <c r="A6" s="149" t="s">
        <v>81</v>
      </c>
      <c r="B6" s="149" t="s">
        <v>572</v>
      </c>
      <c r="C6" s="150"/>
      <c r="D6" s="151"/>
      <c r="E6" s="153"/>
      <c r="F6" s="154"/>
      <c r="G6" s="153"/>
      <c r="H6" s="154"/>
      <c r="I6" s="153"/>
      <c r="J6" s="154"/>
      <c r="K6" s="153"/>
      <c r="L6" s="154"/>
      <c r="M6" s="157" t="str">
        <v/>
      </c>
      <c r="N6" s="157" t="str">
        <v/>
      </c>
      <c r="O6" s="157" t="str">
        <v/>
      </c>
      <c r="P6" s="157" t="str">
        <v/>
      </c>
      <c r="Q6" s="157" t="str">
        <v/>
      </c>
      <c r="R6" s="157" t="str">
        <v/>
      </c>
      <c r="S6" s="157" t="str">
        <v/>
      </c>
      <c r="T6" s="157" t="str">
        <v/>
      </c>
      <c r="U6" s="163" t="str">
        <v/>
      </c>
      <c r="V6" s="157" t="str">
        <v/>
      </c>
      <c r="W6" s="158"/>
      <c r="X6" s="154"/>
      <c r="Y6" s="153"/>
      <c r="Z6" s="154"/>
      <c r="AA6" s="153"/>
      <c r="AB6" s="154"/>
      <c r="AC6" s="153"/>
      <c r="AD6" s="154"/>
      <c r="AE6" s="153"/>
      <c r="AF6" s="154"/>
      <c r="AG6" s="157" t="str">
        <v/>
      </c>
      <c r="AH6" s="157" t="str">
        <v/>
      </c>
      <c r="AI6" s="157" t="str">
        <v/>
      </c>
      <c r="AJ6" s="157" t="str">
        <v/>
      </c>
      <c r="AK6" s="157" t="str">
        <v/>
      </c>
      <c r="AL6" s="157" t="str">
        <v/>
      </c>
      <c r="AM6" s="157" t="str">
        <v/>
      </c>
      <c r="AN6" s="157" t="str">
        <v/>
      </c>
      <c r="AO6" s="174" t="str">
        <v/>
      </c>
      <c r="AP6" s="157" t="str">
        <v/>
      </c>
      <c r="AQ6" s="158"/>
      <c r="AR6" s="154"/>
      <c r="AS6" s="153"/>
      <c r="AT6" s="154"/>
      <c r="AU6" s="153"/>
      <c r="AV6" s="154"/>
      <c r="AW6" s="153"/>
      <c r="AX6" s="154"/>
      <c r="AY6" s="153"/>
      <c r="AZ6" s="154"/>
      <c r="BA6" s="157" t="str">
        <v/>
      </c>
      <c r="BB6" s="157" t="str">
        <v/>
      </c>
      <c r="BC6" s="157" t="str">
        <v/>
      </c>
      <c r="BD6" s="157" t="str">
        <v/>
      </c>
      <c r="BE6" s="157" t="str">
        <v/>
      </c>
      <c r="BF6" s="157" t="str">
        <v/>
      </c>
      <c r="BG6" s="157" t="str">
        <v/>
      </c>
      <c r="BH6" s="157" t="str">
        <v/>
      </c>
      <c r="BI6" s="174" t="str">
        <v/>
      </c>
      <c r="BJ6" s="157" t="str">
        <v/>
      </c>
      <c r="BK6" s="159" t="str">
        <v/>
      </c>
      <c r="BL6" s="160" t="str">
        <v/>
      </c>
      <c r="BM6" s="160" t="str">
        <v/>
      </c>
      <c r="BN6" s="160" t="str">
        <v/>
      </c>
      <c r="BO6" s="160" t="str">
        <v/>
      </c>
      <c r="BP6" s="160" t="str">
        <v/>
      </c>
      <c r="BQ6" s="160" t="str">
        <v/>
      </c>
      <c r="BR6" s="160" t="str">
        <v/>
      </c>
      <c r="BS6" s="8" t="str">
        <v/>
      </c>
      <c r="BT6" s="161" t="str">
        <v/>
      </c>
      <c r="BU6" s="156"/>
      <c r="BV6" s="156"/>
    </row>
    <row r="7" spans="1:74">
      <c r="A7" s="149" t="s">
        <v>81</v>
      </c>
      <c r="B7" s="149" t="s">
        <v>573</v>
      </c>
      <c r="C7" s="158"/>
      <c r="D7" s="154"/>
      <c r="E7" s="153"/>
      <c r="F7" s="154"/>
      <c r="G7" s="153"/>
      <c r="H7" s="154"/>
      <c r="I7" s="153"/>
      <c r="J7" s="154"/>
      <c r="K7" s="153"/>
      <c r="L7" s="154"/>
      <c r="M7" s="157" t="str">
        <v/>
      </c>
      <c r="N7" s="157" t="str">
        <v/>
      </c>
      <c r="O7" s="157" t="str">
        <v/>
      </c>
      <c r="P7" s="157" t="str">
        <v/>
      </c>
      <c r="Q7" s="157" t="str">
        <v/>
      </c>
      <c r="R7" s="157" t="str">
        <v/>
      </c>
      <c r="S7" s="157" t="str">
        <v/>
      </c>
      <c r="T7" s="157" t="str">
        <v/>
      </c>
      <c r="U7" s="163" t="str">
        <v/>
      </c>
      <c r="V7" s="157" t="str">
        <v/>
      </c>
      <c r="W7" s="158"/>
      <c r="X7" s="154"/>
      <c r="Y7" s="153"/>
      <c r="Z7" s="154"/>
      <c r="AA7" s="153"/>
      <c r="AB7" s="154"/>
      <c r="AC7" s="153"/>
      <c r="AD7" s="154"/>
      <c r="AE7" s="153"/>
      <c r="AF7" s="154"/>
      <c r="AG7" s="157" t="str">
        <v/>
      </c>
      <c r="AH7" s="157" t="str">
        <v/>
      </c>
      <c r="AI7" s="157" t="str">
        <v/>
      </c>
      <c r="AJ7" s="157" t="str">
        <v/>
      </c>
      <c r="AK7" s="157" t="str">
        <v/>
      </c>
      <c r="AL7" s="157" t="str">
        <v/>
      </c>
      <c r="AM7" s="157" t="str">
        <v/>
      </c>
      <c r="AN7" s="157" t="str">
        <v/>
      </c>
      <c r="AO7" s="174" t="str">
        <v/>
      </c>
      <c r="AP7" s="157" t="str">
        <v/>
      </c>
      <c r="AQ7" s="158"/>
      <c r="AR7" s="154"/>
      <c r="AS7" s="153"/>
      <c r="AT7" s="154"/>
      <c r="AU7" s="153"/>
      <c r="AV7" s="154"/>
      <c r="AW7" s="153"/>
      <c r="AX7" s="154"/>
      <c r="AY7" s="153"/>
      <c r="AZ7" s="154"/>
      <c r="BA7" s="157" t="str">
        <v/>
      </c>
      <c r="BB7" s="157" t="str">
        <v/>
      </c>
      <c r="BC7" s="157" t="str">
        <v/>
      </c>
      <c r="BD7" s="157" t="str">
        <v/>
      </c>
      <c r="BE7" s="157" t="str">
        <v/>
      </c>
      <c r="BF7" s="157" t="str">
        <v/>
      </c>
      <c r="BG7" s="157" t="str">
        <v/>
      </c>
      <c r="BH7" s="157" t="str">
        <v/>
      </c>
      <c r="BI7" s="174" t="str">
        <v/>
      </c>
      <c r="BJ7" s="157" t="str">
        <v/>
      </c>
      <c r="BK7" s="159" t="str">
        <v/>
      </c>
      <c r="BL7" s="160" t="str">
        <v/>
      </c>
      <c r="BM7" s="160" t="str">
        <v/>
      </c>
      <c r="BN7" s="160" t="str">
        <v/>
      </c>
      <c r="BO7" s="160" t="str">
        <v/>
      </c>
      <c r="BP7" s="160" t="str">
        <v/>
      </c>
      <c r="BQ7" s="160" t="str">
        <v/>
      </c>
      <c r="BR7" s="160" t="str">
        <v/>
      </c>
      <c r="BS7" s="8" t="str">
        <v/>
      </c>
      <c r="BT7" s="161" t="str">
        <v/>
      </c>
      <c r="BU7" s="156"/>
      <c r="BV7" s="156"/>
    </row>
    <row r="8" spans="1:74">
      <c r="A8" s="149" t="s">
        <v>81</v>
      </c>
      <c r="B8" s="149" t="s">
        <v>574</v>
      </c>
      <c r="C8" s="158"/>
      <c r="D8" s="154"/>
      <c r="E8" s="153"/>
      <c r="F8" s="154"/>
      <c r="G8" s="153"/>
      <c r="H8" s="154"/>
      <c r="I8" s="153"/>
      <c r="J8" s="154"/>
      <c r="K8" s="153"/>
      <c r="L8" s="154"/>
      <c r="M8" s="157" t="str">
        <v/>
      </c>
      <c r="N8" s="157" t="str">
        <v/>
      </c>
      <c r="O8" s="157" t="str">
        <v/>
      </c>
      <c r="P8" s="157" t="str">
        <v/>
      </c>
      <c r="Q8" s="157" t="str">
        <v/>
      </c>
      <c r="R8" s="157" t="str">
        <v/>
      </c>
      <c r="S8" s="157" t="str">
        <v/>
      </c>
      <c r="T8" s="157" t="str">
        <v/>
      </c>
      <c r="U8" s="163" t="str">
        <v/>
      </c>
      <c r="V8" s="157" t="str">
        <v/>
      </c>
      <c r="W8" s="158"/>
      <c r="X8" s="154"/>
      <c r="Y8" s="153"/>
      <c r="Z8" s="154"/>
      <c r="AA8" s="153"/>
      <c r="AB8" s="154"/>
      <c r="AC8" s="153"/>
      <c r="AD8" s="154"/>
      <c r="AE8" s="153"/>
      <c r="AF8" s="154"/>
      <c r="AG8" s="157" t="str">
        <v/>
      </c>
      <c r="AH8" s="157" t="str">
        <v/>
      </c>
      <c r="AI8" s="157" t="str">
        <v/>
      </c>
      <c r="AJ8" s="157" t="str">
        <v/>
      </c>
      <c r="AK8" s="157" t="str">
        <v/>
      </c>
      <c r="AL8" s="157" t="str">
        <v/>
      </c>
      <c r="AM8" s="157" t="str">
        <v/>
      </c>
      <c r="AN8" s="157" t="str">
        <v/>
      </c>
      <c r="AO8" s="174" t="str">
        <v/>
      </c>
      <c r="AP8" s="157" t="str">
        <v/>
      </c>
      <c r="AQ8" s="158"/>
      <c r="AR8" s="154"/>
      <c r="AS8" s="153"/>
      <c r="AT8" s="154"/>
      <c r="AU8" s="153"/>
      <c r="AV8" s="154"/>
      <c r="AW8" s="153"/>
      <c r="AX8" s="154"/>
      <c r="AY8" s="153"/>
      <c r="AZ8" s="154"/>
      <c r="BA8" s="157" t="str">
        <v/>
      </c>
      <c r="BB8" s="157" t="str">
        <v/>
      </c>
      <c r="BC8" s="157" t="str">
        <v/>
      </c>
      <c r="BD8" s="157" t="str">
        <v/>
      </c>
      <c r="BE8" s="157" t="str">
        <v/>
      </c>
      <c r="BF8" s="157" t="str">
        <v/>
      </c>
      <c r="BG8" s="157" t="str">
        <v/>
      </c>
      <c r="BH8" s="157" t="str">
        <v/>
      </c>
      <c r="BI8" s="174" t="str">
        <v/>
      </c>
      <c r="BJ8" s="157" t="str">
        <v/>
      </c>
      <c r="BK8" s="159" t="str">
        <v/>
      </c>
      <c r="BL8" s="160" t="str">
        <v/>
      </c>
      <c r="BM8" s="160" t="str">
        <v/>
      </c>
      <c r="BN8" s="160" t="str">
        <v/>
      </c>
      <c r="BO8" s="160" t="str">
        <v/>
      </c>
      <c r="BP8" s="160" t="str">
        <v/>
      </c>
      <c r="BQ8" s="160" t="str">
        <v/>
      </c>
      <c r="BR8" s="160" t="str">
        <v/>
      </c>
      <c r="BS8" s="8" t="str">
        <v/>
      </c>
      <c r="BT8" s="161" t="str">
        <v/>
      </c>
      <c r="BU8" s="156"/>
      <c r="BV8" s="156"/>
    </row>
    <row r="9" spans="1:74">
      <c r="A9" s="162" t="s">
        <v>81</v>
      </c>
      <c r="B9" s="149" t="s">
        <v>575</v>
      </c>
      <c r="C9" s="158"/>
      <c r="D9" s="154"/>
      <c r="E9" s="153"/>
      <c r="F9" s="154"/>
      <c r="G9" s="153"/>
      <c r="H9" s="154"/>
      <c r="I9" s="153"/>
      <c r="J9" s="154"/>
      <c r="K9" s="153"/>
      <c r="L9" s="154"/>
      <c r="M9" s="157" t="str">
        <v/>
      </c>
      <c r="N9" s="157" t="str">
        <v/>
      </c>
      <c r="O9" s="157" t="str">
        <v/>
      </c>
      <c r="P9" s="157" t="str">
        <v/>
      </c>
      <c r="Q9" s="157" t="str">
        <v/>
      </c>
      <c r="R9" s="157" t="str">
        <v/>
      </c>
      <c r="S9" s="157" t="str">
        <v/>
      </c>
      <c r="T9" s="157" t="str">
        <v/>
      </c>
      <c r="U9" s="163" t="str">
        <v/>
      </c>
      <c r="V9" s="157" t="str">
        <v/>
      </c>
      <c r="W9" s="158"/>
      <c r="X9" s="154"/>
      <c r="Y9" s="153"/>
      <c r="Z9" s="154"/>
      <c r="AA9" s="153"/>
      <c r="AB9" s="154"/>
      <c r="AC9" s="153"/>
      <c r="AD9" s="154"/>
      <c r="AE9" s="153"/>
      <c r="AF9" s="154"/>
      <c r="AG9" s="157" t="str">
        <v/>
      </c>
      <c r="AH9" s="157" t="str">
        <v/>
      </c>
      <c r="AI9" s="157" t="str">
        <v/>
      </c>
      <c r="AJ9" s="157" t="str">
        <v/>
      </c>
      <c r="AK9" s="157" t="str">
        <v/>
      </c>
      <c r="AL9" s="157" t="str">
        <v/>
      </c>
      <c r="AM9" s="157" t="str">
        <v/>
      </c>
      <c r="AN9" s="157" t="str">
        <v/>
      </c>
      <c r="AO9" s="174" t="str">
        <v/>
      </c>
      <c r="AP9" s="157" t="str">
        <v/>
      </c>
      <c r="AQ9" s="158"/>
      <c r="AR9" s="154"/>
      <c r="AS9" s="153"/>
      <c r="AT9" s="154"/>
      <c r="AU9" s="153"/>
      <c r="AV9" s="154"/>
      <c r="AW9" s="153"/>
      <c r="AX9" s="154"/>
      <c r="AY9" s="153"/>
      <c r="AZ9" s="154"/>
      <c r="BA9" s="157" t="str">
        <v/>
      </c>
      <c r="BB9" s="157" t="str">
        <v/>
      </c>
      <c r="BC9" s="157" t="str">
        <v/>
      </c>
      <c r="BD9" s="157" t="str">
        <v/>
      </c>
      <c r="BE9" s="157" t="str">
        <v/>
      </c>
      <c r="BF9" s="157" t="str">
        <v/>
      </c>
      <c r="BG9" s="157" t="str">
        <v/>
      </c>
      <c r="BH9" s="157" t="str">
        <v/>
      </c>
      <c r="BI9" s="174" t="str">
        <v/>
      </c>
      <c r="BJ9" s="157" t="str">
        <v/>
      </c>
      <c r="BK9" s="159" t="str">
        <v/>
      </c>
      <c r="BL9" s="160" t="str">
        <v/>
      </c>
      <c r="BM9" s="160" t="str">
        <v/>
      </c>
      <c r="BN9" s="160" t="str">
        <v/>
      </c>
      <c r="BO9" s="160" t="str">
        <v/>
      </c>
      <c r="BP9" s="160" t="str">
        <v/>
      </c>
      <c r="BQ9" s="160" t="str">
        <v/>
      </c>
      <c r="BR9" s="160" t="str">
        <v/>
      </c>
      <c r="BS9" s="8" t="str">
        <v/>
      </c>
      <c r="BT9" s="161" t="str">
        <v/>
      </c>
      <c r="BU9" s="156"/>
      <c r="BV9" s="156"/>
    </row>
    <row r="10" spans="1:74">
      <c r="A10" s="149" t="s">
        <v>92</v>
      </c>
      <c r="B10" s="163" t="s">
        <v>569</v>
      </c>
      <c r="C10" s="150" t="s">
        <v>483</v>
      </c>
      <c r="D10" s="151">
        <v>1</v>
      </c>
      <c r="E10" s="152" t="s">
        <v>353</v>
      </c>
      <c r="F10" s="151">
        <v>60</v>
      </c>
      <c r="G10" s="152" t="s">
        <v>441</v>
      </c>
      <c r="H10" s="151">
        <v>125</v>
      </c>
      <c r="I10" s="152" t="s">
        <v>295</v>
      </c>
      <c r="J10" s="151">
        <v>80</v>
      </c>
      <c r="K10" s="153"/>
      <c r="L10" s="154"/>
      <c r="M10" s="157">
        <v>436.4</v>
      </c>
      <c r="N10" s="157">
        <v>16.739999999999998</v>
      </c>
      <c r="O10" s="157">
        <v>52.83</v>
      </c>
      <c r="P10" s="157">
        <v>19.649999999999999</v>
      </c>
      <c r="Q10" s="157">
        <v>4.9000000000000004</v>
      </c>
      <c r="R10" s="157">
        <v>11.719999999999999</v>
      </c>
      <c r="S10" s="157">
        <v>7.35</v>
      </c>
      <c r="T10" s="157">
        <v>0.14200000000000002</v>
      </c>
      <c r="U10" s="163">
        <v>458.4</v>
      </c>
      <c r="V10" s="157">
        <v>1.05</v>
      </c>
      <c r="W10" s="150" t="s">
        <v>398</v>
      </c>
      <c r="X10" s="151">
        <v>220</v>
      </c>
      <c r="Y10" s="152" t="s">
        <v>349</v>
      </c>
      <c r="Z10" s="151">
        <v>120</v>
      </c>
      <c r="AA10" s="152" t="s">
        <v>251</v>
      </c>
      <c r="AB10" s="151">
        <v>200</v>
      </c>
      <c r="AC10" s="152" t="s">
        <v>291</v>
      </c>
      <c r="AD10" s="151">
        <v>80</v>
      </c>
      <c r="AE10" s="152" t="s">
        <v>490</v>
      </c>
      <c r="AF10" s="151">
        <v>100</v>
      </c>
      <c r="AG10" s="157">
        <v>574</v>
      </c>
      <c r="AH10" s="157">
        <v>55.460000000000008</v>
      </c>
      <c r="AI10" s="157">
        <v>56.16</v>
      </c>
      <c r="AJ10" s="157">
        <v>14.3</v>
      </c>
      <c r="AK10" s="157">
        <v>4.7200000000000006</v>
      </c>
      <c r="AL10" s="157">
        <v>5.4399999999999995</v>
      </c>
      <c r="AM10" s="157">
        <v>17.2</v>
      </c>
      <c r="AN10" s="157">
        <v>0.39900000000000002</v>
      </c>
      <c r="AO10" s="174">
        <v>840.2</v>
      </c>
      <c r="AP10" s="157">
        <v>1.46</v>
      </c>
      <c r="AQ10" s="150" t="s">
        <v>402</v>
      </c>
      <c r="AR10" s="151">
        <v>220</v>
      </c>
      <c r="AS10" s="152" t="s">
        <v>265</v>
      </c>
      <c r="AT10" s="151">
        <v>220</v>
      </c>
      <c r="AU10" s="152" t="s">
        <v>443</v>
      </c>
      <c r="AV10" s="151">
        <v>5</v>
      </c>
      <c r="AW10" s="152" t="s">
        <v>428</v>
      </c>
      <c r="AX10" s="151">
        <v>125</v>
      </c>
      <c r="AY10" s="152" t="s">
        <v>507</v>
      </c>
      <c r="AZ10" s="151">
        <v>30</v>
      </c>
      <c r="BA10" s="157">
        <v>455.6</v>
      </c>
      <c r="BB10" s="157">
        <v>67.754999999999995</v>
      </c>
      <c r="BC10" s="157">
        <v>19.399999999999999</v>
      </c>
      <c r="BD10" s="157">
        <v>13.785</v>
      </c>
      <c r="BE10" s="157">
        <v>4.585</v>
      </c>
      <c r="BF10" s="157">
        <v>5</v>
      </c>
      <c r="BG10" s="157">
        <v>11.08</v>
      </c>
      <c r="BH10" s="157">
        <v>0.995</v>
      </c>
      <c r="BI10" s="174">
        <v>1390.6</v>
      </c>
      <c r="BJ10" s="157">
        <v>3.05</v>
      </c>
      <c r="BK10" s="159">
        <v>1466</v>
      </c>
      <c r="BL10" s="160">
        <v>140</v>
      </c>
      <c r="BM10" s="160">
        <v>128</v>
      </c>
      <c r="BN10" s="160">
        <v>48</v>
      </c>
      <c r="BO10" s="160">
        <v>14</v>
      </c>
      <c r="BP10" s="160">
        <v>22</v>
      </c>
      <c r="BQ10" s="160">
        <v>36</v>
      </c>
      <c r="BR10" s="160">
        <v>1.54</v>
      </c>
      <c r="BS10" s="8">
        <v>2689.2</v>
      </c>
      <c r="BT10" s="161">
        <v>1.83</v>
      </c>
      <c r="BU10" s="156"/>
      <c r="BV10" s="156"/>
    </row>
    <row r="11" spans="1:74">
      <c r="A11" s="149" t="s">
        <v>92</v>
      </c>
      <c r="B11" s="163" t="s">
        <v>570</v>
      </c>
      <c r="C11" s="158"/>
      <c r="D11" s="154"/>
      <c r="E11" s="153"/>
      <c r="F11" s="154"/>
      <c r="G11" s="153"/>
      <c r="H11" s="154"/>
      <c r="I11" s="153"/>
      <c r="J11" s="154"/>
      <c r="K11" s="153"/>
      <c r="L11" s="154"/>
      <c r="M11" s="157" t="str">
        <v/>
      </c>
      <c r="N11" s="157" t="str">
        <v/>
      </c>
      <c r="O11" s="157" t="str">
        <v/>
      </c>
      <c r="P11" s="157" t="str">
        <v/>
      </c>
      <c r="Q11" s="157" t="str">
        <v/>
      </c>
      <c r="R11" s="157" t="str">
        <v/>
      </c>
      <c r="S11" s="157" t="str">
        <v/>
      </c>
      <c r="T11" s="157" t="str">
        <v/>
      </c>
      <c r="U11" s="163" t="str">
        <v/>
      </c>
      <c r="V11" s="157" t="str">
        <v/>
      </c>
      <c r="W11" s="158"/>
      <c r="X11" s="154"/>
      <c r="Y11" s="153"/>
      <c r="Z11" s="154"/>
      <c r="AA11" s="153"/>
      <c r="AB11" s="154"/>
      <c r="AC11" s="153"/>
      <c r="AD11" s="154"/>
      <c r="AE11" s="153"/>
      <c r="AF11" s="154"/>
      <c r="AG11" s="157" t="str">
        <v/>
      </c>
      <c r="AH11" s="157" t="str">
        <v/>
      </c>
      <c r="AI11" s="157" t="str">
        <v/>
      </c>
      <c r="AJ11" s="157" t="str">
        <v/>
      </c>
      <c r="AK11" s="157" t="str">
        <v/>
      </c>
      <c r="AL11" s="157" t="str">
        <v/>
      </c>
      <c r="AM11" s="157" t="str">
        <v/>
      </c>
      <c r="AN11" s="157" t="str">
        <v/>
      </c>
      <c r="AO11" s="174" t="str">
        <v/>
      </c>
      <c r="AP11" s="157" t="str">
        <v/>
      </c>
      <c r="AQ11" s="158"/>
      <c r="AR11" s="154"/>
      <c r="AS11" s="153"/>
      <c r="AT11" s="154"/>
      <c r="AU11" s="153"/>
      <c r="AV11" s="154"/>
      <c r="AW11" s="153"/>
      <c r="AX11" s="154"/>
      <c r="AY11" s="153"/>
      <c r="AZ11" s="154"/>
      <c r="BA11" s="157" t="str">
        <v/>
      </c>
      <c r="BB11" s="157" t="str">
        <v/>
      </c>
      <c r="BC11" s="157" t="str">
        <v/>
      </c>
      <c r="BD11" s="157" t="str">
        <v/>
      </c>
      <c r="BE11" s="157" t="str">
        <v/>
      </c>
      <c r="BF11" s="157" t="str">
        <v/>
      </c>
      <c r="BG11" s="157" t="str">
        <v/>
      </c>
      <c r="BH11" s="157" t="str">
        <v/>
      </c>
      <c r="BI11" s="174" t="str">
        <v/>
      </c>
      <c r="BJ11" s="157" t="str">
        <v/>
      </c>
      <c r="BK11" s="159" t="str">
        <v/>
      </c>
      <c r="BL11" s="160" t="str">
        <v/>
      </c>
      <c r="BM11" s="160" t="str">
        <v/>
      </c>
      <c r="BN11" s="160" t="str">
        <v/>
      </c>
      <c r="BO11" s="160" t="str">
        <v/>
      </c>
      <c r="BP11" s="160" t="str">
        <v/>
      </c>
      <c r="BQ11" s="160" t="str">
        <v/>
      </c>
      <c r="BR11" s="160" t="str">
        <v/>
      </c>
      <c r="BS11" s="8" t="str">
        <v/>
      </c>
      <c r="BT11" s="161" t="str">
        <v/>
      </c>
      <c r="BU11" s="156"/>
      <c r="BV11" s="156"/>
    </row>
    <row r="12" spans="1:74">
      <c r="A12" s="149" t="s">
        <v>92</v>
      </c>
      <c r="B12" s="163" t="s">
        <v>571</v>
      </c>
      <c r="C12" s="158"/>
      <c r="D12" s="154"/>
      <c r="E12" s="153"/>
      <c r="F12" s="154"/>
      <c r="G12" s="153"/>
      <c r="H12" s="154"/>
      <c r="I12" s="153"/>
      <c r="J12" s="154"/>
      <c r="K12" s="153"/>
      <c r="L12" s="154"/>
      <c r="M12" s="157" t="str">
        <v/>
      </c>
      <c r="N12" s="157" t="str">
        <v/>
      </c>
      <c r="O12" s="157" t="str">
        <v/>
      </c>
      <c r="P12" s="157" t="str">
        <v/>
      </c>
      <c r="Q12" s="157" t="str">
        <v/>
      </c>
      <c r="R12" s="157" t="str">
        <v/>
      </c>
      <c r="S12" s="157" t="str">
        <v/>
      </c>
      <c r="T12" s="157" t="str">
        <v/>
      </c>
      <c r="U12" s="163" t="str">
        <v/>
      </c>
      <c r="V12" s="157" t="str">
        <v/>
      </c>
      <c r="W12" s="158"/>
      <c r="X12" s="154"/>
      <c r="Y12" s="153"/>
      <c r="Z12" s="154"/>
      <c r="AA12" s="153"/>
      <c r="AB12" s="154"/>
      <c r="AC12" s="153"/>
      <c r="AD12" s="154"/>
      <c r="AE12" s="153"/>
      <c r="AF12" s="154"/>
      <c r="AG12" s="157" t="str">
        <v/>
      </c>
      <c r="AH12" s="157" t="str">
        <v/>
      </c>
      <c r="AI12" s="157" t="str">
        <v/>
      </c>
      <c r="AJ12" s="157" t="str">
        <v/>
      </c>
      <c r="AK12" s="157" t="str">
        <v/>
      </c>
      <c r="AL12" s="157" t="str">
        <v/>
      </c>
      <c r="AM12" s="157" t="str">
        <v/>
      </c>
      <c r="AN12" s="157" t="str">
        <v/>
      </c>
      <c r="AO12" s="174" t="str">
        <v/>
      </c>
      <c r="AP12" s="157" t="str">
        <v/>
      </c>
      <c r="AQ12" s="158"/>
      <c r="AR12" s="154"/>
      <c r="AS12" s="153"/>
      <c r="AT12" s="154"/>
      <c r="AU12" s="153"/>
      <c r="AV12" s="154"/>
      <c r="AW12" s="153"/>
      <c r="AX12" s="154"/>
      <c r="AY12" s="153"/>
      <c r="AZ12" s="154"/>
      <c r="BA12" s="157" t="str">
        <v/>
      </c>
      <c r="BB12" s="157" t="str">
        <v/>
      </c>
      <c r="BC12" s="157" t="str">
        <v/>
      </c>
      <c r="BD12" s="157" t="str">
        <v/>
      </c>
      <c r="BE12" s="157" t="str">
        <v/>
      </c>
      <c r="BF12" s="157" t="str">
        <v/>
      </c>
      <c r="BG12" s="157" t="str">
        <v/>
      </c>
      <c r="BH12" s="157" t="str">
        <v/>
      </c>
      <c r="BI12" s="174" t="str">
        <v/>
      </c>
      <c r="BJ12" s="157" t="str">
        <v/>
      </c>
      <c r="BK12" s="159" t="str">
        <v/>
      </c>
      <c r="BL12" s="160" t="str">
        <v/>
      </c>
      <c r="BM12" s="160" t="str">
        <v/>
      </c>
      <c r="BN12" s="160" t="str">
        <v/>
      </c>
      <c r="BO12" s="160" t="str">
        <v/>
      </c>
      <c r="BP12" s="160" t="str">
        <v/>
      </c>
      <c r="BQ12" s="160" t="str">
        <v/>
      </c>
      <c r="BR12" s="160" t="str">
        <v/>
      </c>
      <c r="BS12" s="8" t="str">
        <v/>
      </c>
      <c r="BT12" s="161" t="str">
        <v/>
      </c>
      <c r="BU12" s="156"/>
      <c r="BV12" s="156"/>
    </row>
    <row r="13" spans="1:74">
      <c r="A13" s="149" t="s">
        <v>92</v>
      </c>
      <c r="B13" s="163" t="s">
        <v>572</v>
      </c>
      <c r="C13" s="158"/>
      <c r="D13" s="154"/>
      <c r="E13" s="153"/>
      <c r="F13" s="154"/>
      <c r="G13" s="153"/>
      <c r="H13" s="154"/>
      <c r="I13" s="153"/>
      <c r="J13" s="154"/>
      <c r="K13" s="153"/>
      <c r="L13" s="154"/>
      <c r="M13" s="157" t="str">
        <v/>
      </c>
      <c r="N13" s="157" t="str">
        <v/>
      </c>
      <c r="O13" s="157" t="str">
        <v/>
      </c>
      <c r="P13" s="157" t="str">
        <v/>
      </c>
      <c r="Q13" s="157" t="str">
        <v/>
      </c>
      <c r="R13" s="157" t="str">
        <v/>
      </c>
      <c r="S13" s="157" t="str">
        <v/>
      </c>
      <c r="T13" s="157" t="str">
        <v/>
      </c>
      <c r="U13" s="163" t="str">
        <v/>
      </c>
      <c r="V13" s="157" t="str">
        <v/>
      </c>
      <c r="W13" s="158"/>
      <c r="X13" s="154"/>
      <c r="Y13" s="153"/>
      <c r="Z13" s="154"/>
      <c r="AA13" s="153"/>
      <c r="AB13" s="154"/>
      <c r="AC13" s="153"/>
      <c r="AD13" s="154"/>
      <c r="AE13" s="153"/>
      <c r="AF13" s="154"/>
      <c r="AG13" s="157" t="str">
        <v/>
      </c>
      <c r="AH13" s="157" t="str">
        <v/>
      </c>
      <c r="AI13" s="157" t="str">
        <v/>
      </c>
      <c r="AJ13" s="157" t="str">
        <v/>
      </c>
      <c r="AK13" s="157" t="str">
        <v/>
      </c>
      <c r="AL13" s="157" t="str">
        <v/>
      </c>
      <c r="AM13" s="157" t="str">
        <v/>
      </c>
      <c r="AN13" s="157" t="str">
        <v/>
      </c>
      <c r="AO13" s="174" t="str">
        <v/>
      </c>
      <c r="AP13" s="157" t="str">
        <v/>
      </c>
      <c r="AQ13" s="158"/>
      <c r="AR13" s="154"/>
      <c r="AS13" s="153"/>
      <c r="AT13" s="154"/>
      <c r="AU13" s="153"/>
      <c r="AV13" s="154"/>
      <c r="AW13" s="153"/>
      <c r="AX13" s="154"/>
      <c r="AY13" s="153"/>
      <c r="AZ13" s="154"/>
      <c r="BA13" s="157" t="str">
        <v/>
      </c>
      <c r="BB13" s="157" t="str">
        <v/>
      </c>
      <c r="BC13" s="157" t="str">
        <v/>
      </c>
      <c r="BD13" s="157" t="str">
        <v/>
      </c>
      <c r="BE13" s="157" t="str">
        <v/>
      </c>
      <c r="BF13" s="157" t="str">
        <v/>
      </c>
      <c r="BG13" s="157" t="str">
        <v/>
      </c>
      <c r="BH13" s="157" t="str">
        <v/>
      </c>
      <c r="BI13" s="174" t="str">
        <v/>
      </c>
      <c r="BJ13" s="157" t="str">
        <v/>
      </c>
      <c r="BK13" s="159" t="str">
        <v/>
      </c>
      <c r="BL13" s="160" t="str">
        <v/>
      </c>
      <c r="BM13" s="160" t="str">
        <v/>
      </c>
      <c r="BN13" s="160" t="str">
        <v/>
      </c>
      <c r="BO13" s="160" t="str">
        <v/>
      </c>
      <c r="BP13" s="160" t="str">
        <v/>
      </c>
      <c r="BQ13" s="160" t="str">
        <v/>
      </c>
      <c r="BR13" s="160" t="str">
        <v/>
      </c>
      <c r="BS13" s="8" t="str">
        <v/>
      </c>
      <c r="BT13" s="161" t="str">
        <v/>
      </c>
      <c r="BU13" s="156"/>
      <c r="BV13" s="156"/>
    </row>
    <row r="14" spans="1:74">
      <c r="A14" s="149" t="s">
        <v>92</v>
      </c>
      <c r="B14" s="163" t="s">
        <v>573</v>
      </c>
      <c r="C14" s="158"/>
      <c r="D14" s="154"/>
      <c r="E14" s="153"/>
      <c r="F14" s="154"/>
      <c r="G14" s="153"/>
      <c r="H14" s="154"/>
      <c r="I14" s="153"/>
      <c r="J14" s="154"/>
      <c r="K14" s="153"/>
      <c r="L14" s="154"/>
      <c r="M14" s="157" t="str">
        <v/>
      </c>
      <c r="N14" s="157" t="str">
        <v/>
      </c>
      <c r="O14" s="157" t="str">
        <v/>
      </c>
      <c r="P14" s="157" t="str">
        <v/>
      </c>
      <c r="Q14" s="157" t="str">
        <v/>
      </c>
      <c r="R14" s="157" t="str">
        <v/>
      </c>
      <c r="S14" s="157" t="str">
        <v/>
      </c>
      <c r="T14" s="157" t="str">
        <v/>
      </c>
      <c r="U14" s="163" t="str">
        <v/>
      </c>
      <c r="V14" s="157" t="str">
        <v/>
      </c>
      <c r="W14" s="158"/>
      <c r="X14" s="154"/>
      <c r="Y14" s="153"/>
      <c r="Z14" s="154"/>
      <c r="AA14" s="153"/>
      <c r="AB14" s="154"/>
      <c r="AC14" s="153"/>
      <c r="AD14" s="154"/>
      <c r="AE14" s="153"/>
      <c r="AF14" s="154"/>
      <c r="AG14" s="157" t="str">
        <v/>
      </c>
      <c r="AH14" s="157" t="str">
        <v/>
      </c>
      <c r="AI14" s="157" t="str">
        <v/>
      </c>
      <c r="AJ14" s="157" t="str">
        <v/>
      </c>
      <c r="AK14" s="157" t="str">
        <v/>
      </c>
      <c r="AL14" s="157" t="str">
        <v/>
      </c>
      <c r="AM14" s="157" t="str">
        <v/>
      </c>
      <c r="AN14" s="157" t="str">
        <v/>
      </c>
      <c r="AO14" s="174" t="str">
        <v/>
      </c>
      <c r="AP14" s="157" t="str">
        <v/>
      </c>
      <c r="AQ14" s="150" t="s">
        <v>394</v>
      </c>
      <c r="AR14" s="151">
        <v>3</v>
      </c>
      <c r="AS14" s="152" t="s">
        <v>257</v>
      </c>
      <c r="AT14" s="151">
        <v>250</v>
      </c>
      <c r="AU14" s="152" t="s">
        <v>367</v>
      </c>
      <c r="AV14" s="151">
        <v>80</v>
      </c>
      <c r="AW14" s="152" t="s">
        <v>443</v>
      </c>
      <c r="AX14" s="151">
        <v>5</v>
      </c>
      <c r="AY14" s="153"/>
      <c r="AZ14" s="154"/>
      <c r="BA14" s="157">
        <v>403.6</v>
      </c>
      <c r="BB14" s="157">
        <v>28.85</v>
      </c>
      <c r="BC14" s="157">
        <v>26.130000000000003</v>
      </c>
      <c r="BD14" s="157">
        <v>21.729999999999997</v>
      </c>
      <c r="BE14" s="157">
        <v>5.7500000000000009</v>
      </c>
      <c r="BF14" s="157">
        <v>3.9400000000000004</v>
      </c>
      <c r="BG14" s="157">
        <v>7.52</v>
      </c>
      <c r="BH14" s="157">
        <v>0.51024999999999998</v>
      </c>
      <c r="BI14" s="174">
        <v>324</v>
      </c>
      <c r="BJ14" s="157">
        <v>0.8</v>
      </c>
      <c r="BK14" s="159">
        <v>404</v>
      </c>
      <c r="BL14" s="160">
        <v>29</v>
      </c>
      <c r="BM14" s="160">
        <v>26</v>
      </c>
      <c r="BN14" s="160">
        <v>22</v>
      </c>
      <c r="BO14" s="160">
        <v>6</v>
      </c>
      <c r="BP14" s="160">
        <v>4</v>
      </c>
      <c r="BQ14" s="160">
        <v>8</v>
      </c>
      <c r="BR14" s="160">
        <v>0.51</v>
      </c>
      <c r="BS14" s="8">
        <v>324</v>
      </c>
      <c r="BT14" s="161">
        <v>0.8</v>
      </c>
      <c r="BU14" s="156"/>
      <c r="BV14" s="156"/>
    </row>
    <row r="15" spans="1:74">
      <c r="A15" s="149" t="s">
        <v>92</v>
      </c>
      <c r="B15" s="163" t="s">
        <v>574</v>
      </c>
      <c r="C15" s="158"/>
      <c r="D15" s="154"/>
      <c r="E15" s="153"/>
      <c r="F15" s="154"/>
      <c r="G15" s="153"/>
      <c r="H15" s="154"/>
      <c r="I15" s="153"/>
      <c r="J15" s="154"/>
      <c r="K15" s="153"/>
      <c r="L15" s="154"/>
      <c r="M15" s="157" t="str">
        <v/>
      </c>
      <c r="N15" s="157" t="str">
        <v/>
      </c>
      <c r="O15" s="157" t="str">
        <v/>
      </c>
      <c r="P15" s="157" t="str">
        <v/>
      </c>
      <c r="Q15" s="157" t="str">
        <v/>
      </c>
      <c r="R15" s="157" t="str">
        <v/>
      </c>
      <c r="S15" s="157" t="str">
        <v/>
      </c>
      <c r="T15" s="157" t="str">
        <v/>
      </c>
      <c r="U15" s="163" t="str">
        <v/>
      </c>
      <c r="V15" s="157" t="str">
        <v/>
      </c>
      <c r="W15" s="158"/>
      <c r="X15" s="154"/>
      <c r="Y15" s="153"/>
      <c r="Z15" s="154"/>
      <c r="AA15" s="153"/>
      <c r="AB15" s="154"/>
      <c r="AC15" s="153"/>
      <c r="AD15" s="154"/>
      <c r="AE15" s="153"/>
      <c r="AF15" s="154"/>
      <c r="AG15" s="157" t="str">
        <v/>
      </c>
      <c r="AH15" s="157" t="str">
        <v/>
      </c>
      <c r="AI15" s="157" t="str">
        <v/>
      </c>
      <c r="AJ15" s="157" t="str">
        <v/>
      </c>
      <c r="AK15" s="157" t="str">
        <v/>
      </c>
      <c r="AL15" s="157" t="str">
        <v/>
      </c>
      <c r="AM15" s="157" t="str">
        <v/>
      </c>
      <c r="AN15" s="157" t="str">
        <v/>
      </c>
      <c r="AO15" s="174" t="str">
        <v/>
      </c>
      <c r="AP15" s="157" t="str">
        <v/>
      </c>
      <c r="AQ15" s="158"/>
      <c r="AR15" s="154"/>
      <c r="AS15" s="153"/>
      <c r="AT15" s="154"/>
      <c r="AU15" s="153"/>
      <c r="AV15" s="154"/>
      <c r="AW15" s="153"/>
      <c r="AX15" s="154"/>
      <c r="AY15" s="153"/>
      <c r="AZ15" s="154"/>
      <c r="BA15" s="157" t="str">
        <v/>
      </c>
      <c r="BB15" s="157" t="str">
        <v/>
      </c>
      <c r="BC15" s="157" t="str">
        <v/>
      </c>
      <c r="BD15" s="157" t="str">
        <v/>
      </c>
      <c r="BE15" s="157" t="str">
        <v/>
      </c>
      <c r="BF15" s="157" t="str">
        <v/>
      </c>
      <c r="BG15" s="157" t="str">
        <v/>
      </c>
      <c r="BH15" s="157" t="str">
        <v/>
      </c>
      <c r="BI15" s="174" t="str">
        <v/>
      </c>
      <c r="BJ15" s="157" t="str">
        <v/>
      </c>
      <c r="BK15" s="159" t="str">
        <v/>
      </c>
      <c r="BL15" s="160" t="str">
        <v/>
      </c>
      <c r="BM15" s="160" t="str">
        <v/>
      </c>
      <c r="BN15" s="160" t="str">
        <v/>
      </c>
      <c r="BO15" s="160" t="str">
        <v/>
      </c>
      <c r="BP15" s="160" t="str">
        <v/>
      </c>
      <c r="BQ15" s="160" t="str">
        <v/>
      </c>
      <c r="BR15" s="160" t="str">
        <v/>
      </c>
      <c r="BS15" s="8" t="str">
        <v/>
      </c>
      <c r="BT15" s="161" t="str">
        <v/>
      </c>
      <c r="BU15" s="156"/>
      <c r="BV15" s="156"/>
    </row>
    <row r="16" spans="1:74">
      <c r="A16" s="149" t="s">
        <v>92</v>
      </c>
      <c r="B16" s="163" t="s">
        <v>575</v>
      </c>
      <c r="C16" s="158"/>
      <c r="D16" s="154"/>
      <c r="E16" s="153"/>
      <c r="F16" s="154"/>
      <c r="G16" s="153"/>
      <c r="H16" s="154"/>
      <c r="I16" s="153"/>
      <c r="J16" s="154"/>
      <c r="K16" s="153"/>
      <c r="L16" s="154"/>
      <c r="M16" s="157" t="str">
        <v/>
      </c>
      <c r="N16" s="157" t="str">
        <v/>
      </c>
      <c r="O16" s="157" t="str">
        <v/>
      </c>
      <c r="P16" s="157" t="str">
        <v/>
      </c>
      <c r="Q16" s="157" t="str">
        <v/>
      </c>
      <c r="R16" s="157" t="str">
        <v/>
      </c>
      <c r="S16" s="157" t="str">
        <v/>
      </c>
      <c r="T16" s="157" t="str">
        <v/>
      </c>
      <c r="U16" s="163" t="str">
        <v/>
      </c>
      <c r="V16" s="157" t="str">
        <v/>
      </c>
      <c r="W16" s="158"/>
      <c r="X16" s="154"/>
      <c r="Y16" s="153"/>
      <c r="Z16" s="154"/>
      <c r="AA16" s="153"/>
      <c r="AB16" s="154"/>
      <c r="AC16" s="153"/>
      <c r="AD16" s="154"/>
      <c r="AE16" s="153"/>
      <c r="AF16" s="154"/>
      <c r="AG16" s="157" t="str">
        <v/>
      </c>
      <c r="AH16" s="157" t="str">
        <v/>
      </c>
      <c r="AI16" s="157" t="str">
        <v/>
      </c>
      <c r="AJ16" s="157" t="str">
        <v/>
      </c>
      <c r="AK16" s="157" t="str">
        <v/>
      </c>
      <c r="AL16" s="157" t="str">
        <v/>
      </c>
      <c r="AM16" s="157" t="str">
        <v/>
      </c>
      <c r="AN16" s="157" t="str">
        <v/>
      </c>
      <c r="AO16" s="174" t="str">
        <v/>
      </c>
      <c r="AP16" s="157" t="str">
        <v/>
      </c>
      <c r="AQ16" s="158"/>
      <c r="AR16" s="154"/>
      <c r="AS16" s="153"/>
      <c r="AT16" s="154"/>
      <c r="AU16" s="153"/>
      <c r="AV16" s="154"/>
      <c r="AW16" s="153"/>
      <c r="AX16" s="154"/>
      <c r="AY16" s="153"/>
      <c r="AZ16" s="154"/>
      <c r="BA16" s="157" t="str">
        <v/>
      </c>
      <c r="BB16" s="157" t="str">
        <v/>
      </c>
      <c r="BC16" s="157" t="str">
        <v/>
      </c>
      <c r="BD16" s="157" t="str">
        <v/>
      </c>
      <c r="BE16" s="157" t="str">
        <v/>
      </c>
      <c r="BF16" s="157" t="str">
        <v/>
      </c>
      <c r="BG16" s="157" t="str">
        <v/>
      </c>
      <c r="BH16" s="157" t="str">
        <v/>
      </c>
      <c r="BI16" s="174" t="str">
        <v/>
      </c>
      <c r="BJ16" s="157" t="str">
        <v/>
      </c>
      <c r="BK16" s="159" t="str">
        <v/>
      </c>
      <c r="BL16" s="160" t="str">
        <v/>
      </c>
      <c r="BM16" s="160" t="str">
        <v/>
      </c>
      <c r="BN16" s="160" t="str">
        <v/>
      </c>
      <c r="BO16" s="160" t="str">
        <v/>
      </c>
      <c r="BP16" s="160" t="str">
        <v/>
      </c>
      <c r="BQ16" s="160" t="str">
        <v/>
      </c>
      <c r="BR16" s="160" t="str">
        <v/>
      </c>
      <c r="BS16" s="8" t="str">
        <v/>
      </c>
      <c r="BT16" s="161" t="str">
        <v/>
      </c>
      <c r="BU16" s="156"/>
      <c r="BV16" s="156"/>
    </row>
    <row r="17" spans="1:74">
      <c r="A17" s="163"/>
      <c r="B17" s="163"/>
      <c r="C17" s="158"/>
      <c r="D17" s="154"/>
      <c r="E17" s="153"/>
      <c r="F17" s="154"/>
      <c r="G17" s="153"/>
      <c r="H17" s="154"/>
      <c r="I17" s="153"/>
      <c r="J17" s="154"/>
      <c r="K17" s="153"/>
      <c r="L17" s="154"/>
      <c r="M17" s="157" t="str">
        <v/>
      </c>
      <c r="N17" s="157" t="str">
        <v/>
      </c>
      <c r="O17" s="157" t="str">
        <v/>
      </c>
      <c r="P17" s="157" t="str">
        <v/>
      </c>
      <c r="Q17" s="157" t="str">
        <v/>
      </c>
      <c r="R17" s="157" t="str">
        <v/>
      </c>
      <c r="S17" s="157" t="str">
        <v/>
      </c>
      <c r="T17" s="157" t="str">
        <v/>
      </c>
      <c r="U17" s="163" t="str">
        <v/>
      </c>
      <c r="V17" s="157" t="str">
        <v/>
      </c>
      <c r="W17" s="158"/>
      <c r="X17" s="154"/>
      <c r="Y17" s="153"/>
      <c r="Z17" s="154"/>
      <c r="AA17" s="153"/>
      <c r="AB17" s="154"/>
      <c r="AC17" s="153"/>
      <c r="AD17" s="154"/>
      <c r="AE17" s="153"/>
      <c r="AF17" s="154"/>
      <c r="AG17" s="157" t="str">
        <v/>
      </c>
      <c r="AH17" s="157" t="str">
        <v/>
      </c>
      <c r="AI17" s="157" t="str">
        <v/>
      </c>
      <c r="AJ17" s="157" t="str">
        <v/>
      </c>
      <c r="AK17" s="157" t="str">
        <v/>
      </c>
      <c r="AL17" s="157" t="str">
        <v/>
      </c>
      <c r="AM17" s="157" t="str">
        <v/>
      </c>
      <c r="AN17" s="157" t="str">
        <v/>
      </c>
      <c r="AO17" s="174" t="str">
        <v/>
      </c>
      <c r="AP17" s="157" t="str">
        <v/>
      </c>
      <c r="AQ17" s="158"/>
      <c r="AR17" s="154"/>
      <c r="AS17" s="153"/>
      <c r="AT17" s="154"/>
      <c r="AU17" s="153"/>
      <c r="AV17" s="154"/>
      <c r="AW17" s="153"/>
      <c r="AX17" s="154"/>
      <c r="AY17" s="153"/>
      <c r="AZ17" s="154"/>
      <c r="BA17" s="157" t="str">
        <v/>
      </c>
      <c r="BB17" s="157" t="str">
        <v/>
      </c>
      <c r="BC17" s="157" t="str">
        <v/>
      </c>
      <c r="BD17" s="157" t="str">
        <v/>
      </c>
      <c r="BE17" s="157" t="str">
        <v/>
      </c>
      <c r="BF17" s="157" t="str">
        <v/>
      </c>
      <c r="BG17" s="157" t="str">
        <v/>
      </c>
      <c r="BH17" s="157" t="str">
        <v/>
      </c>
      <c r="BI17" s="174" t="str">
        <v/>
      </c>
      <c r="BJ17" s="157" t="str">
        <v/>
      </c>
      <c r="BK17" s="159" t="str">
        <v/>
      </c>
      <c r="BL17" s="160" t="str">
        <v/>
      </c>
      <c r="BM17" s="160" t="str">
        <v/>
      </c>
      <c r="BN17" s="160" t="str">
        <v/>
      </c>
      <c r="BO17" s="160" t="str">
        <v/>
      </c>
      <c r="BP17" s="160" t="str">
        <v/>
      </c>
      <c r="BQ17" s="160" t="str">
        <v/>
      </c>
      <c r="BR17" s="160" t="str">
        <v/>
      </c>
      <c r="BS17" s="8" t="str">
        <v/>
      </c>
      <c r="BT17" s="161" t="str">
        <v/>
      </c>
      <c r="BU17" s="156"/>
      <c r="BV17" s="156"/>
    </row>
    <row r="18" spans="1:74">
      <c r="A18" s="163"/>
      <c r="B18" s="163"/>
      <c r="C18" s="158"/>
      <c r="D18" s="154"/>
      <c r="E18" s="153"/>
      <c r="F18" s="154"/>
      <c r="G18" s="153"/>
      <c r="H18" s="154"/>
      <c r="I18" s="153"/>
      <c r="J18" s="154"/>
      <c r="K18" s="153"/>
      <c r="L18" s="154"/>
      <c r="M18" s="157" t="str">
        <v/>
      </c>
      <c r="N18" s="157" t="str">
        <v/>
      </c>
      <c r="O18" s="157" t="str">
        <v/>
      </c>
      <c r="P18" s="157" t="str">
        <v/>
      </c>
      <c r="Q18" s="157" t="str">
        <v/>
      </c>
      <c r="R18" s="157" t="str">
        <v/>
      </c>
      <c r="S18" s="157" t="str">
        <v/>
      </c>
      <c r="T18" s="157" t="str">
        <v/>
      </c>
      <c r="U18" s="163" t="str">
        <v/>
      </c>
      <c r="V18" s="157" t="str">
        <v/>
      </c>
      <c r="W18" s="158"/>
      <c r="X18" s="154"/>
      <c r="Y18" s="153"/>
      <c r="Z18" s="154"/>
      <c r="AA18" s="153"/>
      <c r="AB18" s="154"/>
      <c r="AC18" s="153"/>
      <c r="AD18" s="154"/>
      <c r="AE18" s="153"/>
      <c r="AF18" s="154"/>
      <c r="AG18" s="157" t="str">
        <v/>
      </c>
      <c r="AH18" s="157" t="str">
        <v/>
      </c>
      <c r="AI18" s="157" t="str">
        <v/>
      </c>
      <c r="AJ18" s="157" t="str">
        <v/>
      </c>
      <c r="AK18" s="157" t="str">
        <v/>
      </c>
      <c r="AL18" s="157" t="str">
        <v/>
      </c>
      <c r="AM18" s="157" t="str">
        <v/>
      </c>
      <c r="AN18" s="157" t="str">
        <v/>
      </c>
      <c r="AO18" s="174" t="str">
        <v/>
      </c>
      <c r="AP18" s="157" t="str">
        <v/>
      </c>
      <c r="AQ18" s="158"/>
      <c r="AR18" s="154"/>
      <c r="AS18" s="153"/>
      <c r="AT18" s="154"/>
      <c r="AU18" s="153"/>
      <c r="AV18" s="154"/>
      <c r="AW18" s="153"/>
      <c r="AX18" s="154"/>
      <c r="AY18" s="153"/>
      <c r="AZ18" s="154"/>
      <c r="BA18" s="157" t="str">
        <v/>
      </c>
      <c r="BB18" s="157" t="str">
        <v/>
      </c>
      <c r="BC18" s="157" t="str">
        <v/>
      </c>
      <c r="BD18" s="157" t="str">
        <v/>
      </c>
      <c r="BE18" s="157" t="str">
        <v/>
      </c>
      <c r="BF18" s="157" t="str">
        <v/>
      </c>
      <c r="BG18" s="157" t="str">
        <v/>
      </c>
      <c r="BH18" s="157" t="str">
        <v/>
      </c>
      <c r="BI18" s="174" t="str">
        <v/>
      </c>
      <c r="BJ18" s="157" t="str">
        <v/>
      </c>
      <c r="BK18" s="159" t="str">
        <v/>
      </c>
      <c r="BL18" s="160" t="str">
        <v/>
      </c>
      <c r="BM18" s="160" t="str">
        <v/>
      </c>
      <c r="BN18" s="160" t="str">
        <v/>
      </c>
      <c r="BO18" s="160" t="str">
        <v/>
      </c>
      <c r="BP18" s="160" t="str">
        <v/>
      </c>
      <c r="BQ18" s="160" t="str">
        <v/>
      </c>
      <c r="BR18" s="160" t="str">
        <v/>
      </c>
      <c r="BS18" s="8" t="str">
        <v/>
      </c>
      <c r="BT18" s="161" t="str">
        <v/>
      </c>
      <c r="BU18" s="156"/>
      <c r="BV18" s="156"/>
    </row>
    <row r="19" spans="1:74">
      <c r="A19" s="163"/>
      <c r="B19" s="163"/>
      <c r="C19" s="158"/>
      <c r="D19" s="154"/>
      <c r="E19" s="153"/>
      <c r="F19" s="154"/>
      <c r="G19" s="153"/>
      <c r="H19" s="154"/>
      <c r="I19" s="153"/>
      <c r="J19" s="154"/>
      <c r="K19" s="153"/>
      <c r="L19" s="154"/>
      <c r="M19" s="157" t="str">
        <v/>
      </c>
      <c r="N19" s="157" t="str">
        <v/>
      </c>
      <c r="O19" s="157" t="str">
        <v/>
      </c>
      <c r="P19" s="157" t="str">
        <v/>
      </c>
      <c r="Q19" s="157" t="str">
        <v/>
      </c>
      <c r="R19" s="157" t="str">
        <v/>
      </c>
      <c r="S19" s="157" t="str">
        <v/>
      </c>
      <c r="T19" s="157" t="str">
        <v/>
      </c>
      <c r="U19" s="163" t="str">
        <v/>
      </c>
      <c r="V19" s="157" t="str">
        <v/>
      </c>
      <c r="W19" s="158"/>
      <c r="X19" s="154"/>
      <c r="Y19" s="153"/>
      <c r="Z19" s="154"/>
      <c r="AA19" s="153"/>
      <c r="AB19" s="154"/>
      <c r="AC19" s="153"/>
      <c r="AD19" s="154"/>
      <c r="AE19" s="153"/>
      <c r="AF19" s="154"/>
      <c r="AG19" s="157" t="str">
        <v/>
      </c>
      <c r="AH19" s="157" t="str">
        <v/>
      </c>
      <c r="AI19" s="157" t="str">
        <v/>
      </c>
      <c r="AJ19" s="157" t="str">
        <v/>
      </c>
      <c r="AK19" s="157" t="str">
        <v/>
      </c>
      <c r="AL19" s="157" t="str">
        <v/>
      </c>
      <c r="AM19" s="157" t="str">
        <v/>
      </c>
      <c r="AN19" s="157" t="str">
        <v/>
      </c>
      <c r="AO19" s="174" t="str">
        <v/>
      </c>
      <c r="AP19" s="157" t="str">
        <v/>
      </c>
      <c r="AQ19" s="158"/>
      <c r="AR19" s="154"/>
      <c r="AS19" s="153"/>
      <c r="AT19" s="154"/>
      <c r="AU19" s="153"/>
      <c r="AV19" s="154"/>
      <c r="AW19" s="153"/>
      <c r="AX19" s="154"/>
      <c r="AY19" s="153"/>
      <c r="AZ19" s="154"/>
      <c r="BA19" s="157" t="str">
        <v/>
      </c>
      <c r="BB19" s="157" t="str">
        <v/>
      </c>
      <c r="BC19" s="157" t="str">
        <v/>
      </c>
      <c r="BD19" s="157" t="str">
        <v/>
      </c>
      <c r="BE19" s="157" t="str">
        <v/>
      </c>
      <c r="BF19" s="157" t="str">
        <v/>
      </c>
      <c r="BG19" s="157" t="str">
        <v/>
      </c>
      <c r="BH19" s="157" t="str">
        <v/>
      </c>
      <c r="BI19" s="174" t="str">
        <v/>
      </c>
      <c r="BJ19" s="157" t="str">
        <v/>
      </c>
      <c r="BK19" s="159" t="str">
        <v/>
      </c>
      <c r="BL19" s="160" t="str">
        <v/>
      </c>
      <c r="BM19" s="160" t="str">
        <v/>
      </c>
      <c r="BN19" s="160" t="str">
        <v/>
      </c>
      <c r="BO19" s="160" t="str">
        <v/>
      </c>
      <c r="BP19" s="160" t="str">
        <v/>
      </c>
      <c r="BQ19" s="160" t="str">
        <v/>
      </c>
      <c r="BR19" s="160" t="str">
        <v/>
      </c>
      <c r="BS19" s="8" t="str">
        <v/>
      </c>
      <c r="BT19" s="161" t="str">
        <v/>
      </c>
      <c r="BU19" s="156"/>
      <c r="BV19" s="156"/>
    </row>
    <row r="20" spans="1:74">
      <c r="A20" s="163"/>
      <c r="B20" s="163"/>
      <c r="C20" s="158"/>
      <c r="D20" s="154"/>
      <c r="E20" s="153"/>
      <c r="F20" s="154"/>
      <c r="G20" s="153"/>
      <c r="H20" s="154"/>
      <c r="I20" s="153"/>
      <c r="J20" s="154"/>
      <c r="K20" s="153"/>
      <c r="L20" s="154"/>
      <c r="M20" s="157" t="str">
        <v/>
      </c>
      <c r="N20" s="157" t="str">
        <v/>
      </c>
      <c r="O20" s="157" t="str">
        <v/>
      </c>
      <c r="P20" s="157" t="str">
        <v/>
      </c>
      <c r="Q20" s="157" t="str">
        <v/>
      </c>
      <c r="R20" s="157" t="str">
        <v/>
      </c>
      <c r="S20" s="157" t="str">
        <v/>
      </c>
      <c r="T20" s="157" t="str">
        <v/>
      </c>
      <c r="U20" s="163" t="str">
        <v/>
      </c>
      <c r="V20" s="157" t="str">
        <v/>
      </c>
      <c r="W20" s="158"/>
      <c r="X20" s="154"/>
      <c r="Y20" s="153"/>
      <c r="Z20" s="154"/>
      <c r="AA20" s="153"/>
      <c r="AB20" s="154"/>
      <c r="AC20" s="153"/>
      <c r="AD20" s="154"/>
      <c r="AE20" s="153"/>
      <c r="AF20" s="154"/>
      <c r="AG20" s="157" t="str">
        <v/>
      </c>
      <c r="AH20" s="157" t="str">
        <v/>
      </c>
      <c r="AI20" s="157" t="str">
        <v/>
      </c>
      <c r="AJ20" s="157" t="str">
        <v/>
      </c>
      <c r="AK20" s="157" t="str">
        <v/>
      </c>
      <c r="AL20" s="157" t="str">
        <v/>
      </c>
      <c r="AM20" s="157" t="str">
        <v/>
      </c>
      <c r="AN20" s="157" t="str">
        <v/>
      </c>
      <c r="AO20" s="174" t="str">
        <v/>
      </c>
      <c r="AP20" s="157" t="str">
        <v/>
      </c>
      <c r="AQ20" s="158"/>
      <c r="AR20" s="154"/>
      <c r="AS20" s="153"/>
      <c r="AT20" s="154"/>
      <c r="AU20" s="153"/>
      <c r="AV20" s="154"/>
      <c r="AW20" s="153"/>
      <c r="AX20" s="154"/>
      <c r="AY20" s="153"/>
      <c r="AZ20" s="154"/>
      <c r="BA20" s="157" t="str">
        <v/>
      </c>
      <c r="BB20" s="157" t="str">
        <v/>
      </c>
      <c r="BC20" s="157" t="str">
        <v/>
      </c>
      <c r="BD20" s="157" t="str">
        <v/>
      </c>
      <c r="BE20" s="157" t="str">
        <v/>
      </c>
      <c r="BF20" s="157" t="str">
        <v/>
      </c>
      <c r="BG20" s="157" t="str">
        <v/>
      </c>
      <c r="BH20" s="157" t="str">
        <v/>
      </c>
      <c r="BI20" s="174" t="str">
        <v/>
      </c>
      <c r="BJ20" s="157" t="str">
        <v/>
      </c>
      <c r="BK20" s="159" t="str">
        <v/>
      </c>
      <c r="BL20" s="160" t="str">
        <v/>
      </c>
      <c r="BM20" s="160" t="str">
        <v/>
      </c>
      <c r="BN20" s="160" t="str">
        <v/>
      </c>
      <c r="BO20" s="160" t="str">
        <v/>
      </c>
      <c r="BP20" s="160" t="str">
        <v/>
      </c>
      <c r="BQ20" s="160" t="str">
        <v/>
      </c>
      <c r="BR20" s="160" t="str">
        <v/>
      </c>
      <c r="BS20" s="8" t="str">
        <v/>
      </c>
      <c r="BT20" s="161" t="str">
        <v/>
      </c>
      <c r="BU20" s="156"/>
      <c r="BV20" s="156"/>
    </row>
    <row r="21" spans="1:74">
      <c r="A21" s="163"/>
      <c r="B21" s="163"/>
      <c r="C21" s="158"/>
      <c r="D21" s="154"/>
      <c r="E21" s="153"/>
      <c r="F21" s="154"/>
      <c r="G21" s="153"/>
      <c r="H21" s="154"/>
      <c r="I21" s="153"/>
      <c r="J21" s="154"/>
      <c r="K21" s="153"/>
      <c r="L21" s="154"/>
      <c r="M21" s="157" t="str">
        <v/>
      </c>
      <c r="N21" s="157" t="str">
        <v/>
      </c>
      <c r="O21" s="157" t="str">
        <v/>
      </c>
      <c r="P21" s="157" t="str">
        <v/>
      </c>
      <c r="Q21" s="157" t="str">
        <v/>
      </c>
      <c r="R21" s="157" t="str">
        <v/>
      </c>
      <c r="S21" s="157" t="str">
        <v/>
      </c>
      <c r="T21" s="157" t="str">
        <v/>
      </c>
      <c r="U21" s="163" t="str">
        <v/>
      </c>
      <c r="V21" s="157" t="str">
        <v/>
      </c>
      <c r="W21" s="158"/>
      <c r="X21" s="154"/>
      <c r="Y21" s="153"/>
      <c r="Z21" s="154"/>
      <c r="AA21" s="153"/>
      <c r="AB21" s="154"/>
      <c r="AC21" s="153"/>
      <c r="AD21" s="154"/>
      <c r="AE21" s="153"/>
      <c r="AF21" s="154"/>
      <c r="AG21" s="157" t="str">
        <v/>
      </c>
      <c r="AH21" s="157" t="str">
        <v/>
      </c>
      <c r="AI21" s="157" t="str">
        <v/>
      </c>
      <c r="AJ21" s="157" t="str">
        <v/>
      </c>
      <c r="AK21" s="157" t="str">
        <v/>
      </c>
      <c r="AL21" s="157" t="str">
        <v/>
      </c>
      <c r="AM21" s="157" t="str">
        <v/>
      </c>
      <c r="AN21" s="157" t="str">
        <v/>
      </c>
      <c r="AO21" s="174" t="str">
        <v/>
      </c>
      <c r="AP21" s="157" t="str">
        <v/>
      </c>
      <c r="AQ21" s="158"/>
      <c r="AR21" s="154"/>
      <c r="AS21" s="153"/>
      <c r="AT21" s="154"/>
      <c r="AU21" s="153"/>
      <c r="AV21" s="154"/>
      <c r="AW21" s="153"/>
      <c r="AX21" s="154"/>
      <c r="AY21" s="153"/>
      <c r="AZ21" s="154"/>
      <c r="BA21" s="157" t="str">
        <v/>
      </c>
      <c r="BB21" s="157" t="str">
        <v/>
      </c>
      <c r="BC21" s="157" t="str">
        <v/>
      </c>
      <c r="BD21" s="157" t="str">
        <v/>
      </c>
      <c r="BE21" s="157" t="str">
        <v/>
      </c>
      <c r="BF21" s="157" t="str">
        <v/>
      </c>
      <c r="BG21" s="157" t="str">
        <v/>
      </c>
      <c r="BH21" s="157" t="str">
        <v/>
      </c>
      <c r="BI21" s="174" t="str">
        <v/>
      </c>
      <c r="BJ21" s="157" t="str">
        <v/>
      </c>
      <c r="BK21" s="159" t="str">
        <v/>
      </c>
      <c r="BL21" s="160" t="str">
        <v/>
      </c>
      <c r="BM21" s="160" t="str">
        <v/>
      </c>
      <c r="BN21" s="160" t="str">
        <v/>
      </c>
      <c r="BO21" s="160" t="str">
        <v/>
      </c>
      <c r="BP21" s="160" t="str">
        <v/>
      </c>
      <c r="BQ21" s="160" t="str">
        <v/>
      </c>
      <c r="BR21" s="160" t="str">
        <v/>
      </c>
      <c r="BS21" s="8" t="str">
        <v/>
      </c>
      <c r="BT21" s="161" t="str">
        <v/>
      </c>
      <c r="BU21" s="156"/>
      <c r="BV21" s="156"/>
    </row>
    <row r="22" spans="1:74">
      <c r="A22" s="163"/>
      <c r="B22" s="163"/>
      <c r="C22" s="158"/>
      <c r="D22" s="154"/>
      <c r="E22" s="153"/>
      <c r="F22" s="154"/>
      <c r="G22" s="153"/>
      <c r="H22" s="154"/>
      <c r="I22" s="153"/>
      <c r="J22" s="154"/>
      <c r="K22" s="153"/>
      <c r="L22" s="154"/>
      <c r="M22" s="157" t="str">
        <v/>
      </c>
      <c r="N22" s="157" t="str">
        <v/>
      </c>
      <c r="O22" s="157" t="str">
        <v/>
      </c>
      <c r="P22" s="157" t="str">
        <v/>
      </c>
      <c r="Q22" s="157" t="str">
        <v/>
      </c>
      <c r="R22" s="157" t="str">
        <v/>
      </c>
      <c r="S22" s="157" t="str">
        <v/>
      </c>
      <c r="T22" s="157" t="str">
        <v/>
      </c>
      <c r="U22" s="163" t="str">
        <v/>
      </c>
      <c r="V22" s="157" t="str">
        <v/>
      </c>
      <c r="W22" s="158"/>
      <c r="X22" s="154"/>
      <c r="Y22" s="153"/>
      <c r="Z22" s="154"/>
      <c r="AA22" s="153"/>
      <c r="AB22" s="154"/>
      <c r="AC22" s="153"/>
      <c r="AD22" s="154"/>
      <c r="AE22" s="153"/>
      <c r="AF22" s="154"/>
      <c r="AG22" s="157" t="str">
        <v/>
      </c>
      <c r="AH22" s="157" t="str">
        <v/>
      </c>
      <c r="AI22" s="157" t="str">
        <v/>
      </c>
      <c r="AJ22" s="157" t="str">
        <v/>
      </c>
      <c r="AK22" s="157" t="str">
        <v/>
      </c>
      <c r="AL22" s="157" t="str">
        <v/>
      </c>
      <c r="AM22" s="157" t="str">
        <v/>
      </c>
      <c r="AN22" s="157" t="str">
        <v/>
      </c>
      <c r="AO22" s="174" t="str">
        <v/>
      </c>
      <c r="AP22" s="157" t="str">
        <v/>
      </c>
      <c r="AQ22" s="158"/>
      <c r="AR22" s="154"/>
      <c r="AS22" s="153"/>
      <c r="AT22" s="154"/>
      <c r="AU22" s="153"/>
      <c r="AV22" s="154"/>
      <c r="AW22" s="153"/>
      <c r="AX22" s="154"/>
      <c r="AY22" s="153"/>
      <c r="AZ22" s="154"/>
      <c r="BA22" s="157" t="str">
        <v/>
      </c>
      <c r="BB22" s="157" t="str">
        <v/>
      </c>
      <c r="BC22" s="157" t="str">
        <v/>
      </c>
      <c r="BD22" s="157" t="str">
        <v/>
      </c>
      <c r="BE22" s="157" t="str">
        <v/>
      </c>
      <c r="BF22" s="157" t="str">
        <v/>
      </c>
      <c r="BG22" s="157" t="str">
        <v/>
      </c>
      <c r="BH22" s="157" t="str">
        <v/>
      </c>
      <c r="BI22" s="174" t="str">
        <v/>
      </c>
      <c r="BJ22" s="157" t="str">
        <v/>
      </c>
      <c r="BK22" s="159" t="str">
        <v/>
      </c>
      <c r="BL22" s="160" t="str">
        <v/>
      </c>
      <c r="BM22" s="160" t="str">
        <v/>
      </c>
      <c r="BN22" s="160" t="str">
        <v/>
      </c>
      <c r="BO22" s="160" t="str">
        <v/>
      </c>
      <c r="BP22" s="160" t="str">
        <v/>
      </c>
      <c r="BQ22" s="160" t="str">
        <v/>
      </c>
      <c r="BR22" s="160" t="str">
        <v/>
      </c>
      <c r="BS22" s="8" t="str">
        <v/>
      </c>
      <c r="BT22" s="161" t="str">
        <v/>
      </c>
      <c r="BU22" s="156"/>
      <c r="BV22" s="156"/>
    </row>
    <row r="23" spans="1:74">
      <c r="A23" s="163"/>
      <c r="B23" s="163"/>
      <c r="C23" s="158"/>
      <c r="D23" s="154"/>
      <c r="E23" s="153"/>
      <c r="F23" s="154"/>
      <c r="G23" s="153"/>
      <c r="H23" s="154"/>
      <c r="I23" s="153"/>
      <c r="J23" s="154"/>
      <c r="K23" s="153"/>
      <c r="L23" s="154"/>
      <c r="M23" s="157" t="str">
        <v/>
      </c>
      <c r="N23" s="157" t="str">
        <v/>
      </c>
      <c r="O23" s="157" t="str">
        <v/>
      </c>
      <c r="P23" s="157" t="str">
        <v/>
      </c>
      <c r="Q23" s="157" t="str">
        <v/>
      </c>
      <c r="R23" s="157" t="str">
        <v/>
      </c>
      <c r="S23" s="157" t="str">
        <v/>
      </c>
      <c r="T23" s="157" t="str">
        <v/>
      </c>
      <c r="U23" s="163" t="str">
        <v/>
      </c>
      <c r="V23" s="157" t="str">
        <v/>
      </c>
      <c r="W23" s="158"/>
      <c r="X23" s="154"/>
      <c r="Y23" s="153"/>
      <c r="Z23" s="154"/>
      <c r="AA23" s="153"/>
      <c r="AB23" s="154"/>
      <c r="AC23" s="153"/>
      <c r="AD23" s="154"/>
      <c r="AE23" s="153"/>
      <c r="AF23" s="154"/>
      <c r="AG23" s="157" t="str">
        <v/>
      </c>
      <c r="AH23" s="157" t="str">
        <v/>
      </c>
      <c r="AI23" s="157" t="str">
        <v/>
      </c>
      <c r="AJ23" s="157" t="str">
        <v/>
      </c>
      <c r="AK23" s="157" t="str">
        <v/>
      </c>
      <c r="AL23" s="157" t="str">
        <v/>
      </c>
      <c r="AM23" s="157" t="str">
        <v/>
      </c>
      <c r="AN23" s="157" t="str">
        <v/>
      </c>
      <c r="AO23" s="174" t="str">
        <v/>
      </c>
      <c r="AP23" s="157" t="str">
        <v/>
      </c>
      <c r="AQ23" s="158"/>
      <c r="AR23" s="154"/>
      <c r="AS23" s="153"/>
      <c r="AT23" s="154"/>
      <c r="AU23" s="153"/>
      <c r="AV23" s="154"/>
      <c r="AW23" s="153"/>
      <c r="AX23" s="154"/>
      <c r="AY23" s="153"/>
      <c r="AZ23" s="154"/>
      <c r="BA23" s="157" t="str">
        <v/>
      </c>
      <c r="BB23" s="157" t="str">
        <v/>
      </c>
      <c r="BC23" s="157" t="str">
        <v/>
      </c>
      <c r="BD23" s="157" t="str">
        <v/>
      </c>
      <c r="BE23" s="157" t="str">
        <v/>
      </c>
      <c r="BF23" s="157" t="str">
        <v/>
      </c>
      <c r="BG23" s="157" t="str">
        <v/>
      </c>
      <c r="BH23" s="157" t="str">
        <v/>
      </c>
      <c r="BI23" s="174" t="str">
        <v/>
      </c>
      <c r="BJ23" s="157" t="str">
        <v/>
      </c>
      <c r="BK23" s="159" t="str">
        <v/>
      </c>
      <c r="BL23" s="160" t="str">
        <v/>
      </c>
      <c r="BM23" s="160" t="str">
        <v/>
      </c>
      <c r="BN23" s="160" t="str">
        <v/>
      </c>
      <c r="BO23" s="160" t="str">
        <v/>
      </c>
      <c r="BP23" s="160" t="str">
        <v/>
      </c>
      <c r="BQ23" s="160" t="str">
        <v/>
      </c>
      <c r="BR23" s="160" t="str">
        <v/>
      </c>
      <c r="BS23" s="8" t="str">
        <v/>
      </c>
      <c r="BT23" s="161" t="str">
        <v/>
      </c>
      <c r="BU23" s="156"/>
      <c r="BV23" s="156"/>
    </row>
    <row r="24" spans="1:74">
      <c r="A24" s="163"/>
      <c r="B24" s="163"/>
      <c r="C24" s="158"/>
      <c r="D24" s="154"/>
      <c r="E24" s="153"/>
      <c r="F24" s="154"/>
      <c r="G24" s="153"/>
      <c r="H24" s="154"/>
      <c r="I24" s="153"/>
      <c r="J24" s="154"/>
      <c r="K24" s="153"/>
      <c r="L24" s="154"/>
      <c r="M24" s="157" t="str">
        <v/>
      </c>
      <c r="N24" s="157" t="str">
        <v/>
      </c>
      <c r="O24" s="157" t="str">
        <v/>
      </c>
      <c r="P24" s="157" t="str">
        <v/>
      </c>
      <c r="Q24" s="157" t="str">
        <v/>
      </c>
      <c r="R24" s="157" t="str">
        <v/>
      </c>
      <c r="S24" s="157" t="str">
        <v/>
      </c>
      <c r="T24" s="157" t="str">
        <v/>
      </c>
      <c r="U24" s="163" t="str">
        <v/>
      </c>
      <c r="V24" s="157" t="str">
        <v/>
      </c>
      <c r="W24" s="158"/>
      <c r="X24" s="154"/>
      <c r="Y24" s="153"/>
      <c r="Z24" s="154"/>
      <c r="AA24" s="153"/>
      <c r="AB24" s="154"/>
      <c r="AC24" s="153"/>
      <c r="AD24" s="154"/>
      <c r="AE24" s="153"/>
      <c r="AF24" s="154"/>
      <c r="AG24" s="157" t="str">
        <v/>
      </c>
      <c r="AH24" s="157" t="str">
        <v/>
      </c>
      <c r="AI24" s="157" t="str">
        <v/>
      </c>
      <c r="AJ24" s="157" t="str">
        <v/>
      </c>
      <c r="AK24" s="157" t="str">
        <v/>
      </c>
      <c r="AL24" s="157" t="str">
        <v/>
      </c>
      <c r="AM24" s="157" t="str">
        <v/>
      </c>
      <c r="AN24" s="157" t="str">
        <v/>
      </c>
      <c r="AO24" s="174" t="str">
        <v/>
      </c>
      <c r="AP24" s="157" t="str">
        <v/>
      </c>
      <c r="AQ24" s="158"/>
      <c r="AR24" s="154"/>
      <c r="AS24" s="153"/>
      <c r="AT24" s="154"/>
      <c r="AU24" s="153"/>
      <c r="AV24" s="154"/>
      <c r="AW24" s="153"/>
      <c r="AX24" s="154"/>
      <c r="AY24" s="153"/>
      <c r="AZ24" s="154"/>
      <c r="BA24" s="157" t="str">
        <v/>
      </c>
      <c r="BB24" s="157" t="str">
        <v/>
      </c>
      <c r="BC24" s="157" t="str">
        <v/>
      </c>
      <c r="BD24" s="157" t="str">
        <v/>
      </c>
      <c r="BE24" s="157" t="str">
        <v/>
      </c>
      <c r="BF24" s="157" t="str">
        <v/>
      </c>
      <c r="BG24" s="157" t="str">
        <v/>
      </c>
      <c r="BH24" s="157" t="str">
        <v/>
      </c>
      <c r="BI24" s="174" t="str">
        <v/>
      </c>
      <c r="BJ24" s="157" t="str">
        <v/>
      </c>
      <c r="BK24" s="159" t="str">
        <v/>
      </c>
      <c r="BL24" s="160" t="str">
        <v/>
      </c>
      <c r="BM24" s="160" t="str">
        <v/>
      </c>
      <c r="BN24" s="160" t="str">
        <v/>
      </c>
      <c r="BO24" s="160" t="str">
        <v/>
      </c>
      <c r="BP24" s="160" t="str">
        <v/>
      </c>
      <c r="BQ24" s="160" t="str">
        <v/>
      </c>
      <c r="BR24" s="160" t="str">
        <v/>
      </c>
      <c r="BS24" s="8" t="str">
        <v/>
      </c>
      <c r="BT24" s="161" t="str">
        <v/>
      </c>
      <c r="BU24" s="156"/>
      <c r="BV24" s="156"/>
    </row>
    <row r="25" spans="1:74">
      <c r="A25" s="163"/>
      <c r="B25" s="163"/>
      <c r="C25" s="158"/>
      <c r="D25" s="154"/>
      <c r="E25" s="153"/>
      <c r="F25" s="154"/>
      <c r="G25" s="153"/>
      <c r="H25" s="154"/>
      <c r="I25" s="153"/>
      <c r="J25" s="154"/>
      <c r="K25" s="153"/>
      <c r="L25" s="154"/>
      <c r="M25" s="157" t="str">
        <v/>
      </c>
      <c r="N25" s="157" t="str">
        <v/>
      </c>
      <c r="O25" s="157" t="str">
        <v/>
      </c>
      <c r="P25" s="157" t="str">
        <v/>
      </c>
      <c r="Q25" s="157" t="str">
        <v/>
      </c>
      <c r="R25" s="157" t="str">
        <v/>
      </c>
      <c r="S25" s="157" t="str">
        <v/>
      </c>
      <c r="T25" s="157" t="str">
        <v/>
      </c>
      <c r="U25" s="163" t="str">
        <v/>
      </c>
      <c r="V25" s="157" t="str">
        <v/>
      </c>
      <c r="W25" s="158"/>
      <c r="X25" s="154"/>
      <c r="Y25" s="153"/>
      <c r="Z25" s="154"/>
      <c r="AA25" s="153"/>
      <c r="AB25" s="154"/>
      <c r="AC25" s="153"/>
      <c r="AD25" s="154"/>
      <c r="AE25" s="153"/>
      <c r="AF25" s="154"/>
      <c r="AG25" s="157" t="str">
        <v/>
      </c>
      <c r="AH25" s="157" t="str">
        <v/>
      </c>
      <c r="AI25" s="157" t="str">
        <v/>
      </c>
      <c r="AJ25" s="157" t="str">
        <v/>
      </c>
      <c r="AK25" s="157" t="str">
        <v/>
      </c>
      <c r="AL25" s="157" t="str">
        <v/>
      </c>
      <c r="AM25" s="157" t="str">
        <v/>
      </c>
      <c r="AN25" s="157" t="str">
        <v/>
      </c>
      <c r="AO25" s="174" t="str">
        <v/>
      </c>
      <c r="AP25" s="157" t="str">
        <v/>
      </c>
      <c r="AQ25" s="158"/>
      <c r="AR25" s="154"/>
      <c r="AS25" s="153"/>
      <c r="AT25" s="154"/>
      <c r="AU25" s="153"/>
      <c r="AV25" s="154"/>
      <c r="AW25" s="153"/>
      <c r="AX25" s="154"/>
      <c r="AY25" s="153"/>
      <c r="AZ25" s="154"/>
      <c r="BA25" s="157" t="str">
        <v/>
      </c>
      <c r="BB25" s="157" t="str">
        <v/>
      </c>
      <c r="BC25" s="157" t="str">
        <v/>
      </c>
      <c r="BD25" s="157" t="str">
        <v/>
      </c>
      <c r="BE25" s="157" t="str">
        <v/>
      </c>
      <c r="BF25" s="157" t="str">
        <v/>
      </c>
      <c r="BG25" s="157" t="str">
        <v/>
      </c>
      <c r="BH25" s="157" t="str">
        <v/>
      </c>
      <c r="BI25" s="174" t="str">
        <v/>
      </c>
      <c r="BJ25" s="157" t="str">
        <v/>
      </c>
      <c r="BK25" s="159" t="str">
        <v/>
      </c>
      <c r="BL25" s="160" t="str">
        <v/>
      </c>
      <c r="BM25" s="160" t="str">
        <v/>
      </c>
      <c r="BN25" s="160" t="str">
        <v/>
      </c>
      <c r="BO25" s="160" t="str">
        <v/>
      </c>
      <c r="BP25" s="160" t="str">
        <v/>
      </c>
      <c r="BQ25" s="160" t="str">
        <v/>
      </c>
      <c r="BR25" s="160" t="str">
        <v/>
      </c>
      <c r="BS25" s="8" t="str">
        <v/>
      </c>
      <c r="BT25" s="161" t="str">
        <v/>
      </c>
      <c r="BU25" s="156"/>
      <c r="BV25" s="156"/>
    </row>
    <row r="26" spans="1:74">
      <c r="A26" s="163"/>
      <c r="B26" s="163"/>
      <c r="C26" s="158"/>
      <c r="D26" s="154"/>
      <c r="E26" s="153"/>
      <c r="F26" s="154"/>
      <c r="G26" s="153"/>
      <c r="H26" s="154"/>
      <c r="I26" s="153"/>
      <c r="J26" s="154"/>
      <c r="K26" s="153"/>
      <c r="L26" s="154"/>
      <c r="M26" s="157" t="str">
        <v/>
      </c>
      <c r="N26" s="157" t="str">
        <v/>
      </c>
      <c r="O26" s="157" t="str">
        <v/>
      </c>
      <c r="P26" s="157" t="str">
        <v/>
      </c>
      <c r="Q26" s="157" t="str">
        <v/>
      </c>
      <c r="R26" s="157" t="str">
        <v/>
      </c>
      <c r="S26" s="157" t="str">
        <v/>
      </c>
      <c r="T26" s="157" t="str">
        <v/>
      </c>
      <c r="U26" s="163" t="str">
        <v/>
      </c>
      <c r="V26" s="157" t="str">
        <v/>
      </c>
      <c r="W26" s="158"/>
      <c r="X26" s="154"/>
      <c r="Y26" s="153"/>
      <c r="Z26" s="154"/>
      <c r="AA26" s="153"/>
      <c r="AB26" s="154"/>
      <c r="AC26" s="153"/>
      <c r="AD26" s="154"/>
      <c r="AE26" s="153"/>
      <c r="AF26" s="154"/>
      <c r="AG26" s="157" t="str">
        <v/>
      </c>
      <c r="AH26" s="157" t="str">
        <v/>
      </c>
      <c r="AI26" s="157" t="str">
        <v/>
      </c>
      <c r="AJ26" s="157" t="str">
        <v/>
      </c>
      <c r="AK26" s="157" t="str">
        <v/>
      </c>
      <c r="AL26" s="157" t="str">
        <v/>
      </c>
      <c r="AM26" s="157" t="str">
        <v/>
      </c>
      <c r="AN26" s="157" t="str">
        <v/>
      </c>
      <c r="AO26" s="174" t="str">
        <v/>
      </c>
      <c r="AP26" s="157" t="str">
        <v/>
      </c>
      <c r="AQ26" s="158"/>
      <c r="AR26" s="154"/>
      <c r="AS26" s="153"/>
      <c r="AT26" s="154"/>
      <c r="AU26" s="153"/>
      <c r="AV26" s="154"/>
      <c r="AW26" s="153"/>
      <c r="AX26" s="154"/>
      <c r="AY26" s="153"/>
      <c r="AZ26" s="154"/>
      <c r="BA26" s="157" t="str">
        <v/>
      </c>
      <c r="BB26" s="157" t="str">
        <v/>
      </c>
      <c r="BC26" s="157" t="str">
        <v/>
      </c>
      <c r="BD26" s="157" t="str">
        <v/>
      </c>
      <c r="BE26" s="157" t="str">
        <v/>
      </c>
      <c r="BF26" s="157" t="str">
        <v/>
      </c>
      <c r="BG26" s="157" t="str">
        <v/>
      </c>
      <c r="BH26" s="157" t="str">
        <v/>
      </c>
      <c r="BI26" s="174" t="str">
        <v/>
      </c>
      <c r="BJ26" s="157" t="str">
        <v/>
      </c>
      <c r="BK26" s="159" t="str">
        <v/>
      </c>
      <c r="BL26" s="160" t="str">
        <v/>
      </c>
      <c r="BM26" s="160" t="str">
        <v/>
      </c>
      <c r="BN26" s="160" t="str">
        <v/>
      </c>
      <c r="BO26" s="160" t="str">
        <v/>
      </c>
      <c r="BP26" s="160" t="str">
        <v/>
      </c>
      <c r="BQ26" s="160" t="str">
        <v/>
      </c>
      <c r="BR26" s="160" t="str">
        <v/>
      </c>
      <c r="BS26" s="8" t="str">
        <v/>
      </c>
      <c r="BT26" s="161" t="str">
        <v/>
      </c>
      <c r="BU26" s="156"/>
      <c r="BV26" s="156"/>
    </row>
    <row r="27" spans="1:74">
      <c r="A27" s="163"/>
      <c r="B27" s="163"/>
      <c r="C27" s="158"/>
      <c r="D27" s="154"/>
      <c r="E27" s="153"/>
      <c r="F27" s="154"/>
      <c r="G27" s="153"/>
      <c r="H27" s="154"/>
      <c r="I27" s="153"/>
      <c r="J27" s="154"/>
      <c r="K27" s="153"/>
      <c r="L27" s="154"/>
      <c r="M27" s="157" t="str">
        <v/>
      </c>
      <c r="N27" s="157" t="str">
        <v/>
      </c>
      <c r="O27" s="157" t="str">
        <v/>
      </c>
      <c r="P27" s="157" t="str">
        <v/>
      </c>
      <c r="Q27" s="157" t="str">
        <v/>
      </c>
      <c r="R27" s="157" t="str">
        <v/>
      </c>
      <c r="S27" s="157" t="str">
        <v/>
      </c>
      <c r="T27" s="157" t="str">
        <v/>
      </c>
      <c r="U27" s="163" t="str">
        <v/>
      </c>
      <c r="V27" s="157" t="str">
        <v/>
      </c>
      <c r="W27" s="158"/>
      <c r="X27" s="154"/>
      <c r="Y27" s="153"/>
      <c r="Z27" s="154"/>
      <c r="AA27" s="153"/>
      <c r="AB27" s="154"/>
      <c r="AC27" s="153"/>
      <c r="AD27" s="154"/>
      <c r="AE27" s="153"/>
      <c r="AF27" s="154"/>
      <c r="AG27" s="157" t="str">
        <v/>
      </c>
      <c r="AH27" s="157" t="str">
        <v/>
      </c>
      <c r="AI27" s="157" t="str">
        <v/>
      </c>
      <c r="AJ27" s="157" t="str">
        <v/>
      </c>
      <c r="AK27" s="157" t="str">
        <v/>
      </c>
      <c r="AL27" s="157" t="str">
        <v/>
      </c>
      <c r="AM27" s="157" t="str">
        <v/>
      </c>
      <c r="AN27" s="157" t="str">
        <v/>
      </c>
      <c r="AO27" s="174" t="str">
        <v/>
      </c>
      <c r="AP27" s="157" t="str">
        <v/>
      </c>
      <c r="AQ27" s="158"/>
      <c r="AR27" s="154"/>
      <c r="AS27" s="153"/>
      <c r="AT27" s="154"/>
      <c r="AU27" s="153"/>
      <c r="AV27" s="154"/>
      <c r="AW27" s="153"/>
      <c r="AX27" s="154"/>
      <c r="AY27" s="153"/>
      <c r="AZ27" s="154"/>
      <c r="BA27" s="157" t="str">
        <v/>
      </c>
      <c r="BB27" s="157" t="str">
        <v/>
      </c>
      <c r="BC27" s="157" t="str">
        <v/>
      </c>
      <c r="BD27" s="157" t="str">
        <v/>
      </c>
      <c r="BE27" s="157" t="str">
        <v/>
      </c>
      <c r="BF27" s="157" t="str">
        <v/>
      </c>
      <c r="BG27" s="157" t="str">
        <v/>
      </c>
      <c r="BH27" s="157" t="str">
        <v/>
      </c>
      <c r="BI27" s="174" t="str">
        <v/>
      </c>
      <c r="BJ27" s="157" t="str">
        <v/>
      </c>
      <c r="BK27" s="159" t="str">
        <v/>
      </c>
      <c r="BL27" s="160" t="str">
        <v/>
      </c>
      <c r="BM27" s="160" t="str">
        <v/>
      </c>
      <c r="BN27" s="160" t="str">
        <v/>
      </c>
      <c r="BO27" s="160" t="str">
        <v/>
      </c>
      <c r="BP27" s="160" t="str">
        <v/>
      </c>
      <c r="BQ27" s="160" t="str">
        <v/>
      </c>
      <c r="BR27" s="160" t="str">
        <v/>
      </c>
      <c r="BS27" s="8" t="str">
        <v/>
      </c>
      <c r="BT27" s="161" t="str">
        <v/>
      </c>
      <c r="BU27" s="156"/>
      <c r="BV27" s="156"/>
    </row>
    <row r="28" spans="1:74">
      <c r="A28" s="163"/>
      <c r="B28" s="163"/>
      <c r="C28" s="158"/>
      <c r="D28" s="154"/>
      <c r="E28" s="153"/>
      <c r="F28" s="154"/>
      <c r="G28" s="153"/>
      <c r="H28" s="154"/>
      <c r="I28" s="153"/>
      <c r="J28" s="154"/>
      <c r="K28" s="153"/>
      <c r="L28" s="154"/>
      <c r="M28" s="157" t="str">
        <v/>
      </c>
      <c r="N28" s="157" t="str">
        <v/>
      </c>
      <c r="O28" s="157" t="str">
        <v/>
      </c>
      <c r="P28" s="157" t="str">
        <v/>
      </c>
      <c r="Q28" s="157" t="str">
        <v/>
      </c>
      <c r="R28" s="157" t="str">
        <v/>
      </c>
      <c r="S28" s="157" t="str">
        <v/>
      </c>
      <c r="T28" s="157" t="str">
        <v/>
      </c>
      <c r="U28" s="163" t="str">
        <v/>
      </c>
      <c r="V28" s="157" t="str">
        <v/>
      </c>
      <c r="W28" s="158"/>
      <c r="X28" s="154"/>
      <c r="Y28" s="153"/>
      <c r="Z28" s="154"/>
      <c r="AA28" s="153"/>
      <c r="AB28" s="154"/>
      <c r="AC28" s="153"/>
      <c r="AD28" s="154"/>
      <c r="AE28" s="153"/>
      <c r="AF28" s="154"/>
      <c r="AG28" s="157" t="str">
        <v/>
      </c>
      <c r="AH28" s="157" t="str">
        <v/>
      </c>
      <c r="AI28" s="157" t="str">
        <v/>
      </c>
      <c r="AJ28" s="157" t="str">
        <v/>
      </c>
      <c r="AK28" s="157" t="str">
        <v/>
      </c>
      <c r="AL28" s="157" t="str">
        <v/>
      </c>
      <c r="AM28" s="157" t="str">
        <v/>
      </c>
      <c r="AN28" s="157" t="str">
        <v/>
      </c>
      <c r="AO28" s="174" t="str">
        <v/>
      </c>
      <c r="AP28" s="157" t="str">
        <v/>
      </c>
      <c r="AQ28" s="158"/>
      <c r="AR28" s="154"/>
      <c r="AS28" s="153"/>
      <c r="AT28" s="154"/>
      <c r="AU28" s="153"/>
      <c r="AV28" s="154"/>
      <c r="AW28" s="153"/>
      <c r="AX28" s="154"/>
      <c r="AY28" s="153"/>
      <c r="AZ28" s="154"/>
      <c r="BA28" s="157" t="str">
        <v/>
      </c>
      <c r="BB28" s="157" t="str">
        <v/>
      </c>
      <c r="BC28" s="157" t="str">
        <v/>
      </c>
      <c r="BD28" s="157" t="str">
        <v/>
      </c>
      <c r="BE28" s="157" t="str">
        <v/>
      </c>
      <c r="BF28" s="157" t="str">
        <v/>
      </c>
      <c r="BG28" s="157" t="str">
        <v/>
      </c>
      <c r="BH28" s="157" t="str">
        <v/>
      </c>
      <c r="BI28" s="174" t="str">
        <v/>
      </c>
      <c r="BJ28" s="157" t="str">
        <v/>
      </c>
      <c r="BK28" s="159" t="str">
        <v/>
      </c>
      <c r="BL28" s="160" t="str">
        <v/>
      </c>
      <c r="BM28" s="160" t="str">
        <v/>
      </c>
      <c r="BN28" s="160" t="str">
        <v/>
      </c>
      <c r="BO28" s="160" t="str">
        <v/>
      </c>
      <c r="BP28" s="160" t="str">
        <v/>
      </c>
      <c r="BQ28" s="160" t="str">
        <v/>
      </c>
      <c r="BR28" s="160" t="str">
        <v/>
      </c>
      <c r="BS28" s="8" t="str">
        <v/>
      </c>
      <c r="BT28" s="161" t="str">
        <v/>
      </c>
      <c r="BU28" s="156"/>
      <c r="BV28" s="156"/>
    </row>
    <row r="29" spans="1:74">
      <c r="A29" s="163"/>
      <c r="B29" s="163"/>
      <c r="C29" s="158"/>
      <c r="D29" s="154"/>
      <c r="E29" s="153"/>
      <c r="F29" s="154"/>
      <c r="G29" s="153"/>
      <c r="H29" s="154"/>
      <c r="I29" s="153"/>
      <c r="J29" s="154"/>
      <c r="K29" s="153"/>
      <c r="L29" s="154"/>
      <c r="M29" s="157" t="str">
        <v/>
      </c>
      <c r="N29" s="157" t="str">
        <v/>
      </c>
      <c r="O29" s="157" t="str">
        <v/>
      </c>
      <c r="P29" s="157" t="str">
        <v/>
      </c>
      <c r="Q29" s="157" t="str">
        <v/>
      </c>
      <c r="R29" s="157" t="str">
        <v/>
      </c>
      <c r="S29" s="157" t="str">
        <v/>
      </c>
      <c r="T29" s="157" t="str">
        <v/>
      </c>
      <c r="U29" s="163" t="str">
        <v/>
      </c>
      <c r="V29" s="157" t="str">
        <v/>
      </c>
      <c r="W29" s="158"/>
      <c r="X29" s="154"/>
      <c r="Y29" s="153"/>
      <c r="Z29" s="154"/>
      <c r="AA29" s="153"/>
      <c r="AB29" s="154"/>
      <c r="AC29" s="153"/>
      <c r="AD29" s="154"/>
      <c r="AE29" s="153"/>
      <c r="AF29" s="154"/>
      <c r="AG29" s="157" t="str">
        <v/>
      </c>
      <c r="AH29" s="157" t="str">
        <v/>
      </c>
      <c r="AI29" s="157" t="str">
        <v/>
      </c>
      <c r="AJ29" s="157" t="str">
        <v/>
      </c>
      <c r="AK29" s="157" t="str">
        <v/>
      </c>
      <c r="AL29" s="157" t="str">
        <v/>
      </c>
      <c r="AM29" s="157" t="str">
        <v/>
      </c>
      <c r="AN29" s="157" t="str">
        <v/>
      </c>
      <c r="AO29" s="174" t="str">
        <v/>
      </c>
      <c r="AP29" s="157" t="str">
        <v/>
      </c>
      <c r="AQ29" s="158"/>
      <c r="AR29" s="154"/>
      <c r="AS29" s="153"/>
      <c r="AT29" s="154"/>
      <c r="AU29" s="153"/>
      <c r="AV29" s="154"/>
      <c r="AW29" s="153"/>
      <c r="AX29" s="154"/>
      <c r="AY29" s="153"/>
      <c r="AZ29" s="154"/>
      <c r="BA29" s="157" t="str">
        <v/>
      </c>
      <c r="BB29" s="157" t="str">
        <v/>
      </c>
      <c r="BC29" s="157" t="str">
        <v/>
      </c>
      <c r="BD29" s="157" t="str">
        <v/>
      </c>
      <c r="BE29" s="157" t="str">
        <v/>
      </c>
      <c r="BF29" s="157" t="str">
        <v/>
      </c>
      <c r="BG29" s="157" t="str">
        <v/>
      </c>
      <c r="BH29" s="157" t="str">
        <v/>
      </c>
      <c r="BI29" s="174" t="str">
        <v/>
      </c>
      <c r="BJ29" s="157" t="str">
        <v/>
      </c>
      <c r="BK29" s="159" t="str">
        <v/>
      </c>
      <c r="BL29" s="160" t="str">
        <v/>
      </c>
      <c r="BM29" s="160" t="str">
        <v/>
      </c>
      <c r="BN29" s="160" t="str">
        <v/>
      </c>
      <c r="BO29" s="160" t="str">
        <v/>
      </c>
      <c r="BP29" s="160" t="str">
        <v/>
      </c>
      <c r="BQ29" s="160" t="str">
        <v/>
      </c>
      <c r="BR29" s="160" t="str">
        <v/>
      </c>
      <c r="BS29" s="8" t="str">
        <v/>
      </c>
      <c r="BT29" s="161" t="str">
        <v/>
      </c>
      <c r="BU29" s="156"/>
      <c r="BV29" s="156"/>
    </row>
    <row r="30" spans="1:74">
      <c r="A30" s="163"/>
      <c r="B30" s="163"/>
      <c r="C30" s="158"/>
      <c r="D30" s="154"/>
      <c r="E30" s="153"/>
      <c r="F30" s="154"/>
      <c r="G30" s="153"/>
      <c r="H30" s="154"/>
      <c r="I30" s="153"/>
      <c r="J30" s="154"/>
      <c r="K30" s="153"/>
      <c r="L30" s="154"/>
      <c r="M30" s="157" t="str">
        <v/>
      </c>
      <c r="N30" s="157" t="str">
        <v/>
      </c>
      <c r="O30" s="157" t="str">
        <v/>
      </c>
      <c r="P30" s="157" t="str">
        <v/>
      </c>
      <c r="Q30" s="157" t="str">
        <v/>
      </c>
      <c r="R30" s="157" t="str">
        <v/>
      </c>
      <c r="S30" s="157" t="str">
        <v/>
      </c>
      <c r="T30" s="157" t="str">
        <v/>
      </c>
      <c r="U30" s="163" t="str">
        <v/>
      </c>
      <c r="V30" s="157" t="str">
        <v/>
      </c>
      <c r="W30" s="158"/>
      <c r="X30" s="154"/>
      <c r="Y30" s="153"/>
      <c r="Z30" s="154"/>
      <c r="AA30" s="153"/>
      <c r="AB30" s="154"/>
      <c r="AC30" s="153"/>
      <c r="AD30" s="154"/>
      <c r="AE30" s="153"/>
      <c r="AF30" s="154"/>
      <c r="AG30" s="157" t="str">
        <v/>
      </c>
      <c r="AH30" s="157" t="str">
        <v/>
      </c>
      <c r="AI30" s="157" t="str">
        <v/>
      </c>
      <c r="AJ30" s="157" t="str">
        <v/>
      </c>
      <c r="AK30" s="157" t="str">
        <v/>
      </c>
      <c r="AL30" s="157" t="str">
        <v/>
      </c>
      <c r="AM30" s="157" t="str">
        <v/>
      </c>
      <c r="AN30" s="157" t="str">
        <v/>
      </c>
      <c r="AO30" s="174" t="str">
        <v/>
      </c>
      <c r="AP30" s="157" t="str">
        <v/>
      </c>
      <c r="AQ30" s="158"/>
      <c r="AR30" s="154"/>
      <c r="AS30" s="153"/>
      <c r="AT30" s="154"/>
      <c r="AU30" s="153"/>
      <c r="AV30" s="154"/>
      <c r="AW30" s="153"/>
      <c r="AX30" s="154"/>
      <c r="AY30" s="153"/>
      <c r="AZ30" s="154"/>
      <c r="BA30" s="157" t="str">
        <v/>
      </c>
      <c r="BB30" s="157" t="str">
        <v/>
      </c>
      <c r="BC30" s="157" t="str">
        <v/>
      </c>
      <c r="BD30" s="157" t="str">
        <v/>
      </c>
      <c r="BE30" s="157" t="str">
        <v/>
      </c>
      <c r="BF30" s="157" t="str">
        <v/>
      </c>
      <c r="BG30" s="157" t="str">
        <v/>
      </c>
      <c r="BH30" s="157" t="str">
        <v/>
      </c>
      <c r="BI30" s="174" t="str">
        <v/>
      </c>
      <c r="BJ30" s="157" t="str">
        <v/>
      </c>
      <c r="BK30" s="159" t="str">
        <v/>
      </c>
      <c r="BL30" s="160" t="str">
        <v/>
      </c>
      <c r="BM30" s="160" t="str">
        <v/>
      </c>
      <c r="BN30" s="160" t="str">
        <v/>
      </c>
      <c r="BO30" s="160" t="str">
        <v/>
      </c>
      <c r="BP30" s="160" t="str">
        <v/>
      </c>
      <c r="BQ30" s="160" t="str">
        <v/>
      </c>
      <c r="BR30" s="160" t="str">
        <v/>
      </c>
      <c r="BS30" s="8" t="str">
        <v/>
      </c>
      <c r="BT30" s="161" t="str">
        <v/>
      </c>
      <c r="BU30" s="156"/>
      <c r="BV30" s="156"/>
    </row>
    <row r="31" spans="1:74">
      <c r="A31" s="163"/>
      <c r="B31" s="163"/>
      <c r="C31" s="158"/>
      <c r="D31" s="154"/>
      <c r="E31" s="153"/>
      <c r="F31" s="154"/>
      <c r="G31" s="153"/>
      <c r="H31" s="154"/>
      <c r="I31" s="153"/>
      <c r="J31" s="154"/>
      <c r="K31" s="153"/>
      <c r="L31" s="154"/>
      <c r="M31" s="157" t="str">
        <v/>
      </c>
      <c r="N31" s="157" t="str">
        <v/>
      </c>
      <c r="O31" s="157" t="str">
        <v/>
      </c>
      <c r="P31" s="157" t="str">
        <v/>
      </c>
      <c r="Q31" s="157" t="str">
        <v/>
      </c>
      <c r="R31" s="157" t="str">
        <v/>
      </c>
      <c r="S31" s="157" t="str">
        <v/>
      </c>
      <c r="T31" s="157" t="str">
        <v/>
      </c>
      <c r="U31" s="163" t="str">
        <v/>
      </c>
      <c r="V31" s="157" t="str">
        <v/>
      </c>
      <c r="W31" s="158"/>
      <c r="X31" s="154"/>
      <c r="Y31" s="153"/>
      <c r="Z31" s="154"/>
      <c r="AA31" s="153"/>
      <c r="AB31" s="154"/>
      <c r="AC31" s="153"/>
      <c r="AD31" s="154"/>
      <c r="AE31" s="153"/>
      <c r="AF31" s="154"/>
      <c r="AG31" s="157" t="str">
        <v/>
      </c>
      <c r="AH31" s="157" t="str">
        <v/>
      </c>
      <c r="AI31" s="157" t="str">
        <v/>
      </c>
      <c r="AJ31" s="157" t="str">
        <v/>
      </c>
      <c r="AK31" s="157" t="str">
        <v/>
      </c>
      <c r="AL31" s="157" t="str">
        <v/>
      </c>
      <c r="AM31" s="157" t="str">
        <v/>
      </c>
      <c r="AN31" s="157" t="str">
        <v/>
      </c>
      <c r="AO31" s="174" t="str">
        <v/>
      </c>
      <c r="AP31" s="157" t="str">
        <v/>
      </c>
      <c r="AQ31" s="158"/>
      <c r="AR31" s="154"/>
      <c r="AS31" s="153"/>
      <c r="AT31" s="154"/>
      <c r="AU31" s="153"/>
      <c r="AV31" s="154"/>
      <c r="AW31" s="153"/>
      <c r="AX31" s="154"/>
      <c r="AY31" s="153"/>
      <c r="AZ31" s="154"/>
      <c r="BA31" s="157" t="str">
        <v/>
      </c>
      <c r="BB31" s="157" t="str">
        <v/>
      </c>
      <c r="BC31" s="157" t="str">
        <v/>
      </c>
      <c r="BD31" s="157" t="str">
        <v/>
      </c>
      <c r="BE31" s="157" t="str">
        <v/>
      </c>
      <c r="BF31" s="157" t="str">
        <v/>
      </c>
      <c r="BG31" s="157" t="str">
        <v/>
      </c>
      <c r="BH31" s="157" t="str">
        <v/>
      </c>
      <c r="BI31" s="174" t="str">
        <v/>
      </c>
      <c r="BJ31" s="157" t="str">
        <v/>
      </c>
      <c r="BK31" s="159" t="str">
        <v/>
      </c>
      <c r="BL31" s="160" t="str">
        <v/>
      </c>
      <c r="BM31" s="160" t="str">
        <v/>
      </c>
      <c r="BN31" s="160" t="str">
        <v/>
      </c>
      <c r="BO31" s="160" t="str">
        <v/>
      </c>
      <c r="BP31" s="160" t="str">
        <v/>
      </c>
      <c r="BQ31" s="160" t="str">
        <v/>
      </c>
      <c r="BR31" s="160" t="str">
        <v/>
      </c>
      <c r="BS31" s="8" t="str">
        <v/>
      </c>
      <c r="BT31" s="161" t="str">
        <v/>
      </c>
      <c r="BU31" s="156"/>
      <c r="BV31" s="156"/>
    </row>
    <row r="32" spans="1:74">
      <c r="A32" s="163"/>
      <c r="B32" s="163"/>
      <c r="C32" s="158"/>
      <c r="D32" s="154"/>
      <c r="E32" s="153"/>
      <c r="F32" s="154"/>
      <c r="G32" s="153"/>
      <c r="H32" s="154"/>
      <c r="I32" s="153"/>
      <c r="J32" s="154"/>
      <c r="K32" s="153"/>
      <c r="L32" s="154"/>
      <c r="M32" s="157" t="str">
        <v/>
      </c>
      <c r="N32" s="157" t="str">
        <v/>
      </c>
      <c r="O32" s="157" t="str">
        <v/>
      </c>
      <c r="P32" s="157" t="str">
        <v/>
      </c>
      <c r="Q32" s="157" t="str">
        <v/>
      </c>
      <c r="R32" s="157" t="str">
        <v/>
      </c>
      <c r="S32" s="157" t="str">
        <v/>
      </c>
      <c r="T32" s="157" t="str">
        <v/>
      </c>
      <c r="U32" s="163" t="str">
        <v/>
      </c>
      <c r="V32" s="157" t="str">
        <v/>
      </c>
      <c r="W32" s="158"/>
      <c r="X32" s="154"/>
      <c r="Y32" s="153"/>
      <c r="Z32" s="154"/>
      <c r="AA32" s="153"/>
      <c r="AB32" s="154"/>
      <c r="AC32" s="153"/>
      <c r="AD32" s="154"/>
      <c r="AE32" s="153"/>
      <c r="AF32" s="154"/>
      <c r="AG32" s="157" t="str">
        <v/>
      </c>
      <c r="AH32" s="157" t="str">
        <v/>
      </c>
      <c r="AI32" s="157" t="str">
        <v/>
      </c>
      <c r="AJ32" s="157" t="str">
        <v/>
      </c>
      <c r="AK32" s="157" t="str">
        <v/>
      </c>
      <c r="AL32" s="157" t="str">
        <v/>
      </c>
      <c r="AM32" s="157" t="str">
        <v/>
      </c>
      <c r="AN32" s="157" t="str">
        <v/>
      </c>
      <c r="AO32" s="174" t="str">
        <v/>
      </c>
      <c r="AP32" s="157" t="str">
        <v/>
      </c>
      <c r="AQ32" s="158"/>
      <c r="AR32" s="154"/>
      <c r="AS32" s="153"/>
      <c r="AT32" s="154"/>
      <c r="AU32" s="153"/>
      <c r="AV32" s="154"/>
      <c r="AW32" s="153"/>
      <c r="AX32" s="154"/>
      <c r="AY32" s="153"/>
      <c r="AZ32" s="154"/>
      <c r="BA32" s="157" t="str">
        <v/>
      </c>
      <c r="BB32" s="157" t="str">
        <v/>
      </c>
      <c r="BC32" s="157" t="str">
        <v/>
      </c>
      <c r="BD32" s="157" t="str">
        <v/>
      </c>
      <c r="BE32" s="157" t="str">
        <v/>
      </c>
      <c r="BF32" s="157" t="str">
        <v/>
      </c>
      <c r="BG32" s="157" t="str">
        <v/>
      </c>
      <c r="BH32" s="157" t="str">
        <v/>
      </c>
      <c r="BI32" s="174" t="str">
        <v/>
      </c>
      <c r="BJ32" s="157" t="str">
        <v/>
      </c>
      <c r="BK32" s="159" t="str">
        <v/>
      </c>
      <c r="BL32" s="160" t="str">
        <v/>
      </c>
      <c r="BM32" s="160" t="str">
        <v/>
      </c>
      <c r="BN32" s="160" t="str">
        <v/>
      </c>
      <c r="BO32" s="160" t="str">
        <v/>
      </c>
      <c r="BP32" s="160" t="str">
        <v/>
      </c>
      <c r="BQ32" s="160" t="str">
        <v/>
      </c>
      <c r="BR32" s="160" t="str">
        <v/>
      </c>
      <c r="BS32" s="8" t="str">
        <v/>
      </c>
      <c r="BT32" s="161" t="str">
        <v/>
      </c>
      <c r="BU32" s="156"/>
      <c r="BV32" s="156"/>
    </row>
    <row r="33" spans="1:74">
      <c r="A33" s="163"/>
      <c r="B33" s="163"/>
      <c r="C33" s="158"/>
      <c r="D33" s="154"/>
      <c r="E33" s="153"/>
      <c r="F33" s="154"/>
      <c r="G33" s="153"/>
      <c r="H33" s="154"/>
      <c r="I33" s="153"/>
      <c r="J33" s="154"/>
      <c r="K33" s="153"/>
      <c r="L33" s="154"/>
      <c r="M33" s="157" t="str">
        <v/>
      </c>
      <c r="N33" s="157" t="str">
        <v/>
      </c>
      <c r="O33" s="157" t="str">
        <v/>
      </c>
      <c r="P33" s="157" t="str">
        <v/>
      </c>
      <c r="Q33" s="157" t="str">
        <v/>
      </c>
      <c r="R33" s="157" t="str">
        <v/>
      </c>
      <c r="S33" s="157" t="str">
        <v/>
      </c>
      <c r="T33" s="157" t="str">
        <v/>
      </c>
      <c r="U33" s="163" t="str">
        <v/>
      </c>
      <c r="V33" s="157" t="str">
        <v/>
      </c>
      <c r="W33" s="158"/>
      <c r="X33" s="154"/>
      <c r="Y33" s="153"/>
      <c r="Z33" s="154"/>
      <c r="AA33" s="153"/>
      <c r="AB33" s="154"/>
      <c r="AC33" s="153"/>
      <c r="AD33" s="154"/>
      <c r="AE33" s="153"/>
      <c r="AF33" s="154"/>
      <c r="AG33" s="157" t="str">
        <v/>
      </c>
      <c r="AH33" s="157" t="str">
        <v/>
      </c>
      <c r="AI33" s="157" t="str">
        <v/>
      </c>
      <c r="AJ33" s="157" t="str">
        <v/>
      </c>
      <c r="AK33" s="157" t="str">
        <v/>
      </c>
      <c r="AL33" s="157" t="str">
        <v/>
      </c>
      <c r="AM33" s="157" t="str">
        <v/>
      </c>
      <c r="AN33" s="157" t="str">
        <v/>
      </c>
      <c r="AO33" s="174" t="str">
        <v/>
      </c>
      <c r="AP33" s="157" t="str">
        <v/>
      </c>
      <c r="AQ33" s="158"/>
      <c r="AR33" s="154"/>
      <c r="AS33" s="153"/>
      <c r="AT33" s="154"/>
      <c r="AU33" s="153"/>
      <c r="AV33" s="154"/>
      <c r="AW33" s="153"/>
      <c r="AX33" s="154"/>
      <c r="AY33" s="153"/>
      <c r="AZ33" s="154"/>
      <c r="BA33" s="157" t="str">
        <v/>
      </c>
      <c r="BB33" s="157" t="str">
        <v/>
      </c>
      <c r="BC33" s="157" t="str">
        <v/>
      </c>
      <c r="BD33" s="157" t="str">
        <v/>
      </c>
      <c r="BE33" s="157" t="str">
        <v/>
      </c>
      <c r="BF33" s="157" t="str">
        <v/>
      </c>
      <c r="BG33" s="157" t="str">
        <v/>
      </c>
      <c r="BH33" s="157" t="str">
        <v/>
      </c>
      <c r="BI33" s="174" t="str">
        <v/>
      </c>
      <c r="BJ33" s="157" t="str">
        <v/>
      </c>
      <c r="BK33" s="159" t="str">
        <v/>
      </c>
      <c r="BL33" s="160" t="str">
        <v/>
      </c>
      <c r="BM33" s="160" t="str">
        <v/>
      </c>
      <c r="BN33" s="160" t="str">
        <v/>
      </c>
      <c r="BO33" s="160" t="str">
        <v/>
      </c>
      <c r="BP33" s="160" t="str">
        <v/>
      </c>
      <c r="BQ33" s="160" t="str">
        <v/>
      </c>
      <c r="BR33" s="160" t="str">
        <v/>
      </c>
      <c r="BS33" s="8" t="str">
        <v/>
      </c>
      <c r="BT33" s="161" t="str">
        <v/>
      </c>
      <c r="BU33" s="156"/>
      <c r="BV33" s="156"/>
    </row>
    <row r="34" spans="1:74">
      <c r="A34" s="163"/>
      <c r="B34" s="163"/>
      <c r="C34" s="158"/>
      <c r="D34" s="154"/>
      <c r="E34" s="153"/>
      <c r="F34" s="154"/>
      <c r="G34" s="153"/>
      <c r="H34" s="154"/>
      <c r="I34" s="153"/>
      <c r="J34" s="154"/>
      <c r="K34" s="153"/>
      <c r="L34" s="154"/>
      <c r="M34" s="157" t="str">
        <v/>
      </c>
      <c r="N34" s="157" t="str">
        <v/>
      </c>
      <c r="O34" s="157" t="str">
        <v/>
      </c>
      <c r="P34" s="157" t="str">
        <v/>
      </c>
      <c r="Q34" s="157" t="str">
        <v/>
      </c>
      <c r="R34" s="157" t="str">
        <v/>
      </c>
      <c r="S34" s="157" t="str">
        <v/>
      </c>
      <c r="T34" s="157" t="str">
        <v/>
      </c>
      <c r="U34" s="163" t="str">
        <v/>
      </c>
      <c r="V34" s="157" t="str">
        <v/>
      </c>
      <c r="W34" s="158"/>
      <c r="X34" s="154"/>
      <c r="Y34" s="153"/>
      <c r="Z34" s="154"/>
      <c r="AA34" s="153"/>
      <c r="AB34" s="154"/>
      <c r="AC34" s="153"/>
      <c r="AD34" s="154"/>
      <c r="AE34" s="153"/>
      <c r="AF34" s="154"/>
      <c r="AG34" s="157" t="str">
        <v/>
      </c>
      <c r="AH34" s="157" t="str">
        <v/>
      </c>
      <c r="AI34" s="157" t="str">
        <v/>
      </c>
      <c r="AJ34" s="157" t="str">
        <v/>
      </c>
      <c r="AK34" s="157" t="str">
        <v/>
      </c>
      <c r="AL34" s="157" t="str">
        <v/>
      </c>
      <c r="AM34" s="157" t="str">
        <v/>
      </c>
      <c r="AN34" s="157" t="str">
        <v/>
      </c>
      <c r="AO34" s="174" t="str">
        <v/>
      </c>
      <c r="AP34" s="157" t="str">
        <v/>
      </c>
      <c r="AQ34" s="158"/>
      <c r="AR34" s="154"/>
      <c r="AS34" s="153"/>
      <c r="AT34" s="154"/>
      <c r="AU34" s="153"/>
      <c r="AV34" s="154"/>
      <c r="AW34" s="153"/>
      <c r="AX34" s="154"/>
      <c r="AY34" s="153"/>
      <c r="AZ34" s="154"/>
      <c r="BA34" s="157" t="str">
        <v/>
      </c>
      <c r="BB34" s="157" t="str">
        <v/>
      </c>
      <c r="BC34" s="157" t="str">
        <v/>
      </c>
      <c r="BD34" s="157" t="str">
        <v/>
      </c>
      <c r="BE34" s="157" t="str">
        <v/>
      </c>
      <c r="BF34" s="157" t="str">
        <v/>
      </c>
      <c r="BG34" s="157" t="str">
        <v/>
      </c>
      <c r="BH34" s="157" t="str">
        <v/>
      </c>
      <c r="BI34" s="174" t="str">
        <v/>
      </c>
      <c r="BJ34" s="157" t="str">
        <v/>
      </c>
      <c r="BK34" s="159" t="str">
        <v/>
      </c>
      <c r="BL34" s="160" t="str">
        <v/>
      </c>
      <c r="BM34" s="160" t="str">
        <v/>
      </c>
      <c r="BN34" s="160" t="str">
        <v/>
      </c>
      <c r="BO34" s="160" t="str">
        <v/>
      </c>
      <c r="BP34" s="160" t="str">
        <v/>
      </c>
      <c r="BQ34" s="160" t="str">
        <v/>
      </c>
      <c r="BR34" s="160" t="str">
        <v/>
      </c>
      <c r="BS34" s="8" t="str">
        <v/>
      </c>
      <c r="BT34" s="161" t="str">
        <v/>
      </c>
      <c r="BU34" s="156"/>
      <c r="BV34" s="156"/>
    </row>
    <row r="35" spans="1:74">
      <c r="A35" s="163"/>
      <c r="B35" s="163"/>
      <c r="C35" s="158"/>
      <c r="D35" s="154"/>
      <c r="E35" s="153"/>
      <c r="F35" s="154"/>
      <c r="G35" s="153"/>
      <c r="H35" s="154"/>
      <c r="I35" s="153"/>
      <c r="J35" s="154"/>
      <c r="K35" s="153"/>
      <c r="L35" s="154"/>
      <c r="M35" s="157" t="str">
        <v/>
      </c>
      <c r="N35" s="157" t="str">
        <v/>
      </c>
      <c r="O35" s="157" t="str">
        <v/>
      </c>
      <c r="P35" s="157" t="str">
        <v/>
      </c>
      <c r="Q35" s="157" t="str">
        <v/>
      </c>
      <c r="R35" s="157" t="str">
        <v/>
      </c>
      <c r="S35" s="157" t="str">
        <v/>
      </c>
      <c r="T35" s="157" t="str">
        <v/>
      </c>
      <c r="U35" s="163" t="str">
        <v/>
      </c>
      <c r="V35" s="157" t="str">
        <v/>
      </c>
      <c r="W35" s="158"/>
      <c r="X35" s="154"/>
      <c r="Y35" s="153"/>
      <c r="Z35" s="154"/>
      <c r="AA35" s="153"/>
      <c r="AB35" s="154"/>
      <c r="AC35" s="153"/>
      <c r="AD35" s="154"/>
      <c r="AE35" s="153"/>
      <c r="AF35" s="154"/>
      <c r="AG35" s="157" t="str">
        <v/>
      </c>
      <c r="AH35" s="157" t="str">
        <v/>
      </c>
      <c r="AI35" s="157" t="str">
        <v/>
      </c>
      <c r="AJ35" s="157" t="str">
        <v/>
      </c>
      <c r="AK35" s="157" t="str">
        <v/>
      </c>
      <c r="AL35" s="157" t="str">
        <v/>
      </c>
      <c r="AM35" s="157" t="str">
        <v/>
      </c>
      <c r="AN35" s="157" t="str">
        <v/>
      </c>
      <c r="AO35" s="174" t="str">
        <v/>
      </c>
      <c r="AP35" s="157" t="str">
        <v/>
      </c>
      <c r="AQ35" s="158"/>
      <c r="AR35" s="154"/>
      <c r="AS35" s="153"/>
      <c r="AT35" s="154"/>
      <c r="AU35" s="153"/>
      <c r="AV35" s="154"/>
      <c r="AW35" s="153"/>
      <c r="AX35" s="154"/>
      <c r="AY35" s="153"/>
      <c r="AZ35" s="154"/>
      <c r="BA35" s="157" t="str">
        <v/>
      </c>
      <c r="BB35" s="157" t="str">
        <v/>
      </c>
      <c r="BC35" s="157" t="str">
        <v/>
      </c>
      <c r="BD35" s="157" t="str">
        <v/>
      </c>
      <c r="BE35" s="157" t="str">
        <v/>
      </c>
      <c r="BF35" s="157" t="str">
        <v/>
      </c>
      <c r="BG35" s="157" t="str">
        <v/>
      </c>
      <c r="BH35" s="157" t="str">
        <v/>
      </c>
      <c r="BI35" s="174" t="str">
        <v/>
      </c>
      <c r="BJ35" s="157" t="str">
        <v/>
      </c>
      <c r="BK35" s="159" t="str">
        <v/>
      </c>
      <c r="BL35" s="160" t="str">
        <v/>
      </c>
      <c r="BM35" s="160" t="str">
        <v/>
      </c>
      <c r="BN35" s="160" t="str">
        <v/>
      </c>
      <c r="BO35" s="160" t="str">
        <v/>
      </c>
      <c r="BP35" s="160" t="str">
        <v/>
      </c>
      <c r="BQ35" s="160" t="str">
        <v/>
      </c>
      <c r="BR35" s="160" t="str">
        <v/>
      </c>
      <c r="BS35" s="8" t="str">
        <v/>
      </c>
      <c r="BT35" s="161" t="str">
        <v/>
      </c>
      <c r="BU35" s="156"/>
      <c r="BV35" s="156"/>
    </row>
    <row r="36" spans="1:74">
      <c r="A36" s="163"/>
      <c r="B36" s="163"/>
      <c r="C36" s="158"/>
      <c r="D36" s="154"/>
      <c r="E36" s="153"/>
      <c r="F36" s="154"/>
      <c r="G36" s="153"/>
      <c r="H36" s="154"/>
      <c r="I36" s="153"/>
      <c r="J36" s="154"/>
      <c r="K36" s="153"/>
      <c r="L36" s="154"/>
      <c r="M36" s="157" t="str">
        <v/>
      </c>
      <c r="N36" s="157" t="str">
        <v/>
      </c>
      <c r="O36" s="157" t="str">
        <v/>
      </c>
      <c r="P36" s="157" t="str">
        <v/>
      </c>
      <c r="Q36" s="157" t="str">
        <v/>
      </c>
      <c r="R36" s="157" t="str">
        <v/>
      </c>
      <c r="S36" s="157" t="str">
        <v/>
      </c>
      <c r="T36" s="157" t="str">
        <v/>
      </c>
      <c r="U36" s="163" t="str">
        <v/>
      </c>
      <c r="V36" s="157" t="str">
        <v/>
      </c>
      <c r="W36" s="158"/>
      <c r="X36" s="154"/>
      <c r="Y36" s="153"/>
      <c r="Z36" s="154"/>
      <c r="AA36" s="153"/>
      <c r="AB36" s="154"/>
      <c r="AC36" s="153"/>
      <c r="AD36" s="154"/>
      <c r="AE36" s="153"/>
      <c r="AF36" s="154"/>
      <c r="AG36" s="157" t="str">
        <v/>
      </c>
      <c r="AH36" s="157" t="str">
        <v/>
      </c>
      <c r="AI36" s="157" t="str">
        <v/>
      </c>
      <c r="AJ36" s="157" t="str">
        <v/>
      </c>
      <c r="AK36" s="157" t="str">
        <v/>
      </c>
      <c r="AL36" s="157" t="str">
        <v/>
      </c>
      <c r="AM36" s="157" t="str">
        <v/>
      </c>
      <c r="AN36" s="157" t="str">
        <v/>
      </c>
      <c r="AO36" s="174" t="str">
        <v/>
      </c>
      <c r="AP36" s="157" t="str">
        <v/>
      </c>
      <c r="AQ36" s="158"/>
      <c r="AR36" s="154"/>
      <c r="AS36" s="153"/>
      <c r="AT36" s="154"/>
      <c r="AU36" s="153"/>
      <c r="AV36" s="154"/>
      <c r="AW36" s="153"/>
      <c r="AX36" s="154"/>
      <c r="AY36" s="153"/>
      <c r="AZ36" s="154"/>
      <c r="BA36" s="157" t="str">
        <v/>
      </c>
      <c r="BB36" s="157" t="str">
        <v/>
      </c>
      <c r="BC36" s="157" t="str">
        <v/>
      </c>
      <c r="BD36" s="157" t="str">
        <v/>
      </c>
      <c r="BE36" s="157" t="str">
        <v/>
      </c>
      <c r="BF36" s="157" t="str">
        <v/>
      </c>
      <c r="BG36" s="157" t="str">
        <v/>
      </c>
      <c r="BH36" s="157" t="str">
        <v/>
      </c>
      <c r="BI36" s="174" t="str">
        <v/>
      </c>
      <c r="BJ36" s="157" t="str">
        <v/>
      </c>
      <c r="BK36" s="159" t="str">
        <v/>
      </c>
      <c r="BL36" s="160" t="str">
        <v/>
      </c>
      <c r="BM36" s="160" t="str">
        <v/>
      </c>
      <c r="BN36" s="160" t="str">
        <v/>
      </c>
      <c r="BO36" s="160" t="str">
        <v/>
      </c>
      <c r="BP36" s="160" t="str">
        <v/>
      </c>
      <c r="BQ36" s="160" t="str">
        <v/>
      </c>
      <c r="BR36" s="160" t="str">
        <v/>
      </c>
      <c r="BS36" s="8" t="str">
        <v/>
      </c>
      <c r="BT36" s="161" t="str">
        <v/>
      </c>
      <c r="BU36" s="156"/>
      <c r="BV36" s="156"/>
    </row>
    <row r="37" spans="1:74">
      <c r="A37" s="163"/>
      <c r="B37" s="163"/>
      <c r="C37" s="158"/>
      <c r="D37" s="154"/>
      <c r="E37" s="153"/>
      <c r="F37" s="154"/>
      <c r="G37" s="153"/>
      <c r="H37" s="154"/>
      <c r="I37" s="153"/>
      <c r="J37" s="154"/>
      <c r="K37" s="153"/>
      <c r="L37" s="154"/>
      <c r="M37" s="157" t="str">
        <v/>
      </c>
      <c r="N37" s="157" t="str">
        <v/>
      </c>
      <c r="O37" s="157" t="str">
        <v/>
      </c>
      <c r="P37" s="157" t="str">
        <v/>
      </c>
      <c r="Q37" s="157" t="str">
        <v/>
      </c>
      <c r="R37" s="157" t="str">
        <v/>
      </c>
      <c r="S37" s="157" t="str">
        <v/>
      </c>
      <c r="T37" s="157" t="str">
        <v/>
      </c>
      <c r="U37" s="163" t="str">
        <v/>
      </c>
      <c r="V37" s="157" t="str">
        <v/>
      </c>
      <c r="W37" s="158"/>
      <c r="X37" s="154"/>
      <c r="Y37" s="153"/>
      <c r="Z37" s="154"/>
      <c r="AA37" s="153"/>
      <c r="AB37" s="154"/>
      <c r="AC37" s="153"/>
      <c r="AD37" s="154"/>
      <c r="AE37" s="153"/>
      <c r="AF37" s="154"/>
      <c r="AG37" s="157" t="str">
        <v/>
      </c>
      <c r="AH37" s="157" t="str">
        <v/>
      </c>
      <c r="AI37" s="157" t="str">
        <v/>
      </c>
      <c r="AJ37" s="157" t="str">
        <v/>
      </c>
      <c r="AK37" s="157" t="str">
        <v/>
      </c>
      <c r="AL37" s="157" t="str">
        <v/>
      </c>
      <c r="AM37" s="157" t="str">
        <v/>
      </c>
      <c r="AN37" s="157" t="str">
        <v/>
      </c>
      <c r="AO37" s="174" t="str">
        <v/>
      </c>
      <c r="AP37" s="157" t="str">
        <v/>
      </c>
      <c r="AQ37" s="158"/>
      <c r="AR37" s="154"/>
      <c r="AS37" s="153"/>
      <c r="AT37" s="154"/>
      <c r="AU37" s="153"/>
      <c r="AV37" s="154"/>
      <c r="AW37" s="153"/>
      <c r="AX37" s="154"/>
      <c r="AY37" s="153"/>
      <c r="AZ37" s="154"/>
      <c r="BA37" s="157" t="str">
        <v/>
      </c>
      <c r="BB37" s="157" t="str">
        <v/>
      </c>
      <c r="BC37" s="157" t="str">
        <v/>
      </c>
      <c r="BD37" s="157" t="str">
        <v/>
      </c>
      <c r="BE37" s="157" t="str">
        <v/>
      </c>
      <c r="BF37" s="157" t="str">
        <v/>
      </c>
      <c r="BG37" s="157" t="str">
        <v/>
      </c>
      <c r="BH37" s="157" t="str">
        <v/>
      </c>
      <c r="BI37" s="174" t="str">
        <v/>
      </c>
      <c r="BJ37" s="157" t="str">
        <v/>
      </c>
      <c r="BK37" s="159" t="str">
        <v/>
      </c>
      <c r="BL37" s="160" t="str">
        <v/>
      </c>
      <c r="BM37" s="160" t="str">
        <v/>
      </c>
      <c r="BN37" s="160" t="str">
        <v/>
      </c>
      <c r="BO37" s="160" t="str">
        <v/>
      </c>
      <c r="BP37" s="160" t="str">
        <v/>
      </c>
      <c r="BQ37" s="160" t="str">
        <v/>
      </c>
      <c r="BR37" s="160" t="str">
        <v/>
      </c>
      <c r="BS37" s="8" t="str">
        <v/>
      </c>
      <c r="BT37" s="161" t="str">
        <v/>
      </c>
      <c r="BU37" s="156"/>
      <c r="BV37" s="156"/>
    </row>
    <row r="38" spans="1:74">
      <c r="A38" s="163"/>
      <c r="B38" s="163"/>
      <c r="C38" s="158"/>
      <c r="D38" s="154"/>
      <c r="E38" s="153"/>
      <c r="F38" s="154"/>
      <c r="G38" s="153"/>
      <c r="H38" s="154"/>
      <c r="I38" s="153"/>
      <c r="J38" s="154"/>
      <c r="K38" s="153"/>
      <c r="L38" s="154"/>
      <c r="M38" s="157" t="str">
        <v/>
      </c>
      <c r="N38" s="157" t="str">
        <v/>
      </c>
      <c r="O38" s="157" t="str">
        <v/>
      </c>
      <c r="P38" s="157" t="str">
        <v/>
      </c>
      <c r="Q38" s="157" t="str">
        <v/>
      </c>
      <c r="R38" s="157" t="str">
        <v/>
      </c>
      <c r="S38" s="157" t="str">
        <v/>
      </c>
      <c r="T38" s="157" t="str">
        <v/>
      </c>
      <c r="U38" s="163" t="str">
        <v/>
      </c>
      <c r="V38" s="157" t="str">
        <v/>
      </c>
      <c r="W38" s="158"/>
      <c r="X38" s="154"/>
      <c r="Y38" s="153"/>
      <c r="Z38" s="154"/>
      <c r="AA38" s="153"/>
      <c r="AB38" s="154"/>
      <c r="AC38" s="153"/>
      <c r="AD38" s="154"/>
      <c r="AE38" s="153"/>
      <c r="AF38" s="154"/>
      <c r="AG38" s="157" t="str">
        <v/>
      </c>
      <c r="AH38" s="157" t="str">
        <v/>
      </c>
      <c r="AI38" s="157" t="str">
        <v/>
      </c>
      <c r="AJ38" s="157" t="str">
        <v/>
      </c>
      <c r="AK38" s="157" t="str">
        <v/>
      </c>
      <c r="AL38" s="157" t="str">
        <v/>
      </c>
      <c r="AM38" s="157" t="str">
        <v/>
      </c>
      <c r="AN38" s="157" t="str">
        <v/>
      </c>
      <c r="AO38" s="174" t="str">
        <v/>
      </c>
      <c r="AP38" s="157" t="str">
        <v/>
      </c>
      <c r="AQ38" s="158"/>
      <c r="AR38" s="154"/>
      <c r="AS38" s="153"/>
      <c r="AT38" s="154"/>
      <c r="AU38" s="153"/>
      <c r="AV38" s="154"/>
      <c r="AW38" s="153"/>
      <c r="AX38" s="154"/>
      <c r="AY38" s="153"/>
      <c r="AZ38" s="154"/>
      <c r="BA38" s="157" t="str">
        <v/>
      </c>
      <c r="BB38" s="157" t="str">
        <v/>
      </c>
      <c r="BC38" s="157" t="str">
        <v/>
      </c>
      <c r="BD38" s="157" t="str">
        <v/>
      </c>
      <c r="BE38" s="157" t="str">
        <v/>
      </c>
      <c r="BF38" s="157" t="str">
        <v/>
      </c>
      <c r="BG38" s="157" t="str">
        <v/>
      </c>
      <c r="BH38" s="157" t="str">
        <v/>
      </c>
      <c r="BI38" s="174" t="str">
        <v/>
      </c>
      <c r="BJ38" s="157" t="str">
        <v/>
      </c>
      <c r="BK38" s="159" t="str">
        <v/>
      </c>
      <c r="BL38" s="160" t="str">
        <v/>
      </c>
      <c r="BM38" s="160" t="str">
        <v/>
      </c>
      <c r="BN38" s="160" t="str">
        <v/>
      </c>
      <c r="BO38" s="160" t="str">
        <v/>
      </c>
      <c r="BP38" s="160" t="str">
        <v/>
      </c>
      <c r="BQ38" s="160" t="str">
        <v/>
      </c>
      <c r="BR38" s="160" t="str">
        <v/>
      </c>
      <c r="BS38" s="8" t="str">
        <v/>
      </c>
      <c r="BT38" s="161" t="str">
        <v/>
      </c>
      <c r="BU38" s="156"/>
      <c r="BV38" s="156"/>
    </row>
    <row r="39" spans="1:74">
      <c r="A39" s="163"/>
      <c r="B39" s="163"/>
      <c r="C39" s="158"/>
      <c r="D39" s="154"/>
      <c r="E39" s="153"/>
      <c r="F39" s="154"/>
      <c r="G39" s="153"/>
      <c r="H39" s="154"/>
      <c r="I39" s="153"/>
      <c r="J39" s="154"/>
      <c r="K39" s="153"/>
      <c r="L39" s="154"/>
      <c r="M39" s="157" t="str">
        <v/>
      </c>
      <c r="N39" s="157" t="str">
        <v/>
      </c>
      <c r="O39" s="157" t="str">
        <v/>
      </c>
      <c r="P39" s="157" t="str">
        <v/>
      </c>
      <c r="Q39" s="157" t="str">
        <v/>
      </c>
      <c r="R39" s="157" t="str">
        <v/>
      </c>
      <c r="S39" s="157" t="str">
        <v/>
      </c>
      <c r="T39" s="157" t="str">
        <v/>
      </c>
      <c r="U39" s="163" t="str">
        <v/>
      </c>
      <c r="V39" s="157" t="str">
        <v/>
      </c>
      <c r="W39" s="158"/>
      <c r="X39" s="154"/>
      <c r="Y39" s="153"/>
      <c r="Z39" s="154"/>
      <c r="AA39" s="153"/>
      <c r="AB39" s="154"/>
      <c r="AC39" s="153"/>
      <c r="AD39" s="154"/>
      <c r="AE39" s="153"/>
      <c r="AF39" s="154"/>
      <c r="AG39" s="157" t="str">
        <v/>
      </c>
      <c r="AH39" s="157" t="str">
        <v/>
      </c>
      <c r="AI39" s="157" t="str">
        <v/>
      </c>
      <c r="AJ39" s="157" t="str">
        <v/>
      </c>
      <c r="AK39" s="157" t="str">
        <v/>
      </c>
      <c r="AL39" s="157" t="str">
        <v/>
      </c>
      <c r="AM39" s="157" t="str">
        <v/>
      </c>
      <c r="AN39" s="157" t="str">
        <v/>
      </c>
      <c r="AO39" s="174" t="str">
        <v/>
      </c>
      <c r="AP39" s="157" t="str">
        <v/>
      </c>
      <c r="AQ39" s="158"/>
      <c r="AR39" s="154"/>
      <c r="AS39" s="153"/>
      <c r="AT39" s="154"/>
      <c r="AU39" s="153"/>
      <c r="AV39" s="154"/>
      <c r="AW39" s="153"/>
      <c r="AX39" s="154"/>
      <c r="AY39" s="153"/>
      <c r="AZ39" s="154"/>
      <c r="BA39" s="157" t="str">
        <v/>
      </c>
      <c r="BB39" s="157" t="str">
        <v/>
      </c>
      <c r="BC39" s="157" t="str">
        <v/>
      </c>
      <c r="BD39" s="157" t="str">
        <v/>
      </c>
      <c r="BE39" s="157" t="str">
        <v/>
      </c>
      <c r="BF39" s="157" t="str">
        <v/>
      </c>
      <c r="BG39" s="157" t="str">
        <v/>
      </c>
      <c r="BH39" s="157" t="str">
        <v/>
      </c>
      <c r="BI39" s="174" t="str">
        <v/>
      </c>
      <c r="BJ39" s="157" t="str">
        <v/>
      </c>
      <c r="BK39" s="159" t="str">
        <v/>
      </c>
      <c r="BL39" s="160" t="str">
        <v/>
      </c>
      <c r="BM39" s="160" t="str">
        <v/>
      </c>
      <c r="BN39" s="160" t="str">
        <v/>
      </c>
      <c r="BO39" s="160" t="str">
        <v/>
      </c>
      <c r="BP39" s="160" t="str">
        <v/>
      </c>
      <c r="BQ39" s="160" t="str">
        <v/>
      </c>
      <c r="BR39" s="160" t="str">
        <v/>
      </c>
      <c r="BS39" s="8" t="str">
        <v/>
      </c>
      <c r="BT39" s="161" t="str">
        <v/>
      </c>
      <c r="BU39" s="156"/>
      <c r="BV39" s="156"/>
    </row>
    <row r="40" spans="1:74">
      <c r="A40" s="163"/>
      <c r="B40" s="163"/>
      <c r="C40" s="158"/>
      <c r="D40" s="154"/>
      <c r="E40" s="153"/>
      <c r="F40" s="154"/>
      <c r="G40" s="153"/>
      <c r="H40" s="154"/>
      <c r="I40" s="153"/>
      <c r="J40" s="154"/>
      <c r="K40" s="153"/>
      <c r="L40" s="154"/>
      <c r="M40" s="157" t="str">
        <v/>
      </c>
      <c r="N40" s="157" t="str">
        <v/>
      </c>
      <c r="O40" s="157" t="str">
        <v/>
      </c>
      <c r="P40" s="157" t="str">
        <v/>
      </c>
      <c r="Q40" s="157" t="str">
        <v/>
      </c>
      <c r="R40" s="157" t="str">
        <v/>
      </c>
      <c r="S40" s="157" t="str">
        <v/>
      </c>
      <c r="T40" s="157" t="str">
        <v/>
      </c>
      <c r="U40" s="163" t="str">
        <v/>
      </c>
      <c r="V40" s="157" t="str">
        <v/>
      </c>
      <c r="W40" s="158"/>
      <c r="X40" s="154"/>
      <c r="Y40" s="153"/>
      <c r="Z40" s="154"/>
      <c r="AA40" s="153"/>
      <c r="AB40" s="154"/>
      <c r="AC40" s="153"/>
      <c r="AD40" s="154"/>
      <c r="AE40" s="153"/>
      <c r="AF40" s="154"/>
      <c r="AG40" s="157" t="str">
        <v/>
      </c>
      <c r="AH40" s="157" t="str">
        <v/>
      </c>
      <c r="AI40" s="157" t="str">
        <v/>
      </c>
      <c r="AJ40" s="157" t="str">
        <v/>
      </c>
      <c r="AK40" s="157" t="str">
        <v/>
      </c>
      <c r="AL40" s="157" t="str">
        <v/>
      </c>
      <c r="AM40" s="157" t="str">
        <v/>
      </c>
      <c r="AN40" s="157" t="str">
        <v/>
      </c>
      <c r="AO40" s="174" t="str">
        <v/>
      </c>
      <c r="AP40" s="157" t="str">
        <v/>
      </c>
      <c r="AQ40" s="158"/>
      <c r="AR40" s="154"/>
      <c r="AS40" s="153"/>
      <c r="AT40" s="154"/>
      <c r="AU40" s="153"/>
      <c r="AV40" s="154"/>
      <c r="AW40" s="153"/>
      <c r="AX40" s="154"/>
      <c r="AY40" s="153"/>
      <c r="AZ40" s="154"/>
      <c r="BA40" s="157" t="str">
        <v/>
      </c>
      <c r="BB40" s="157" t="str">
        <v/>
      </c>
      <c r="BC40" s="157" t="str">
        <v/>
      </c>
      <c r="BD40" s="157" t="str">
        <v/>
      </c>
      <c r="BE40" s="157" t="str">
        <v/>
      </c>
      <c r="BF40" s="157" t="str">
        <v/>
      </c>
      <c r="BG40" s="157" t="str">
        <v/>
      </c>
      <c r="BH40" s="157" t="str">
        <v/>
      </c>
      <c r="BI40" s="174" t="str">
        <v/>
      </c>
      <c r="BJ40" s="157" t="str">
        <v/>
      </c>
      <c r="BK40" s="159" t="str">
        <v/>
      </c>
      <c r="BL40" s="160" t="str">
        <v/>
      </c>
      <c r="BM40" s="160" t="str">
        <v/>
      </c>
      <c r="BN40" s="160" t="str">
        <v/>
      </c>
      <c r="BO40" s="160" t="str">
        <v/>
      </c>
      <c r="BP40" s="160" t="str">
        <v/>
      </c>
      <c r="BQ40" s="160" t="str">
        <v/>
      </c>
      <c r="BR40" s="160" t="str">
        <v/>
      </c>
      <c r="BS40" s="8" t="str">
        <v/>
      </c>
      <c r="BT40" s="161" t="str">
        <v/>
      </c>
      <c r="BU40" s="156"/>
      <c r="BV40" s="156"/>
    </row>
    <row r="41" spans="1:74">
      <c r="A41" s="163"/>
      <c r="B41" s="163"/>
      <c r="C41" s="158"/>
      <c r="D41" s="154"/>
      <c r="E41" s="153"/>
      <c r="F41" s="154"/>
      <c r="G41" s="153"/>
      <c r="H41" s="154"/>
      <c r="I41" s="153"/>
      <c r="J41" s="154"/>
      <c r="K41" s="153"/>
      <c r="L41" s="154"/>
      <c r="M41" s="157" t="str">
        <v/>
      </c>
      <c r="N41" s="157" t="str">
        <v/>
      </c>
      <c r="O41" s="157" t="str">
        <v/>
      </c>
      <c r="P41" s="157" t="str">
        <v/>
      </c>
      <c r="Q41" s="157" t="str">
        <v/>
      </c>
      <c r="R41" s="157" t="str">
        <v/>
      </c>
      <c r="S41" s="157" t="str">
        <v/>
      </c>
      <c r="T41" s="157" t="str">
        <v/>
      </c>
      <c r="U41" s="163" t="str">
        <v/>
      </c>
      <c r="V41" s="157" t="str">
        <v/>
      </c>
      <c r="W41" s="158"/>
      <c r="X41" s="154"/>
      <c r="Y41" s="153"/>
      <c r="Z41" s="154"/>
      <c r="AA41" s="153"/>
      <c r="AB41" s="154"/>
      <c r="AC41" s="153"/>
      <c r="AD41" s="154"/>
      <c r="AE41" s="153"/>
      <c r="AF41" s="154"/>
      <c r="AG41" s="157" t="str">
        <v/>
      </c>
      <c r="AH41" s="157" t="str">
        <v/>
      </c>
      <c r="AI41" s="157" t="str">
        <v/>
      </c>
      <c r="AJ41" s="157" t="str">
        <v/>
      </c>
      <c r="AK41" s="157" t="str">
        <v/>
      </c>
      <c r="AL41" s="157" t="str">
        <v/>
      </c>
      <c r="AM41" s="157" t="str">
        <v/>
      </c>
      <c r="AN41" s="157" t="str">
        <v/>
      </c>
      <c r="AO41" s="174" t="str">
        <v/>
      </c>
      <c r="AP41" s="157" t="str">
        <v/>
      </c>
      <c r="AQ41" s="158"/>
      <c r="AR41" s="154"/>
      <c r="AS41" s="153"/>
      <c r="AT41" s="154"/>
      <c r="AU41" s="153"/>
      <c r="AV41" s="154"/>
      <c r="AW41" s="153"/>
      <c r="AX41" s="154"/>
      <c r="AY41" s="153"/>
      <c r="AZ41" s="154"/>
      <c r="BA41" s="157" t="str">
        <v/>
      </c>
      <c r="BB41" s="157" t="str">
        <v/>
      </c>
      <c r="BC41" s="157" t="str">
        <v/>
      </c>
      <c r="BD41" s="157" t="str">
        <v/>
      </c>
      <c r="BE41" s="157" t="str">
        <v/>
      </c>
      <c r="BF41" s="157" t="str">
        <v/>
      </c>
      <c r="BG41" s="157" t="str">
        <v/>
      </c>
      <c r="BH41" s="157" t="str">
        <v/>
      </c>
      <c r="BI41" s="174" t="str">
        <v/>
      </c>
      <c r="BJ41" s="157" t="str">
        <v/>
      </c>
      <c r="BK41" s="159" t="str">
        <v/>
      </c>
      <c r="BL41" s="160" t="str">
        <v/>
      </c>
      <c r="BM41" s="160" t="str">
        <v/>
      </c>
      <c r="BN41" s="160" t="str">
        <v/>
      </c>
      <c r="BO41" s="160" t="str">
        <v/>
      </c>
      <c r="BP41" s="160" t="str">
        <v/>
      </c>
      <c r="BQ41" s="160" t="str">
        <v/>
      </c>
      <c r="BR41" s="160" t="str">
        <v/>
      </c>
      <c r="BS41" s="8" t="str">
        <v/>
      </c>
      <c r="BT41" s="161" t="str">
        <v/>
      </c>
      <c r="BU41" s="156"/>
      <c r="BV41" s="156"/>
    </row>
    <row r="42" spans="1:74">
      <c r="A42" s="163"/>
      <c r="B42" s="163"/>
      <c r="C42" s="158"/>
      <c r="D42" s="154"/>
      <c r="E42" s="153"/>
      <c r="F42" s="154"/>
      <c r="G42" s="153"/>
      <c r="H42" s="154"/>
      <c r="I42" s="153"/>
      <c r="J42" s="154"/>
      <c r="K42" s="153"/>
      <c r="L42" s="154"/>
      <c r="M42" s="157" t="str">
        <v/>
      </c>
      <c r="N42" s="157" t="str">
        <v/>
      </c>
      <c r="O42" s="157" t="str">
        <v/>
      </c>
      <c r="P42" s="157" t="str">
        <v/>
      </c>
      <c r="Q42" s="157" t="str">
        <v/>
      </c>
      <c r="R42" s="157" t="str">
        <v/>
      </c>
      <c r="S42" s="157" t="str">
        <v/>
      </c>
      <c r="T42" s="157" t="str">
        <v/>
      </c>
      <c r="U42" s="163" t="str">
        <v/>
      </c>
      <c r="V42" s="157" t="str">
        <v/>
      </c>
      <c r="W42" s="158"/>
      <c r="X42" s="154"/>
      <c r="Y42" s="153"/>
      <c r="Z42" s="154"/>
      <c r="AA42" s="153"/>
      <c r="AB42" s="154"/>
      <c r="AC42" s="153"/>
      <c r="AD42" s="154"/>
      <c r="AE42" s="153"/>
      <c r="AF42" s="154"/>
      <c r="AG42" s="157" t="str">
        <v/>
      </c>
      <c r="AH42" s="157" t="str">
        <v/>
      </c>
      <c r="AI42" s="157" t="str">
        <v/>
      </c>
      <c r="AJ42" s="157" t="str">
        <v/>
      </c>
      <c r="AK42" s="157" t="str">
        <v/>
      </c>
      <c r="AL42" s="157" t="str">
        <v/>
      </c>
      <c r="AM42" s="157" t="str">
        <v/>
      </c>
      <c r="AN42" s="157" t="str">
        <v/>
      </c>
      <c r="AO42" s="174" t="str">
        <v/>
      </c>
      <c r="AP42" s="157" t="str">
        <v/>
      </c>
      <c r="AQ42" s="158"/>
      <c r="AR42" s="154"/>
      <c r="AS42" s="153"/>
      <c r="AT42" s="154"/>
      <c r="AU42" s="153"/>
      <c r="AV42" s="154"/>
      <c r="AW42" s="153"/>
      <c r="AX42" s="154"/>
      <c r="AY42" s="153"/>
      <c r="AZ42" s="154"/>
      <c r="BA42" s="157" t="str">
        <v/>
      </c>
      <c r="BB42" s="157" t="str">
        <v/>
      </c>
      <c r="BC42" s="157" t="str">
        <v/>
      </c>
      <c r="BD42" s="157" t="str">
        <v/>
      </c>
      <c r="BE42" s="157" t="str">
        <v/>
      </c>
      <c r="BF42" s="157" t="str">
        <v/>
      </c>
      <c r="BG42" s="157" t="str">
        <v/>
      </c>
      <c r="BH42" s="157" t="str">
        <v/>
      </c>
      <c r="BI42" s="174" t="str">
        <v/>
      </c>
      <c r="BJ42" s="157" t="str">
        <v/>
      </c>
      <c r="BK42" s="159" t="str">
        <v/>
      </c>
      <c r="BL42" s="160" t="str">
        <v/>
      </c>
      <c r="BM42" s="160" t="str">
        <v/>
      </c>
      <c r="BN42" s="160" t="str">
        <v/>
      </c>
      <c r="BO42" s="160" t="str">
        <v/>
      </c>
      <c r="BP42" s="160" t="str">
        <v/>
      </c>
      <c r="BQ42" s="160" t="str">
        <v/>
      </c>
      <c r="BR42" s="160" t="str">
        <v/>
      </c>
      <c r="BS42" s="8" t="str">
        <v/>
      </c>
      <c r="BT42" s="161" t="str">
        <v/>
      </c>
      <c r="BU42" s="156"/>
      <c r="BV42" s="156"/>
    </row>
    <row r="43" spans="1:74">
      <c r="A43" s="163"/>
      <c r="B43" s="163"/>
      <c r="C43" s="158"/>
      <c r="D43" s="154"/>
      <c r="E43" s="153"/>
      <c r="F43" s="154"/>
      <c r="G43" s="153"/>
      <c r="H43" s="154"/>
      <c r="I43" s="153"/>
      <c r="J43" s="154"/>
      <c r="K43" s="153"/>
      <c r="L43" s="154"/>
      <c r="M43" s="157" t="str">
        <v/>
      </c>
      <c r="N43" s="157" t="str">
        <v/>
      </c>
      <c r="O43" s="157" t="str">
        <v/>
      </c>
      <c r="P43" s="157" t="str">
        <v/>
      </c>
      <c r="Q43" s="157" t="str">
        <v/>
      </c>
      <c r="R43" s="157" t="str">
        <v/>
      </c>
      <c r="S43" s="157" t="str">
        <v/>
      </c>
      <c r="T43" s="157" t="str">
        <v/>
      </c>
      <c r="U43" s="163" t="str">
        <v/>
      </c>
      <c r="V43" s="157" t="str">
        <v/>
      </c>
      <c r="W43" s="158"/>
      <c r="X43" s="154"/>
      <c r="Y43" s="153"/>
      <c r="Z43" s="154"/>
      <c r="AA43" s="153"/>
      <c r="AB43" s="154"/>
      <c r="AC43" s="153"/>
      <c r="AD43" s="154"/>
      <c r="AE43" s="153"/>
      <c r="AF43" s="154"/>
      <c r="AG43" s="157" t="str">
        <v/>
      </c>
      <c r="AH43" s="157" t="str">
        <v/>
      </c>
      <c r="AI43" s="157" t="str">
        <v/>
      </c>
      <c r="AJ43" s="157" t="str">
        <v/>
      </c>
      <c r="AK43" s="157" t="str">
        <v/>
      </c>
      <c r="AL43" s="157" t="str">
        <v/>
      </c>
      <c r="AM43" s="157" t="str">
        <v/>
      </c>
      <c r="AN43" s="157" t="str">
        <v/>
      </c>
      <c r="AO43" s="174" t="str">
        <v/>
      </c>
      <c r="AP43" s="157" t="str">
        <v/>
      </c>
      <c r="AQ43" s="158"/>
      <c r="AR43" s="154"/>
      <c r="AS43" s="153"/>
      <c r="AT43" s="154"/>
      <c r="AU43" s="153"/>
      <c r="AV43" s="154"/>
      <c r="AW43" s="153"/>
      <c r="AX43" s="154"/>
      <c r="AY43" s="153"/>
      <c r="AZ43" s="154"/>
      <c r="BA43" s="157" t="str">
        <v/>
      </c>
      <c r="BB43" s="157" t="str">
        <v/>
      </c>
      <c r="BC43" s="157" t="str">
        <v/>
      </c>
      <c r="BD43" s="157" t="str">
        <v/>
      </c>
      <c r="BE43" s="157" t="str">
        <v/>
      </c>
      <c r="BF43" s="157" t="str">
        <v/>
      </c>
      <c r="BG43" s="157" t="str">
        <v/>
      </c>
      <c r="BH43" s="157" t="str">
        <v/>
      </c>
      <c r="BI43" s="174" t="str">
        <v/>
      </c>
      <c r="BJ43" s="157" t="str">
        <v/>
      </c>
      <c r="BK43" s="159" t="str">
        <v/>
      </c>
      <c r="BL43" s="160" t="str">
        <v/>
      </c>
      <c r="BM43" s="160" t="str">
        <v/>
      </c>
      <c r="BN43" s="160" t="str">
        <v/>
      </c>
      <c r="BO43" s="160" t="str">
        <v/>
      </c>
      <c r="BP43" s="160" t="str">
        <v/>
      </c>
      <c r="BQ43" s="160" t="str">
        <v/>
      </c>
      <c r="BR43" s="160" t="str">
        <v/>
      </c>
      <c r="BS43" s="8" t="str">
        <v/>
      </c>
      <c r="BT43" s="161" t="str">
        <v/>
      </c>
      <c r="BU43" s="156"/>
      <c r="BV43" s="156"/>
    </row>
    <row r="44" spans="1:74">
      <c r="A44" s="163"/>
      <c r="B44" s="163"/>
      <c r="C44" s="158"/>
      <c r="D44" s="154"/>
      <c r="E44" s="153"/>
      <c r="F44" s="154"/>
      <c r="G44" s="153"/>
      <c r="H44" s="154"/>
      <c r="I44" s="153"/>
      <c r="J44" s="154"/>
      <c r="K44" s="153"/>
      <c r="L44" s="154"/>
      <c r="M44" s="157" t="str">
        <v/>
      </c>
      <c r="N44" s="157" t="str">
        <v/>
      </c>
      <c r="O44" s="157" t="str">
        <v/>
      </c>
      <c r="P44" s="157" t="str">
        <v/>
      </c>
      <c r="Q44" s="157" t="str">
        <v/>
      </c>
      <c r="R44" s="157" t="str">
        <v/>
      </c>
      <c r="S44" s="157" t="str">
        <v/>
      </c>
      <c r="T44" s="157" t="str">
        <v/>
      </c>
      <c r="U44" s="163" t="str">
        <v/>
      </c>
      <c r="V44" s="157" t="str">
        <v/>
      </c>
      <c r="W44" s="158"/>
      <c r="X44" s="154"/>
      <c r="Y44" s="153"/>
      <c r="Z44" s="154"/>
      <c r="AA44" s="153"/>
      <c r="AB44" s="154"/>
      <c r="AC44" s="153"/>
      <c r="AD44" s="154"/>
      <c r="AE44" s="153"/>
      <c r="AF44" s="154"/>
      <c r="AG44" s="157" t="str">
        <v/>
      </c>
      <c r="AH44" s="157" t="str">
        <v/>
      </c>
      <c r="AI44" s="157" t="str">
        <v/>
      </c>
      <c r="AJ44" s="157" t="str">
        <v/>
      </c>
      <c r="AK44" s="157" t="str">
        <v/>
      </c>
      <c r="AL44" s="157" t="str">
        <v/>
      </c>
      <c r="AM44" s="157" t="str">
        <v/>
      </c>
      <c r="AN44" s="157" t="str">
        <v/>
      </c>
      <c r="AO44" s="174" t="str">
        <v/>
      </c>
      <c r="AP44" s="157" t="str">
        <v/>
      </c>
      <c r="AQ44" s="158"/>
      <c r="AR44" s="154"/>
      <c r="AS44" s="153"/>
      <c r="AT44" s="154"/>
      <c r="AU44" s="153"/>
      <c r="AV44" s="154"/>
      <c r="AW44" s="153"/>
      <c r="AX44" s="154"/>
      <c r="AY44" s="153"/>
      <c r="AZ44" s="154"/>
      <c r="BA44" s="157" t="str">
        <v/>
      </c>
      <c r="BB44" s="157" t="str">
        <v/>
      </c>
      <c r="BC44" s="157" t="str">
        <v/>
      </c>
      <c r="BD44" s="157" t="str">
        <v/>
      </c>
      <c r="BE44" s="157" t="str">
        <v/>
      </c>
      <c r="BF44" s="157" t="str">
        <v/>
      </c>
      <c r="BG44" s="157" t="str">
        <v/>
      </c>
      <c r="BH44" s="157" t="str">
        <v/>
      </c>
      <c r="BI44" s="174" t="str">
        <v/>
      </c>
      <c r="BJ44" s="157" t="str">
        <v/>
      </c>
      <c r="BK44" s="159" t="str">
        <v/>
      </c>
      <c r="BL44" s="160" t="str">
        <v/>
      </c>
      <c r="BM44" s="160" t="str">
        <v/>
      </c>
      <c r="BN44" s="160" t="str">
        <v/>
      </c>
      <c r="BO44" s="160" t="str">
        <v/>
      </c>
      <c r="BP44" s="160" t="str">
        <v/>
      </c>
      <c r="BQ44" s="160" t="str">
        <v/>
      </c>
      <c r="BR44" s="160" t="str">
        <v/>
      </c>
      <c r="BS44" s="8" t="str">
        <v/>
      </c>
      <c r="BT44" s="161" t="str">
        <v/>
      </c>
      <c r="BU44" s="156"/>
      <c r="BV44" s="156"/>
    </row>
    <row r="45" spans="1:74">
      <c r="A45" s="163"/>
      <c r="B45" s="163"/>
      <c r="C45" s="158"/>
      <c r="D45" s="154"/>
      <c r="E45" s="153"/>
      <c r="F45" s="154"/>
      <c r="G45" s="153"/>
      <c r="H45" s="154"/>
      <c r="I45" s="153"/>
      <c r="J45" s="154"/>
      <c r="K45" s="153"/>
      <c r="L45" s="154"/>
      <c r="M45" s="157" t="str">
        <v/>
      </c>
      <c r="N45" s="157" t="str">
        <v/>
      </c>
      <c r="O45" s="157" t="str">
        <v/>
      </c>
      <c r="P45" s="157" t="str">
        <v/>
      </c>
      <c r="Q45" s="157" t="str">
        <v/>
      </c>
      <c r="R45" s="157" t="str">
        <v/>
      </c>
      <c r="S45" s="157" t="str">
        <v/>
      </c>
      <c r="T45" s="157" t="str">
        <v/>
      </c>
      <c r="U45" s="163" t="str">
        <v/>
      </c>
      <c r="V45" s="157" t="str">
        <v/>
      </c>
      <c r="W45" s="158"/>
      <c r="X45" s="154"/>
      <c r="Y45" s="153"/>
      <c r="Z45" s="154"/>
      <c r="AA45" s="153"/>
      <c r="AB45" s="154"/>
      <c r="AC45" s="153"/>
      <c r="AD45" s="154"/>
      <c r="AE45" s="153"/>
      <c r="AF45" s="154"/>
      <c r="AG45" s="157" t="str">
        <v/>
      </c>
      <c r="AH45" s="157" t="str">
        <v/>
      </c>
      <c r="AI45" s="157" t="str">
        <v/>
      </c>
      <c r="AJ45" s="157" t="str">
        <v/>
      </c>
      <c r="AK45" s="157" t="str">
        <v/>
      </c>
      <c r="AL45" s="157" t="str">
        <v/>
      </c>
      <c r="AM45" s="157" t="str">
        <v/>
      </c>
      <c r="AN45" s="157" t="str">
        <v/>
      </c>
      <c r="AO45" s="174" t="str">
        <v/>
      </c>
      <c r="AP45" s="157" t="str">
        <v/>
      </c>
      <c r="AQ45" s="158"/>
      <c r="AR45" s="154"/>
      <c r="AS45" s="153"/>
      <c r="AT45" s="154"/>
      <c r="AU45" s="153"/>
      <c r="AV45" s="154"/>
      <c r="AW45" s="153"/>
      <c r="AX45" s="154"/>
      <c r="AY45" s="153"/>
      <c r="AZ45" s="154"/>
      <c r="BA45" s="157" t="str">
        <v/>
      </c>
      <c r="BB45" s="157" t="str">
        <v/>
      </c>
      <c r="BC45" s="157" t="str">
        <v/>
      </c>
      <c r="BD45" s="157" t="str">
        <v/>
      </c>
      <c r="BE45" s="157" t="str">
        <v/>
      </c>
      <c r="BF45" s="157" t="str">
        <v/>
      </c>
      <c r="BG45" s="157" t="str">
        <v/>
      </c>
      <c r="BH45" s="157" t="str">
        <v/>
      </c>
      <c r="BI45" s="174" t="str">
        <v/>
      </c>
      <c r="BJ45" s="157" t="str">
        <v/>
      </c>
      <c r="BK45" s="159" t="str">
        <v/>
      </c>
      <c r="BL45" s="160" t="str">
        <v/>
      </c>
      <c r="BM45" s="160" t="str">
        <v/>
      </c>
      <c r="BN45" s="160" t="str">
        <v/>
      </c>
      <c r="BO45" s="160" t="str">
        <v/>
      </c>
      <c r="BP45" s="160" t="str">
        <v/>
      </c>
      <c r="BQ45" s="160" t="str">
        <v/>
      </c>
      <c r="BR45" s="160" t="str">
        <v/>
      </c>
      <c r="BS45" s="8" t="str">
        <v/>
      </c>
      <c r="BT45" s="161" t="str">
        <v/>
      </c>
      <c r="BU45" s="156"/>
      <c r="BV45" s="156"/>
    </row>
    <row r="46" spans="1:74">
      <c r="A46" s="163"/>
      <c r="B46" s="163"/>
      <c r="C46" s="158"/>
      <c r="D46" s="154"/>
      <c r="E46" s="153"/>
      <c r="F46" s="154"/>
      <c r="G46" s="153"/>
      <c r="H46" s="154"/>
      <c r="I46" s="153"/>
      <c r="J46" s="154"/>
      <c r="K46" s="153"/>
      <c r="L46" s="154"/>
      <c r="M46" s="157" t="str">
        <v/>
      </c>
      <c r="N46" s="157" t="str">
        <v/>
      </c>
      <c r="O46" s="157" t="str">
        <v/>
      </c>
      <c r="P46" s="157" t="str">
        <v/>
      </c>
      <c r="Q46" s="157" t="str">
        <v/>
      </c>
      <c r="R46" s="157" t="str">
        <v/>
      </c>
      <c r="S46" s="157" t="str">
        <v/>
      </c>
      <c r="T46" s="157" t="str">
        <v/>
      </c>
      <c r="U46" s="163" t="str">
        <v/>
      </c>
      <c r="V46" s="157" t="str">
        <v/>
      </c>
      <c r="W46" s="158"/>
      <c r="X46" s="154"/>
      <c r="Y46" s="153"/>
      <c r="Z46" s="154"/>
      <c r="AA46" s="153"/>
      <c r="AB46" s="154"/>
      <c r="AC46" s="153"/>
      <c r="AD46" s="154"/>
      <c r="AE46" s="153"/>
      <c r="AF46" s="154"/>
      <c r="AG46" s="157" t="str">
        <v/>
      </c>
      <c r="AH46" s="157" t="str">
        <v/>
      </c>
      <c r="AI46" s="157" t="str">
        <v/>
      </c>
      <c r="AJ46" s="157" t="str">
        <v/>
      </c>
      <c r="AK46" s="157" t="str">
        <v/>
      </c>
      <c r="AL46" s="157" t="str">
        <v/>
      </c>
      <c r="AM46" s="157" t="str">
        <v/>
      </c>
      <c r="AN46" s="157" t="str">
        <v/>
      </c>
      <c r="AO46" s="174" t="str">
        <v/>
      </c>
      <c r="AP46" s="157" t="str">
        <v/>
      </c>
      <c r="AQ46" s="158"/>
      <c r="AR46" s="154"/>
      <c r="AS46" s="153"/>
      <c r="AT46" s="154"/>
      <c r="AU46" s="153"/>
      <c r="AV46" s="154"/>
      <c r="AW46" s="153"/>
      <c r="AX46" s="154"/>
      <c r="AY46" s="153"/>
      <c r="AZ46" s="154"/>
      <c r="BA46" s="157" t="str">
        <v/>
      </c>
      <c r="BB46" s="157" t="str">
        <v/>
      </c>
      <c r="BC46" s="157" t="str">
        <v/>
      </c>
      <c r="BD46" s="157" t="str">
        <v/>
      </c>
      <c r="BE46" s="157" t="str">
        <v/>
      </c>
      <c r="BF46" s="157" t="str">
        <v/>
      </c>
      <c r="BG46" s="157" t="str">
        <v/>
      </c>
      <c r="BH46" s="157" t="str">
        <v/>
      </c>
      <c r="BI46" s="174" t="str">
        <v/>
      </c>
      <c r="BJ46" s="157" t="str">
        <v/>
      </c>
      <c r="BK46" s="159" t="str">
        <v/>
      </c>
      <c r="BL46" s="160" t="str">
        <v/>
      </c>
      <c r="BM46" s="160" t="str">
        <v/>
      </c>
      <c r="BN46" s="160" t="str">
        <v/>
      </c>
      <c r="BO46" s="160" t="str">
        <v/>
      </c>
      <c r="BP46" s="160" t="str">
        <v/>
      </c>
      <c r="BQ46" s="160" t="str">
        <v/>
      </c>
      <c r="BR46" s="160" t="str">
        <v/>
      </c>
      <c r="BS46" s="8" t="str">
        <v/>
      </c>
      <c r="BT46" s="161" t="str">
        <v/>
      </c>
      <c r="BU46" s="156"/>
      <c r="BV46" s="156"/>
    </row>
    <row r="47" spans="1:74">
      <c r="A47" s="163"/>
      <c r="B47" s="163"/>
      <c r="C47" s="158"/>
      <c r="D47" s="154"/>
      <c r="E47" s="153"/>
      <c r="F47" s="154"/>
      <c r="G47" s="153"/>
      <c r="H47" s="154"/>
      <c r="I47" s="153"/>
      <c r="J47" s="154"/>
      <c r="K47" s="153"/>
      <c r="L47" s="154"/>
      <c r="M47" s="157" t="str">
        <v/>
      </c>
      <c r="N47" s="157" t="str">
        <v/>
      </c>
      <c r="O47" s="157" t="str">
        <v/>
      </c>
      <c r="P47" s="157" t="str">
        <v/>
      </c>
      <c r="Q47" s="157" t="str">
        <v/>
      </c>
      <c r="R47" s="157" t="str">
        <v/>
      </c>
      <c r="S47" s="157" t="str">
        <v/>
      </c>
      <c r="T47" s="157" t="str">
        <v/>
      </c>
      <c r="U47" s="163" t="str">
        <v/>
      </c>
      <c r="V47" s="157" t="str">
        <v/>
      </c>
      <c r="W47" s="158"/>
      <c r="X47" s="154"/>
      <c r="Y47" s="153"/>
      <c r="Z47" s="154"/>
      <c r="AA47" s="153"/>
      <c r="AB47" s="154"/>
      <c r="AC47" s="153"/>
      <c r="AD47" s="154"/>
      <c r="AE47" s="153"/>
      <c r="AF47" s="154"/>
      <c r="AG47" s="157" t="str">
        <v/>
      </c>
      <c r="AH47" s="157" t="str">
        <v/>
      </c>
      <c r="AI47" s="157" t="str">
        <v/>
      </c>
      <c r="AJ47" s="157" t="str">
        <v/>
      </c>
      <c r="AK47" s="157" t="str">
        <v/>
      </c>
      <c r="AL47" s="157" t="str">
        <v/>
      </c>
      <c r="AM47" s="157" t="str">
        <v/>
      </c>
      <c r="AN47" s="157" t="str">
        <v/>
      </c>
      <c r="AO47" s="174" t="str">
        <v/>
      </c>
      <c r="AP47" s="157" t="str">
        <v/>
      </c>
      <c r="AQ47" s="158"/>
      <c r="AR47" s="154"/>
      <c r="AS47" s="153"/>
      <c r="AT47" s="154"/>
      <c r="AU47" s="153"/>
      <c r="AV47" s="154"/>
      <c r="AW47" s="153"/>
      <c r="AX47" s="154"/>
      <c r="AY47" s="153"/>
      <c r="AZ47" s="154"/>
      <c r="BA47" s="157" t="str">
        <v/>
      </c>
      <c r="BB47" s="157" t="str">
        <v/>
      </c>
      <c r="BC47" s="157" t="str">
        <v/>
      </c>
      <c r="BD47" s="157" t="str">
        <v/>
      </c>
      <c r="BE47" s="157" t="str">
        <v/>
      </c>
      <c r="BF47" s="157" t="str">
        <v/>
      </c>
      <c r="BG47" s="157" t="str">
        <v/>
      </c>
      <c r="BH47" s="157" t="str">
        <v/>
      </c>
      <c r="BI47" s="174" t="str">
        <v/>
      </c>
      <c r="BJ47" s="157" t="str">
        <v/>
      </c>
      <c r="BK47" s="159" t="str">
        <v/>
      </c>
      <c r="BL47" s="160" t="str">
        <v/>
      </c>
      <c r="BM47" s="160" t="str">
        <v/>
      </c>
      <c r="BN47" s="160" t="str">
        <v/>
      </c>
      <c r="BO47" s="160" t="str">
        <v/>
      </c>
      <c r="BP47" s="160" t="str">
        <v/>
      </c>
      <c r="BQ47" s="160" t="str">
        <v/>
      </c>
      <c r="BR47" s="160" t="str">
        <v/>
      </c>
      <c r="BS47" s="8" t="str">
        <v/>
      </c>
      <c r="BT47" s="161" t="str">
        <v/>
      </c>
      <c r="BU47" s="156"/>
      <c r="BV47" s="156"/>
    </row>
    <row r="48" spans="1:74">
      <c r="A48" s="163"/>
      <c r="B48" s="163"/>
      <c r="C48" s="158"/>
      <c r="D48" s="154"/>
      <c r="E48" s="153"/>
      <c r="F48" s="154"/>
      <c r="G48" s="153"/>
      <c r="H48" s="154"/>
      <c r="I48" s="153"/>
      <c r="J48" s="154"/>
      <c r="K48" s="153"/>
      <c r="L48" s="154"/>
      <c r="M48" s="157" t="str">
        <v/>
      </c>
      <c r="N48" s="157" t="str">
        <v/>
      </c>
      <c r="O48" s="157" t="str">
        <v/>
      </c>
      <c r="P48" s="157" t="str">
        <v/>
      </c>
      <c r="Q48" s="157" t="str">
        <v/>
      </c>
      <c r="R48" s="157" t="str">
        <v/>
      </c>
      <c r="S48" s="157" t="str">
        <v/>
      </c>
      <c r="T48" s="157" t="str">
        <v/>
      </c>
      <c r="U48" s="163" t="str">
        <v/>
      </c>
      <c r="V48" s="157" t="str">
        <v/>
      </c>
      <c r="W48" s="158"/>
      <c r="X48" s="154"/>
      <c r="Y48" s="153"/>
      <c r="Z48" s="154"/>
      <c r="AA48" s="153"/>
      <c r="AB48" s="154"/>
      <c r="AC48" s="153"/>
      <c r="AD48" s="154"/>
      <c r="AE48" s="153"/>
      <c r="AF48" s="154"/>
      <c r="AG48" s="157" t="str">
        <v/>
      </c>
      <c r="AH48" s="157" t="str">
        <v/>
      </c>
      <c r="AI48" s="157" t="str">
        <v/>
      </c>
      <c r="AJ48" s="157" t="str">
        <v/>
      </c>
      <c r="AK48" s="157" t="str">
        <v/>
      </c>
      <c r="AL48" s="157" t="str">
        <v/>
      </c>
      <c r="AM48" s="157" t="str">
        <v/>
      </c>
      <c r="AN48" s="157" t="str">
        <v/>
      </c>
      <c r="AO48" s="174" t="str">
        <v/>
      </c>
      <c r="AP48" s="157" t="str">
        <v/>
      </c>
      <c r="AQ48" s="158"/>
      <c r="AR48" s="154"/>
      <c r="AS48" s="153"/>
      <c r="AT48" s="154"/>
      <c r="AU48" s="153"/>
      <c r="AV48" s="154"/>
      <c r="AW48" s="153"/>
      <c r="AX48" s="154"/>
      <c r="AY48" s="153"/>
      <c r="AZ48" s="154"/>
      <c r="BA48" s="157" t="str">
        <v/>
      </c>
      <c r="BB48" s="157" t="str">
        <v/>
      </c>
      <c r="BC48" s="157" t="str">
        <v/>
      </c>
      <c r="BD48" s="157" t="str">
        <v/>
      </c>
      <c r="BE48" s="157" t="str">
        <v/>
      </c>
      <c r="BF48" s="157" t="str">
        <v/>
      </c>
      <c r="BG48" s="157" t="str">
        <v/>
      </c>
      <c r="BH48" s="157" t="str">
        <v/>
      </c>
      <c r="BI48" s="174" t="str">
        <v/>
      </c>
      <c r="BJ48" s="157" t="str">
        <v/>
      </c>
      <c r="BK48" s="159" t="str">
        <v/>
      </c>
      <c r="BL48" s="160" t="str">
        <v/>
      </c>
      <c r="BM48" s="160" t="str">
        <v/>
      </c>
      <c r="BN48" s="160" t="str">
        <v/>
      </c>
      <c r="BO48" s="160" t="str">
        <v/>
      </c>
      <c r="BP48" s="160" t="str">
        <v/>
      </c>
      <c r="BQ48" s="160" t="str">
        <v/>
      </c>
      <c r="BR48" s="160" t="str">
        <v/>
      </c>
      <c r="BS48" s="8" t="str">
        <v/>
      </c>
      <c r="BT48" s="161" t="str">
        <v/>
      </c>
      <c r="BU48" s="156"/>
      <c r="BV48" s="156"/>
    </row>
    <row r="49" spans="1:74">
      <c r="A49" s="163"/>
      <c r="B49" s="163"/>
      <c r="C49" s="158"/>
      <c r="D49" s="154"/>
      <c r="E49" s="153"/>
      <c r="F49" s="154"/>
      <c r="G49" s="153"/>
      <c r="H49" s="154"/>
      <c r="I49" s="153"/>
      <c r="J49" s="154"/>
      <c r="K49" s="153"/>
      <c r="L49" s="154"/>
      <c r="M49" s="157" t="str">
        <v/>
      </c>
      <c r="N49" s="157" t="str">
        <v/>
      </c>
      <c r="O49" s="157" t="str">
        <v/>
      </c>
      <c r="P49" s="157" t="str">
        <v/>
      </c>
      <c r="Q49" s="157" t="str">
        <v/>
      </c>
      <c r="R49" s="157" t="str">
        <v/>
      </c>
      <c r="S49" s="157" t="str">
        <v/>
      </c>
      <c r="T49" s="157" t="str">
        <v/>
      </c>
      <c r="U49" s="163" t="str">
        <v/>
      </c>
      <c r="V49" s="157" t="str">
        <v/>
      </c>
      <c r="W49" s="158"/>
      <c r="X49" s="154"/>
      <c r="Y49" s="153"/>
      <c r="Z49" s="154"/>
      <c r="AA49" s="153"/>
      <c r="AB49" s="154"/>
      <c r="AC49" s="153"/>
      <c r="AD49" s="154"/>
      <c r="AE49" s="153"/>
      <c r="AF49" s="154"/>
      <c r="AG49" s="157" t="str">
        <v/>
      </c>
      <c r="AH49" s="157" t="str">
        <v/>
      </c>
      <c r="AI49" s="157" t="str">
        <v/>
      </c>
      <c r="AJ49" s="157" t="str">
        <v/>
      </c>
      <c r="AK49" s="157" t="str">
        <v/>
      </c>
      <c r="AL49" s="157" t="str">
        <v/>
      </c>
      <c r="AM49" s="157" t="str">
        <v/>
      </c>
      <c r="AN49" s="157" t="str">
        <v/>
      </c>
      <c r="AO49" s="174" t="str">
        <v/>
      </c>
      <c r="AP49" s="157" t="str">
        <v/>
      </c>
      <c r="AQ49" s="158"/>
      <c r="AR49" s="154"/>
      <c r="AS49" s="153"/>
      <c r="AT49" s="154"/>
      <c r="AU49" s="153"/>
      <c r="AV49" s="154"/>
      <c r="AW49" s="153"/>
      <c r="AX49" s="154"/>
      <c r="AY49" s="153"/>
      <c r="AZ49" s="154"/>
      <c r="BA49" s="157" t="str">
        <v/>
      </c>
      <c r="BB49" s="157" t="str">
        <v/>
      </c>
      <c r="BC49" s="157" t="str">
        <v/>
      </c>
      <c r="BD49" s="157" t="str">
        <v/>
      </c>
      <c r="BE49" s="157" t="str">
        <v/>
      </c>
      <c r="BF49" s="157" t="str">
        <v/>
      </c>
      <c r="BG49" s="157" t="str">
        <v/>
      </c>
      <c r="BH49" s="157" t="str">
        <v/>
      </c>
      <c r="BI49" s="174" t="str">
        <v/>
      </c>
      <c r="BJ49" s="157" t="str">
        <v/>
      </c>
      <c r="BK49" s="159" t="str">
        <v/>
      </c>
      <c r="BL49" s="160" t="str">
        <v/>
      </c>
      <c r="BM49" s="160" t="str">
        <v/>
      </c>
      <c r="BN49" s="160" t="str">
        <v/>
      </c>
      <c r="BO49" s="160" t="str">
        <v/>
      </c>
      <c r="BP49" s="160" t="str">
        <v/>
      </c>
      <c r="BQ49" s="160" t="str">
        <v/>
      </c>
      <c r="BR49" s="160" t="str">
        <v/>
      </c>
      <c r="BS49" s="8" t="str">
        <v/>
      </c>
      <c r="BT49" s="161" t="str">
        <v/>
      </c>
      <c r="BU49" s="156"/>
      <c r="BV49" s="156"/>
    </row>
    <row r="50" spans="1:74">
      <c r="A50" s="163"/>
      <c r="B50" s="163"/>
      <c r="C50" s="158"/>
      <c r="D50" s="154"/>
      <c r="E50" s="153"/>
      <c r="F50" s="154"/>
      <c r="G50" s="153"/>
      <c r="H50" s="154"/>
      <c r="I50" s="153"/>
      <c r="J50" s="154"/>
      <c r="K50" s="153"/>
      <c r="L50" s="154"/>
      <c r="M50" s="157" t="str">
        <v/>
      </c>
      <c r="N50" s="157" t="str">
        <v/>
      </c>
      <c r="O50" s="157" t="str">
        <v/>
      </c>
      <c r="P50" s="157" t="str">
        <v/>
      </c>
      <c r="Q50" s="157" t="str">
        <v/>
      </c>
      <c r="R50" s="157" t="str">
        <v/>
      </c>
      <c r="S50" s="157" t="str">
        <v/>
      </c>
      <c r="T50" s="157" t="str">
        <v/>
      </c>
      <c r="U50" s="163" t="str">
        <v/>
      </c>
      <c r="V50" s="157" t="str">
        <v/>
      </c>
      <c r="W50" s="158"/>
      <c r="X50" s="154"/>
      <c r="Y50" s="153"/>
      <c r="Z50" s="154"/>
      <c r="AA50" s="153"/>
      <c r="AB50" s="154"/>
      <c r="AC50" s="153"/>
      <c r="AD50" s="154"/>
      <c r="AE50" s="153"/>
      <c r="AF50" s="154"/>
      <c r="AG50" s="157" t="str">
        <v/>
      </c>
      <c r="AH50" s="157" t="str">
        <v/>
      </c>
      <c r="AI50" s="157" t="str">
        <v/>
      </c>
      <c r="AJ50" s="157" t="str">
        <v/>
      </c>
      <c r="AK50" s="157" t="str">
        <v/>
      </c>
      <c r="AL50" s="157" t="str">
        <v/>
      </c>
      <c r="AM50" s="157" t="str">
        <v/>
      </c>
      <c r="AN50" s="157" t="str">
        <v/>
      </c>
      <c r="AO50" s="174" t="str">
        <v/>
      </c>
      <c r="AP50" s="157" t="str">
        <v/>
      </c>
      <c r="AQ50" s="158"/>
      <c r="AR50" s="154"/>
      <c r="AS50" s="153"/>
      <c r="AT50" s="154"/>
      <c r="AU50" s="153"/>
      <c r="AV50" s="154"/>
      <c r="AW50" s="153"/>
      <c r="AX50" s="154"/>
      <c r="AY50" s="153"/>
      <c r="AZ50" s="154"/>
      <c r="BA50" s="157" t="str">
        <v/>
      </c>
      <c r="BB50" s="157" t="str">
        <v/>
      </c>
      <c r="BC50" s="157" t="str">
        <v/>
      </c>
      <c r="BD50" s="157" t="str">
        <v/>
      </c>
      <c r="BE50" s="157" t="str">
        <v/>
      </c>
      <c r="BF50" s="157" t="str">
        <v/>
      </c>
      <c r="BG50" s="157" t="str">
        <v/>
      </c>
      <c r="BH50" s="157" t="str">
        <v/>
      </c>
      <c r="BI50" s="174" t="str">
        <v/>
      </c>
      <c r="BJ50" s="157" t="str">
        <v/>
      </c>
      <c r="BK50" s="159" t="str">
        <v/>
      </c>
      <c r="BL50" s="160" t="str">
        <v/>
      </c>
      <c r="BM50" s="160" t="str">
        <v/>
      </c>
      <c r="BN50" s="160" t="str">
        <v/>
      </c>
      <c r="BO50" s="160" t="str">
        <v/>
      </c>
      <c r="BP50" s="160" t="str">
        <v/>
      </c>
      <c r="BQ50" s="160" t="str">
        <v/>
      </c>
      <c r="BR50" s="160" t="str">
        <v/>
      </c>
      <c r="BS50" s="8" t="str">
        <v/>
      </c>
      <c r="BT50" s="161" t="str">
        <v/>
      </c>
      <c r="BU50" s="156"/>
      <c r="BV50" s="156"/>
    </row>
    <row r="51" spans="1:74">
      <c r="A51" s="163"/>
      <c r="B51" s="163"/>
      <c r="C51" s="158"/>
      <c r="D51" s="154"/>
      <c r="E51" s="153"/>
      <c r="F51" s="154"/>
      <c r="G51" s="153"/>
      <c r="H51" s="154"/>
      <c r="I51" s="153"/>
      <c r="J51" s="154"/>
      <c r="K51" s="153"/>
      <c r="L51" s="154"/>
      <c r="M51" s="157" t="str">
        <v/>
      </c>
      <c r="N51" s="157" t="str">
        <v/>
      </c>
      <c r="O51" s="157" t="str">
        <v/>
      </c>
      <c r="P51" s="157" t="str">
        <v/>
      </c>
      <c r="Q51" s="157" t="str">
        <v/>
      </c>
      <c r="R51" s="157" t="str">
        <v/>
      </c>
      <c r="S51" s="157" t="str">
        <v/>
      </c>
      <c r="T51" s="157" t="str">
        <v/>
      </c>
      <c r="U51" s="163" t="str">
        <v/>
      </c>
      <c r="V51" s="157" t="str">
        <v/>
      </c>
      <c r="W51" s="158"/>
      <c r="X51" s="154"/>
      <c r="Y51" s="153"/>
      <c r="Z51" s="154"/>
      <c r="AA51" s="153"/>
      <c r="AB51" s="154"/>
      <c r="AC51" s="153"/>
      <c r="AD51" s="154"/>
      <c r="AE51" s="153"/>
      <c r="AF51" s="154"/>
      <c r="AG51" s="157" t="str">
        <v/>
      </c>
      <c r="AH51" s="157" t="str">
        <v/>
      </c>
      <c r="AI51" s="157" t="str">
        <v/>
      </c>
      <c r="AJ51" s="157" t="str">
        <v/>
      </c>
      <c r="AK51" s="157" t="str">
        <v/>
      </c>
      <c r="AL51" s="157" t="str">
        <v/>
      </c>
      <c r="AM51" s="157" t="str">
        <v/>
      </c>
      <c r="AN51" s="157" t="str">
        <v/>
      </c>
      <c r="AO51" s="174" t="str">
        <v/>
      </c>
      <c r="AP51" s="157" t="str">
        <v/>
      </c>
      <c r="AQ51" s="158"/>
      <c r="AR51" s="154"/>
      <c r="AS51" s="153"/>
      <c r="AT51" s="154"/>
      <c r="AU51" s="153"/>
      <c r="AV51" s="154"/>
      <c r="AW51" s="153"/>
      <c r="AX51" s="154"/>
      <c r="AY51" s="153"/>
      <c r="AZ51" s="154"/>
      <c r="BA51" s="157" t="str">
        <v/>
      </c>
      <c r="BB51" s="157" t="str">
        <v/>
      </c>
      <c r="BC51" s="157" t="str">
        <v/>
      </c>
      <c r="BD51" s="157" t="str">
        <v/>
      </c>
      <c r="BE51" s="157" t="str">
        <v/>
      </c>
      <c r="BF51" s="157" t="str">
        <v/>
      </c>
      <c r="BG51" s="157" t="str">
        <v/>
      </c>
      <c r="BH51" s="157" t="str">
        <v/>
      </c>
      <c r="BI51" s="174" t="str">
        <v/>
      </c>
      <c r="BJ51" s="157" t="str">
        <v/>
      </c>
      <c r="BK51" s="159" t="str">
        <v/>
      </c>
      <c r="BL51" s="160" t="str">
        <v/>
      </c>
      <c r="BM51" s="160" t="str">
        <v/>
      </c>
      <c r="BN51" s="160" t="str">
        <v/>
      </c>
      <c r="BO51" s="160" t="str">
        <v/>
      </c>
      <c r="BP51" s="160" t="str">
        <v/>
      </c>
      <c r="BQ51" s="160" t="str">
        <v/>
      </c>
      <c r="BR51" s="160" t="str">
        <v/>
      </c>
      <c r="BS51" s="8" t="str">
        <v/>
      </c>
      <c r="BT51" s="161" t="str">
        <v/>
      </c>
      <c r="BU51" s="156"/>
      <c r="BV51" s="156"/>
    </row>
    <row r="52" spans="1:74">
      <c r="A52" s="163"/>
      <c r="B52" s="163"/>
      <c r="C52" s="158"/>
      <c r="D52" s="154"/>
      <c r="E52" s="153"/>
      <c r="F52" s="154"/>
      <c r="G52" s="153"/>
      <c r="H52" s="154"/>
      <c r="I52" s="153"/>
      <c r="J52" s="154"/>
      <c r="K52" s="153"/>
      <c r="L52" s="154"/>
      <c r="M52" s="157" t="str">
        <v/>
      </c>
      <c r="N52" s="157" t="str">
        <v/>
      </c>
      <c r="O52" s="157" t="str">
        <v/>
      </c>
      <c r="P52" s="157" t="str">
        <v/>
      </c>
      <c r="Q52" s="157" t="str">
        <v/>
      </c>
      <c r="R52" s="157" t="str">
        <v/>
      </c>
      <c r="S52" s="157" t="str">
        <v/>
      </c>
      <c r="T52" s="157" t="str">
        <v/>
      </c>
      <c r="U52" s="163" t="str">
        <v/>
      </c>
      <c r="V52" s="157" t="str">
        <v/>
      </c>
      <c r="W52" s="158"/>
      <c r="X52" s="154"/>
      <c r="Y52" s="153"/>
      <c r="Z52" s="154"/>
      <c r="AA52" s="153"/>
      <c r="AB52" s="154"/>
      <c r="AC52" s="153"/>
      <c r="AD52" s="154"/>
      <c r="AE52" s="153"/>
      <c r="AF52" s="154"/>
      <c r="AG52" s="157" t="str">
        <v/>
      </c>
      <c r="AH52" s="157" t="str">
        <v/>
      </c>
      <c r="AI52" s="157" t="str">
        <v/>
      </c>
      <c r="AJ52" s="157" t="str">
        <v/>
      </c>
      <c r="AK52" s="157" t="str">
        <v/>
      </c>
      <c r="AL52" s="157" t="str">
        <v/>
      </c>
      <c r="AM52" s="157" t="str">
        <v/>
      </c>
      <c r="AN52" s="157" t="str">
        <v/>
      </c>
      <c r="AO52" s="174" t="str">
        <v/>
      </c>
      <c r="AP52" s="157" t="str">
        <v/>
      </c>
      <c r="AQ52" s="158"/>
      <c r="AR52" s="154"/>
      <c r="AS52" s="153"/>
      <c r="AT52" s="154"/>
      <c r="AU52" s="153"/>
      <c r="AV52" s="154"/>
      <c r="AW52" s="153"/>
      <c r="AX52" s="154"/>
      <c r="AY52" s="153"/>
      <c r="AZ52" s="154"/>
      <c r="BA52" s="157" t="str">
        <v/>
      </c>
      <c r="BB52" s="157" t="str">
        <v/>
      </c>
      <c r="BC52" s="157" t="str">
        <v/>
      </c>
      <c r="BD52" s="157" t="str">
        <v/>
      </c>
      <c r="BE52" s="157" t="str">
        <v/>
      </c>
      <c r="BF52" s="157" t="str">
        <v/>
      </c>
      <c r="BG52" s="157" t="str">
        <v/>
      </c>
      <c r="BH52" s="157" t="str">
        <v/>
      </c>
      <c r="BI52" s="174" t="str">
        <v/>
      </c>
      <c r="BJ52" s="157" t="str">
        <v/>
      </c>
      <c r="BK52" s="159" t="str">
        <v/>
      </c>
      <c r="BL52" s="160" t="str">
        <v/>
      </c>
      <c r="BM52" s="160" t="str">
        <v/>
      </c>
      <c r="BN52" s="160" t="str">
        <v/>
      </c>
      <c r="BO52" s="160" t="str">
        <v/>
      </c>
      <c r="BP52" s="160" t="str">
        <v/>
      </c>
      <c r="BQ52" s="160" t="str">
        <v/>
      </c>
      <c r="BR52" s="160" t="str">
        <v/>
      </c>
      <c r="BS52" s="8" t="str">
        <v/>
      </c>
      <c r="BT52" s="161" t="str">
        <v/>
      </c>
      <c r="BU52" s="156"/>
      <c r="BV52" s="156"/>
    </row>
    <row r="53" spans="1:74">
      <c r="A53" s="163"/>
      <c r="B53" s="163"/>
      <c r="C53" s="158"/>
      <c r="D53" s="154"/>
      <c r="E53" s="153"/>
      <c r="F53" s="154"/>
      <c r="G53" s="153"/>
      <c r="H53" s="154"/>
      <c r="I53" s="153"/>
      <c r="J53" s="154"/>
      <c r="K53" s="153"/>
      <c r="L53" s="154"/>
      <c r="M53" s="157" t="str">
        <v/>
      </c>
      <c r="N53" s="157" t="str">
        <v/>
      </c>
      <c r="O53" s="157" t="str">
        <v/>
      </c>
      <c r="P53" s="157" t="str">
        <v/>
      </c>
      <c r="Q53" s="157" t="str">
        <v/>
      </c>
      <c r="R53" s="157" t="str">
        <v/>
      </c>
      <c r="S53" s="157" t="str">
        <v/>
      </c>
      <c r="T53" s="157" t="str">
        <v/>
      </c>
      <c r="U53" s="163" t="str">
        <v/>
      </c>
      <c r="V53" s="157" t="str">
        <v/>
      </c>
      <c r="W53" s="158"/>
      <c r="X53" s="154"/>
      <c r="Y53" s="153"/>
      <c r="Z53" s="154"/>
      <c r="AA53" s="153"/>
      <c r="AB53" s="154"/>
      <c r="AC53" s="153"/>
      <c r="AD53" s="154"/>
      <c r="AE53" s="153"/>
      <c r="AF53" s="154"/>
      <c r="AG53" s="157" t="str">
        <v/>
      </c>
      <c r="AH53" s="157" t="str">
        <v/>
      </c>
      <c r="AI53" s="157" t="str">
        <v/>
      </c>
      <c r="AJ53" s="157" t="str">
        <v/>
      </c>
      <c r="AK53" s="157" t="str">
        <v/>
      </c>
      <c r="AL53" s="157" t="str">
        <v/>
      </c>
      <c r="AM53" s="157" t="str">
        <v/>
      </c>
      <c r="AN53" s="157" t="str">
        <v/>
      </c>
      <c r="AO53" s="174" t="str">
        <v/>
      </c>
      <c r="AP53" s="157" t="str">
        <v/>
      </c>
      <c r="AQ53" s="158"/>
      <c r="AR53" s="154"/>
      <c r="AS53" s="153"/>
      <c r="AT53" s="154"/>
      <c r="AU53" s="153"/>
      <c r="AV53" s="154"/>
      <c r="AW53" s="153"/>
      <c r="AX53" s="154"/>
      <c r="AY53" s="153"/>
      <c r="AZ53" s="154"/>
      <c r="BA53" s="157" t="str">
        <v/>
      </c>
      <c r="BB53" s="157" t="str">
        <v/>
      </c>
      <c r="BC53" s="157" t="str">
        <v/>
      </c>
      <c r="BD53" s="157" t="str">
        <v/>
      </c>
      <c r="BE53" s="157" t="str">
        <v/>
      </c>
      <c r="BF53" s="157" t="str">
        <v/>
      </c>
      <c r="BG53" s="157" t="str">
        <v/>
      </c>
      <c r="BH53" s="157" t="str">
        <v/>
      </c>
      <c r="BI53" s="174" t="str">
        <v/>
      </c>
      <c r="BJ53" s="157" t="str">
        <v/>
      </c>
      <c r="BK53" s="159" t="str">
        <v/>
      </c>
      <c r="BL53" s="160" t="str">
        <v/>
      </c>
      <c r="BM53" s="160" t="str">
        <v/>
      </c>
      <c r="BN53" s="160" t="str">
        <v/>
      </c>
      <c r="BO53" s="160" t="str">
        <v/>
      </c>
      <c r="BP53" s="160" t="str">
        <v/>
      </c>
      <c r="BQ53" s="160" t="str">
        <v/>
      </c>
      <c r="BR53" s="160" t="str">
        <v/>
      </c>
      <c r="BS53" s="8" t="str">
        <v/>
      </c>
      <c r="BT53" s="161" t="str">
        <v/>
      </c>
      <c r="BU53" s="156"/>
      <c r="BV53" s="156"/>
    </row>
    <row r="54" spans="1:74">
      <c r="A54" s="163"/>
      <c r="B54" s="163"/>
      <c r="C54" s="158"/>
      <c r="D54" s="154"/>
      <c r="E54" s="153"/>
      <c r="F54" s="154"/>
      <c r="G54" s="153"/>
      <c r="H54" s="154"/>
      <c r="I54" s="153"/>
      <c r="J54" s="154"/>
      <c r="K54" s="153"/>
      <c r="L54" s="154"/>
      <c r="M54" s="157" t="str">
        <v/>
      </c>
      <c r="N54" s="157" t="str">
        <v/>
      </c>
      <c r="O54" s="157" t="str">
        <v/>
      </c>
      <c r="P54" s="157" t="str">
        <v/>
      </c>
      <c r="Q54" s="157" t="str">
        <v/>
      </c>
      <c r="R54" s="157" t="str">
        <v/>
      </c>
      <c r="S54" s="157" t="str">
        <v/>
      </c>
      <c r="T54" s="157" t="str">
        <v/>
      </c>
      <c r="U54" s="163" t="str">
        <v/>
      </c>
      <c r="V54" s="157" t="str">
        <v/>
      </c>
      <c r="W54" s="158"/>
      <c r="X54" s="154"/>
      <c r="Y54" s="153"/>
      <c r="Z54" s="154"/>
      <c r="AA54" s="153"/>
      <c r="AB54" s="154"/>
      <c r="AC54" s="153"/>
      <c r="AD54" s="154"/>
      <c r="AE54" s="153"/>
      <c r="AF54" s="154"/>
      <c r="AG54" s="157" t="str">
        <v/>
      </c>
      <c r="AH54" s="157" t="str">
        <v/>
      </c>
      <c r="AI54" s="157" t="str">
        <v/>
      </c>
      <c r="AJ54" s="157" t="str">
        <v/>
      </c>
      <c r="AK54" s="157" t="str">
        <v/>
      </c>
      <c r="AL54" s="157" t="str">
        <v/>
      </c>
      <c r="AM54" s="157" t="str">
        <v/>
      </c>
      <c r="AN54" s="157" t="str">
        <v/>
      </c>
      <c r="AO54" s="174" t="str">
        <v/>
      </c>
      <c r="AP54" s="157" t="str">
        <v/>
      </c>
      <c r="AQ54" s="158"/>
      <c r="AR54" s="154"/>
      <c r="AS54" s="153"/>
      <c r="AT54" s="154"/>
      <c r="AU54" s="153"/>
      <c r="AV54" s="154"/>
      <c r="AW54" s="153"/>
      <c r="AX54" s="154"/>
      <c r="AY54" s="153"/>
      <c r="AZ54" s="154"/>
      <c r="BA54" s="157" t="str">
        <v/>
      </c>
      <c r="BB54" s="157" t="str">
        <v/>
      </c>
      <c r="BC54" s="157" t="str">
        <v/>
      </c>
      <c r="BD54" s="157" t="str">
        <v/>
      </c>
      <c r="BE54" s="157" t="str">
        <v/>
      </c>
      <c r="BF54" s="157" t="str">
        <v/>
      </c>
      <c r="BG54" s="157" t="str">
        <v/>
      </c>
      <c r="BH54" s="157" t="str">
        <v/>
      </c>
      <c r="BI54" s="174" t="str">
        <v/>
      </c>
      <c r="BJ54" s="157" t="str">
        <v/>
      </c>
      <c r="BK54" s="159" t="str">
        <v/>
      </c>
      <c r="BL54" s="160" t="str">
        <v/>
      </c>
      <c r="BM54" s="160" t="str">
        <v/>
      </c>
      <c r="BN54" s="160" t="str">
        <v/>
      </c>
      <c r="BO54" s="160" t="str">
        <v/>
      </c>
      <c r="BP54" s="160" t="str">
        <v/>
      </c>
      <c r="BQ54" s="160" t="str">
        <v/>
      </c>
      <c r="BR54" s="160" t="str">
        <v/>
      </c>
      <c r="BS54" s="8" t="str">
        <v/>
      </c>
      <c r="BT54" s="161" t="str">
        <v/>
      </c>
      <c r="BU54" s="156"/>
      <c r="BV54" s="156"/>
    </row>
    <row r="55" spans="1:74">
      <c r="A55" s="163"/>
      <c r="B55" s="163"/>
      <c r="C55" s="158"/>
      <c r="D55" s="154"/>
      <c r="E55" s="153"/>
      <c r="F55" s="154"/>
      <c r="G55" s="153"/>
      <c r="H55" s="154"/>
      <c r="I55" s="153"/>
      <c r="J55" s="154"/>
      <c r="K55" s="153"/>
      <c r="L55" s="154"/>
      <c r="M55" s="157" t="str">
        <v/>
      </c>
      <c r="N55" s="157" t="str">
        <v/>
      </c>
      <c r="O55" s="157" t="str">
        <v/>
      </c>
      <c r="P55" s="157" t="str">
        <v/>
      </c>
      <c r="Q55" s="157" t="str">
        <v/>
      </c>
      <c r="R55" s="157" t="str">
        <v/>
      </c>
      <c r="S55" s="157" t="str">
        <v/>
      </c>
      <c r="T55" s="157" t="str">
        <v/>
      </c>
      <c r="U55" s="163" t="str">
        <v/>
      </c>
      <c r="V55" s="157" t="str">
        <v/>
      </c>
      <c r="W55" s="158"/>
      <c r="X55" s="154"/>
      <c r="Y55" s="153"/>
      <c r="Z55" s="154"/>
      <c r="AA55" s="153"/>
      <c r="AB55" s="154"/>
      <c r="AC55" s="153"/>
      <c r="AD55" s="154"/>
      <c r="AE55" s="153"/>
      <c r="AF55" s="154"/>
      <c r="AG55" s="157" t="str">
        <v/>
      </c>
      <c r="AH55" s="157" t="str">
        <v/>
      </c>
      <c r="AI55" s="157" t="str">
        <v/>
      </c>
      <c r="AJ55" s="157" t="str">
        <v/>
      </c>
      <c r="AK55" s="157" t="str">
        <v/>
      </c>
      <c r="AL55" s="157" t="str">
        <v/>
      </c>
      <c r="AM55" s="157" t="str">
        <v/>
      </c>
      <c r="AN55" s="157" t="str">
        <v/>
      </c>
      <c r="AO55" s="174" t="str">
        <v/>
      </c>
      <c r="AP55" s="157" t="str">
        <v/>
      </c>
      <c r="AQ55" s="158"/>
      <c r="AR55" s="154"/>
      <c r="AS55" s="153"/>
      <c r="AT55" s="154"/>
      <c r="AU55" s="153"/>
      <c r="AV55" s="154"/>
      <c r="AW55" s="153"/>
      <c r="AX55" s="154"/>
      <c r="AY55" s="153"/>
      <c r="AZ55" s="154"/>
      <c r="BA55" s="157" t="str">
        <v/>
      </c>
      <c r="BB55" s="157" t="str">
        <v/>
      </c>
      <c r="BC55" s="157" t="str">
        <v/>
      </c>
      <c r="BD55" s="157" t="str">
        <v/>
      </c>
      <c r="BE55" s="157" t="str">
        <v/>
      </c>
      <c r="BF55" s="157" t="str">
        <v/>
      </c>
      <c r="BG55" s="157" t="str">
        <v/>
      </c>
      <c r="BH55" s="157" t="str">
        <v/>
      </c>
      <c r="BI55" s="174" t="str">
        <v/>
      </c>
      <c r="BJ55" s="157" t="str">
        <v/>
      </c>
      <c r="BK55" s="159" t="str">
        <v/>
      </c>
      <c r="BL55" s="160" t="str">
        <v/>
      </c>
      <c r="BM55" s="160" t="str">
        <v/>
      </c>
      <c r="BN55" s="160" t="str">
        <v/>
      </c>
      <c r="BO55" s="160" t="str">
        <v/>
      </c>
      <c r="BP55" s="160" t="str">
        <v/>
      </c>
      <c r="BQ55" s="160" t="str">
        <v/>
      </c>
      <c r="BR55" s="160" t="str">
        <v/>
      </c>
      <c r="BS55" s="8" t="str">
        <v/>
      </c>
      <c r="BT55" s="161" t="str">
        <v/>
      </c>
      <c r="BU55" s="156"/>
      <c r="BV55" s="156"/>
    </row>
    <row r="56" spans="1:74">
      <c r="A56" s="163"/>
      <c r="B56" s="163"/>
      <c r="C56" s="158"/>
      <c r="D56" s="154"/>
      <c r="E56" s="153"/>
      <c r="F56" s="154"/>
      <c r="G56" s="153"/>
      <c r="H56" s="154"/>
      <c r="I56" s="153"/>
      <c r="J56" s="154"/>
      <c r="K56" s="153"/>
      <c r="L56" s="154"/>
      <c r="M56" s="157" t="str">
        <v/>
      </c>
      <c r="N56" s="157" t="str">
        <v/>
      </c>
      <c r="O56" s="157" t="str">
        <v/>
      </c>
      <c r="P56" s="157" t="str">
        <v/>
      </c>
      <c r="Q56" s="157" t="str">
        <v/>
      </c>
      <c r="R56" s="157" t="str">
        <v/>
      </c>
      <c r="S56" s="157" t="str">
        <v/>
      </c>
      <c r="T56" s="157" t="str">
        <v/>
      </c>
      <c r="U56" s="163" t="str">
        <v/>
      </c>
      <c r="V56" s="157" t="str">
        <v/>
      </c>
      <c r="W56" s="158"/>
      <c r="X56" s="154"/>
      <c r="Y56" s="153"/>
      <c r="Z56" s="154"/>
      <c r="AA56" s="153"/>
      <c r="AB56" s="154"/>
      <c r="AC56" s="153"/>
      <c r="AD56" s="154"/>
      <c r="AE56" s="153"/>
      <c r="AF56" s="154"/>
      <c r="AG56" s="157" t="str">
        <v/>
      </c>
      <c r="AH56" s="157" t="str">
        <v/>
      </c>
      <c r="AI56" s="157" t="str">
        <v/>
      </c>
      <c r="AJ56" s="157" t="str">
        <v/>
      </c>
      <c r="AK56" s="157" t="str">
        <v/>
      </c>
      <c r="AL56" s="157" t="str">
        <v/>
      </c>
      <c r="AM56" s="157" t="str">
        <v/>
      </c>
      <c r="AN56" s="157" t="str">
        <v/>
      </c>
      <c r="AO56" s="174" t="str">
        <v/>
      </c>
      <c r="AP56" s="157" t="str">
        <v/>
      </c>
      <c r="AQ56" s="158"/>
      <c r="AR56" s="154"/>
      <c r="AS56" s="153"/>
      <c r="AT56" s="154"/>
      <c r="AU56" s="153"/>
      <c r="AV56" s="154"/>
      <c r="AW56" s="153"/>
      <c r="AX56" s="154"/>
      <c r="AY56" s="153"/>
      <c r="AZ56" s="154"/>
      <c r="BA56" s="157" t="str">
        <v/>
      </c>
      <c r="BB56" s="157" t="str">
        <v/>
      </c>
      <c r="BC56" s="157" t="str">
        <v/>
      </c>
      <c r="BD56" s="157" t="str">
        <v/>
      </c>
      <c r="BE56" s="157" t="str">
        <v/>
      </c>
      <c r="BF56" s="157" t="str">
        <v/>
      </c>
      <c r="BG56" s="157" t="str">
        <v/>
      </c>
      <c r="BH56" s="157" t="str">
        <v/>
      </c>
      <c r="BI56" s="174" t="str">
        <v/>
      </c>
      <c r="BJ56" s="157" t="str">
        <v/>
      </c>
      <c r="BK56" s="159" t="str">
        <v/>
      </c>
      <c r="BL56" s="160" t="str">
        <v/>
      </c>
      <c r="BM56" s="160" t="str">
        <v/>
      </c>
      <c r="BN56" s="160" t="str">
        <v/>
      </c>
      <c r="BO56" s="160" t="str">
        <v/>
      </c>
      <c r="BP56" s="160" t="str">
        <v/>
      </c>
      <c r="BQ56" s="160" t="str">
        <v/>
      </c>
      <c r="BR56" s="160" t="str">
        <v/>
      </c>
      <c r="BS56" s="8" t="str">
        <v/>
      </c>
      <c r="BT56" s="161" t="str">
        <v/>
      </c>
      <c r="BU56" s="156"/>
      <c r="BV56" s="156"/>
    </row>
    <row r="57" spans="1:74">
      <c r="A57" s="163"/>
      <c r="B57" s="163"/>
      <c r="C57" s="158"/>
      <c r="D57" s="154"/>
      <c r="E57" s="153"/>
      <c r="F57" s="154"/>
      <c r="G57" s="153"/>
      <c r="H57" s="154"/>
      <c r="I57" s="153"/>
      <c r="J57" s="154"/>
      <c r="K57" s="153"/>
      <c r="L57" s="154"/>
      <c r="M57" s="157" t="str">
        <v/>
      </c>
      <c r="N57" s="157" t="str">
        <v/>
      </c>
      <c r="O57" s="157" t="str">
        <v/>
      </c>
      <c r="P57" s="157" t="str">
        <v/>
      </c>
      <c r="Q57" s="157" t="str">
        <v/>
      </c>
      <c r="R57" s="157" t="str">
        <v/>
      </c>
      <c r="S57" s="157" t="str">
        <v/>
      </c>
      <c r="T57" s="157" t="str">
        <v/>
      </c>
      <c r="U57" s="163" t="str">
        <v/>
      </c>
      <c r="V57" s="157" t="str">
        <v/>
      </c>
      <c r="W57" s="158"/>
      <c r="X57" s="154"/>
      <c r="Y57" s="153"/>
      <c r="Z57" s="154"/>
      <c r="AA57" s="153"/>
      <c r="AB57" s="154"/>
      <c r="AC57" s="153"/>
      <c r="AD57" s="154"/>
      <c r="AE57" s="153"/>
      <c r="AF57" s="154"/>
      <c r="AG57" s="157" t="str">
        <v/>
      </c>
      <c r="AH57" s="157" t="str">
        <v/>
      </c>
      <c r="AI57" s="157" t="str">
        <v/>
      </c>
      <c r="AJ57" s="157" t="str">
        <v/>
      </c>
      <c r="AK57" s="157" t="str">
        <v/>
      </c>
      <c r="AL57" s="157" t="str">
        <v/>
      </c>
      <c r="AM57" s="157" t="str">
        <v/>
      </c>
      <c r="AN57" s="157" t="str">
        <v/>
      </c>
      <c r="AO57" s="174" t="str">
        <v/>
      </c>
      <c r="AP57" s="157" t="str">
        <v/>
      </c>
      <c r="AQ57" s="158"/>
      <c r="AR57" s="154"/>
      <c r="AS57" s="153"/>
      <c r="AT57" s="154"/>
      <c r="AU57" s="153"/>
      <c r="AV57" s="154"/>
      <c r="AW57" s="153"/>
      <c r="AX57" s="154"/>
      <c r="AY57" s="153"/>
      <c r="AZ57" s="154"/>
      <c r="BA57" s="157" t="str">
        <v/>
      </c>
      <c r="BB57" s="157" t="str">
        <v/>
      </c>
      <c r="BC57" s="157" t="str">
        <v/>
      </c>
      <c r="BD57" s="157" t="str">
        <v/>
      </c>
      <c r="BE57" s="157" t="str">
        <v/>
      </c>
      <c r="BF57" s="157" t="str">
        <v/>
      </c>
      <c r="BG57" s="157" t="str">
        <v/>
      </c>
      <c r="BH57" s="157" t="str">
        <v/>
      </c>
      <c r="BI57" s="174" t="str">
        <v/>
      </c>
      <c r="BJ57" s="157" t="str">
        <v/>
      </c>
      <c r="BK57" s="159" t="str">
        <v/>
      </c>
      <c r="BL57" s="160" t="str">
        <v/>
      </c>
      <c r="BM57" s="160" t="str">
        <v/>
      </c>
      <c r="BN57" s="160" t="str">
        <v/>
      </c>
      <c r="BO57" s="160" t="str">
        <v/>
      </c>
      <c r="BP57" s="160" t="str">
        <v/>
      </c>
      <c r="BQ57" s="160" t="str">
        <v/>
      </c>
      <c r="BR57" s="160" t="str">
        <v/>
      </c>
      <c r="BS57" s="8" t="str">
        <v/>
      </c>
      <c r="BT57" s="161" t="str">
        <v/>
      </c>
      <c r="BU57" s="156"/>
      <c r="BV57" s="156"/>
    </row>
    <row r="58" spans="1:74">
      <c r="A58" s="163"/>
      <c r="B58" s="163"/>
      <c r="C58" s="158"/>
      <c r="D58" s="154"/>
      <c r="E58" s="153"/>
      <c r="F58" s="154"/>
      <c r="G58" s="153"/>
      <c r="H58" s="154"/>
      <c r="I58" s="153"/>
      <c r="J58" s="154"/>
      <c r="K58" s="153"/>
      <c r="L58" s="154"/>
      <c r="M58" s="157" t="str">
        <v/>
      </c>
      <c r="N58" s="157" t="str">
        <v/>
      </c>
      <c r="O58" s="157" t="str">
        <v/>
      </c>
      <c r="P58" s="157" t="str">
        <v/>
      </c>
      <c r="Q58" s="157" t="str">
        <v/>
      </c>
      <c r="R58" s="157" t="str">
        <v/>
      </c>
      <c r="S58" s="157" t="str">
        <v/>
      </c>
      <c r="T58" s="157" t="str">
        <v/>
      </c>
      <c r="U58" s="163" t="str">
        <v/>
      </c>
      <c r="V58" s="157" t="str">
        <v/>
      </c>
      <c r="W58" s="158"/>
      <c r="X58" s="154"/>
      <c r="Y58" s="153"/>
      <c r="Z58" s="154"/>
      <c r="AA58" s="153"/>
      <c r="AB58" s="154"/>
      <c r="AC58" s="153"/>
      <c r="AD58" s="154"/>
      <c r="AE58" s="153"/>
      <c r="AF58" s="154"/>
      <c r="AG58" s="157" t="str">
        <v/>
      </c>
      <c r="AH58" s="157" t="str">
        <v/>
      </c>
      <c r="AI58" s="157" t="str">
        <v/>
      </c>
      <c r="AJ58" s="157" t="str">
        <v/>
      </c>
      <c r="AK58" s="157" t="str">
        <v/>
      </c>
      <c r="AL58" s="157" t="str">
        <v/>
      </c>
      <c r="AM58" s="157" t="str">
        <v/>
      </c>
      <c r="AN58" s="157" t="str">
        <v/>
      </c>
      <c r="AO58" s="174" t="str">
        <v/>
      </c>
      <c r="AP58" s="157" t="str">
        <v/>
      </c>
      <c r="AQ58" s="158"/>
      <c r="AR58" s="154"/>
      <c r="AS58" s="153"/>
      <c r="AT58" s="154"/>
      <c r="AU58" s="153"/>
      <c r="AV58" s="154"/>
      <c r="AW58" s="153"/>
      <c r="AX58" s="154"/>
      <c r="AY58" s="153"/>
      <c r="AZ58" s="154"/>
      <c r="BA58" s="157" t="str">
        <v/>
      </c>
      <c r="BB58" s="157" t="str">
        <v/>
      </c>
      <c r="BC58" s="157" t="str">
        <v/>
      </c>
      <c r="BD58" s="157" t="str">
        <v/>
      </c>
      <c r="BE58" s="157" t="str">
        <v/>
      </c>
      <c r="BF58" s="157" t="str">
        <v/>
      </c>
      <c r="BG58" s="157" t="str">
        <v/>
      </c>
      <c r="BH58" s="157" t="str">
        <v/>
      </c>
      <c r="BI58" s="174" t="str">
        <v/>
      </c>
      <c r="BJ58" s="157" t="str">
        <v/>
      </c>
      <c r="BK58" s="159" t="str">
        <v/>
      </c>
      <c r="BL58" s="160" t="str">
        <v/>
      </c>
      <c r="BM58" s="160" t="str">
        <v/>
      </c>
      <c r="BN58" s="160" t="str">
        <v/>
      </c>
      <c r="BO58" s="160" t="str">
        <v/>
      </c>
      <c r="BP58" s="160" t="str">
        <v/>
      </c>
      <c r="BQ58" s="160" t="str">
        <v/>
      </c>
      <c r="BR58" s="160" t="str">
        <v/>
      </c>
      <c r="BS58" s="8" t="str">
        <v/>
      </c>
      <c r="BT58" s="161" t="str">
        <v/>
      </c>
      <c r="BU58" s="156"/>
      <c r="BV58" s="156"/>
    </row>
    <row r="59" spans="1:74">
      <c r="A59" s="163"/>
      <c r="B59" s="163"/>
      <c r="C59" s="158"/>
      <c r="D59" s="154"/>
      <c r="E59" s="153"/>
      <c r="F59" s="154"/>
      <c r="G59" s="153"/>
      <c r="H59" s="154"/>
      <c r="I59" s="153"/>
      <c r="J59" s="154"/>
      <c r="K59" s="153"/>
      <c r="L59" s="154"/>
      <c r="M59" s="157" t="str">
        <v/>
      </c>
      <c r="N59" s="157" t="str">
        <v/>
      </c>
      <c r="O59" s="157" t="str">
        <v/>
      </c>
      <c r="P59" s="157" t="str">
        <v/>
      </c>
      <c r="Q59" s="157" t="str">
        <v/>
      </c>
      <c r="R59" s="157" t="str">
        <v/>
      </c>
      <c r="S59" s="157" t="str">
        <v/>
      </c>
      <c r="T59" s="157" t="str">
        <v/>
      </c>
      <c r="U59" s="163" t="str">
        <v/>
      </c>
      <c r="V59" s="157" t="str">
        <v/>
      </c>
      <c r="W59" s="158"/>
      <c r="X59" s="154"/>
      <c r="Y59" s="153"/>
      <c r="Z59" s="154"/>
      <c r="AA59" s="153"/>
      <c r="AB59" s="154"/>
      <c r="AC59" s="153"/>
      <c r="AD59" s="154"/>
      <c r="AE59" s="153"/>
      <c r="AF59" s="154"/>
      <c r="AG59" s="157" t="str">
        <v/>
      </c>
      <c r="AH59" s="157" t="str">
        <v/>
      </c>
      <c r="AI59" s="157" t="str">
        <v/>
      </c>
      <c r="AJ59" s="157" t="str">
        <v/>
      </c>
      <c r="AK59" s="157" t="str">
        <v/>
      </c>
      <c r="AL59" s="157" t="str">
        <v/>
      </c>
      <c r="AM59" s="157" t="str">
        <v/>
      </c>
      <c r="AN59" s="157" t="str">
        <v/>
      </c>
      <c r="AO59" s="174" t="str">
        <v/>
      </c>
      <c r="AP59" s="157" t="str">
        <v/>
      </c>
      <c r="AQ59" s="158"/>
      <c r="AR59" s="154"/>
      <c r="AS59" s="153"/>
      <c r="AT59" s="154"/>
      <c r="AU59" s="153"/>
      <c r="AV59" s="154"/>
      <c r="AW59" s="153"/>
      <c r="AX59" s="154"/>
      <c r="AY59" s="153"/>
      <c r="AZ59" s="154"/>
      <c r="BA59" s="157" t="str">
        <v/>
      </c>
      <c r="BB59" s="157" t="str">
        <v/>
      </c>
      <c r="BC59" s="157" t="str">
        <v/>
      </c>
      <c r="BD59" s="157" t="str">
        <v/>
      </c>
      <c r="BE59" s="157" t="str">
        <v/>
      </c>
      <c r="BF59" s="157" t="str">
        <v/>
      </c>
      <c r="BG59" s="157" t="str">
        <v/>
      </c>
      <c r="BH59" s="157" t="str">
        <v/>
      </c>
      <c r="BI59" s="174" t="str">
        <v/>
      </c>
      <c r="BJ59" s="157" t="str">
        <v/>
      </c>
      <c r="BK59" s="159" t="str">
        <v/>
      </c>
      <c r="BL59" s="160" t="str">
        <v/>
      </c>
      <c r="BM59" s="160" t="str">
        <v/>
      </c>
      <c r="BN59" s="160" t="str">
        <v/>
      </c>
      <c r="BO59" s="160" t="str">
        <v/>
      </c>
      <c r="BP59" s="160" t="str">
        <v/>
      </c>
      <c r="BQ59" s="160" t="str">
        <v/>
      </c>
      <c r="BR59" s="160" t="str">
        <v/>
      </c>
      <c r="BS59" s="8" t="str">
        <v/>
      </c>
      <c r="BT59" s="161" t="str">
        <v/>
      </c>
      <c r="BU59" s="156"/>
      <c r="BV59" s="156"/>
    </row>
    <row r="60" spans="1:74">
      <c r="A60" s="163"/>
      <c r="B60" s="163"/>
      <c r="C60" s="158"/>
      <c r="D60" s="154"/>
      <c r="E60" s="153"/>
      <c r="F60" s="154"/>
      <c r="G60" s="153"/>
      <c r="H60" s="154"/>
      <c r="I60" s="153"/>
      <c r="J60" s="154"/>
      <c r="K60" s="153"/>
      <c r="L60" s="154"/>
      <c r="M60" s="157" t="str">
        <v/>
      </c>
      <c r="N60" s="157" t="str">
        <v/>
      </c>
      <c r="O60" s="157" t="str">
        <v/>
      </c>
      <c r="P60" s="157" t="str">
        <v/>
      </c>
      <c r="Q60" s="157" t="str">
        <v/>
      </c>
      <c r="R60" s="157" t="str">
        <v/>
      </c>
      <c r="S60" s="157" t="str">
        <v/>
      </c>
      <c r="T60" s="157" t="str">
        <v/>
      </c>
      <c r="U60" s="163" t="str">
        <v/>
      </c>
      <c r="V60" s="157" t="str">
        <v/>
      </c>
      <c r="W60" s="158"/>
      <c r="X60" s="154"/>
      <c r="Y60" s="153"/>
      <c r="Z60" s="154"/>
      <c r="AA60" s="153"/>
      <c r="AB60" s="154"/>
      <c r="AC60" s="153"/>
      <c r="AD60" s="154"/>
      <c r="AE60" s="153"/>
      <c r="AF60" s="154"/>
      <c r="AG60" s="157" t="str">
        <v/>
      </c>
      <c r="AH60" s="157" t="str">
        <v/>
      </c>
      <c r="AI60" s="157" t="str">
        <v/>
      </c>
      <c r="AJ60" s="157" t="str">
        <v/>
      </c>
      <c r="AK60" s="157" t="str">
        <v/>
      </c>
      <c r="AL60" s="157" t="str">
        <v/>
      </c>
      <c r="AM60" s="157" t="str">
        <v/>
      </c>
      <c r="AN60" s="157" t="str">
        <v/>
      </c>
      <c r="AO60" s="174" t="str">
        <v/>
      </c>
      <c r="AP60" s="157" t="str">
        <v/>
      </c>
      <c r="AQ60" s="158"/>
      <c r="AR60" s="154"/>
      <c r="AS60" s="153"/>
      <c r="AT60" s="154"/>
      <c r="AU60" s="153"/>
      <c r="AV60" s="154"/>
      <c r="AW60" s="153"/>
      <c r="AX60" s="154"/>
      <c r="AY60" s="153"/>
      <c r="AZ60" s="154"/>
      <c r="BA60" s="157" t="str">
        <v/>
      </c>
      <c r="BB60" s="157" t="str">
        <v/>
      </c>
      <c r="BC60" s="157" t="str">
        <v/>
      </c>
      <c r="BD60" s="157" t="str">
        <v/>
      </c>
      <c r="BE60" s="157" t="str">
        <v/>
      </c>
      <c r="BF60" s="157" t="str">
        <v/>
      </c>
      <c r="BG60" s="157" t="str">
        <v/>
      </c>
      <c r="BH60" s="157" t="str">
        <v/>
      </c>
      <c r="BI60" s="174" t="str">
        <v/>
      </c>
      <c r="BJ60" s="157" t="str">
        <v/>
      </c>
      <c r="BK60" s="159" t="str">
        <v/>
      </c>
      <c r="BL60" s="160" t="str">
        <v/>
      </c>
      <c r="BM60" s="160" t="str">
        <v/>
      </c>
      <c r="BN60" s="160" t="str">
        <v/>
      </c>
      <c r="BO60" s="160" t="str">
        <v/>
      </c>
      <c r="BP60" s="160" t="str">
        <v/>
      </c>
      <c r="BQ60" s="160" t="str">
        <v/>
      </c>
      <c r="BR60" s="160" t="str">
        <v/>
      </c>
      <c r="BS60" s="8" t="str">
        <v/>
      </c>
      <c r="BT60" s="161" t="str">
        <v/>
      </c>
      <c r="BU60" s="156"/>
      <c r="BV60" s="156"/>
    </row>
    <row r="61" spans="1:74">
      <c r="A61" s="163"/>
      <c r="B61" s="163"/>
      <c r="C61" s="158"/>
      <c r="D61" s="154"/>
      <c r="E61" s="153"/>
      <c r="F61" s="154"/>
      <c r="G61" s="153"/>
      <c r="H61" s="154"/>
      <c r="I61" s="153"/>
      <c r="J61" s="154"/>
      <c r="K61" s="153"/>
      <c r="L61" s="154"/>
      <c r="M61" s="157" t="str">
        <v/>
      </c>
      <c r="N61" s="157" t="str">
        <v/>
      </c>
      <c r="O61" s="157" t="str">
        <v/>
      </c>
      <c r="P61" s="157" t="str">
        <v/>
      </c>
      <c r="Q61" s="157" t="str">
        <v/>
      </c>
      <c r="R61" s="157" t="str">
        <v/>
      </c>
      <c r="S61" s="157" t="str">
        <v/>
      </c>
      <c r="T61" s="157" t="str">
        <v/>
      </c>
      <c r="U61" s="163" t="str">
        <v/>
      </c>
      <c r="V61" s="157" t="str">
        <v/>
      </c>
      <c r="W61" s="158"/>
      <c r="X61" s="154"/>
      <c r="Y61" s="153"/>
      <c r="Z61" s="154"/>
      <c r="AA61" s="153"/>
      <c r="AB61" s="154"/>
      <c r="AC61" s="153"/>
      <c r="AD61" s="154"/>
      <c r="AE61" s="153"/>
      <c r="AF61" s="154"/>
      <c r="AG61" s="157" t="str">
        <v/>
      </c>
      <c r="AH61" s="157" t="str">
        <v/>
      </c>
      <c r="AI61" s="157" t="str">
        <v/>
      </c>
      <c r="AJ61" s="157" t="str">
        <v/>
      </c>
      <c r="AK61" s="157" t="str">
        <v/>
      </c>
      <c r="AL61" s="157" t="str">
        <v/>
      </c>
      <c r="AM61" s="157" t="str">
        <v/>
      </c>
      <c r="AN61" s="157" t="str">
        <v/>
      </c>
      <c r="AO61" s="174" t="str">
        <v/>
      </c>
      <c r="AP61" s="157" t="str">
        <v/>
      </c>
      <c r="AQ61" s="158"/>
      <c r="AR61" s="154"/>
      <c r="AS61" s="153"/>
      <c r="AT61" s="154"/>
      <c r="AU61" s="153"/>
      <c r="AV61" s="154"/>
      <c r="AW61" s="153"/>
      <c r="AX61" s="154"/>
      <c r="AY61" s="153"/>
      <c r="AZ61" s="154"/>
      <c r="BA61" s="157" t="str">
        <v/>
      </c>
      <c r="BB61" s="157" t="str">
        <v/>
      </c>
      <c r="BC61" s="157" t="str">
        <v/>
      </c>
      <c r="BD61" s="157" t="str">
        <v/>
      </c>
      <c r="BE61" s="157" t="str">
        <v/>
      </c>
      <c r="BF61" s="157" t="str">
        <v/>
      </c>
      <c r="BG61" s="157" t="str">
        <v/>
      </c>
      <c r="BH61" s="157" t="str">
        <v/>
      </c>
      <c r="BI61" s="174" t="str">
        <v/>
      </c>
      <c r="BJ61" s="157" t="str">
        <v/>
      </c>
      <c r="BK61" s="159" t="str">
        <v/>
      </c>
      <c r="BL61" s="160" t="str">
        <v/>
      </c>
      <c r="BM61" s="160" t="str">
        <v/>
      </c>
      <c r="BN61" s="160" t="str">
        <v/>
      </c>
      <c r="BO61" s="160" t="str">
        <v/>
      </c>
      <c r="BP61" s="160" t="str">
        <v/>
      </c>
      <c r="BQ61" s="160" t="str">
        <v/>
      </c>
      <c r="BR61" s="160" t="str">
        <v/>
      </c>
      <c r="BS61" s="8" t="str">
        <v/>
      </c>
      <c r="BT61" s="161" t="str">
        <v/>
      </c>
      <c r="BU61" s="156"/>
      <c r="BV61" s="156"/>
    </row>
    <row r="62" spans="1:74">
      <c r="A62" s="163"/>
      <c r="B62" s="163"/>
      <c r="C62" s="158"/>
      <c r="D62" s="154"/>
      <c r="E62" s="153"/>
      <c r="F62" s="154"/>
      <c r="G62" s="153"/>
      <c r="H62" s="154"/>
      <c r="I62" s="153"/>
      <c r="J62" s="154"/>
      <c r="K62" s="153"/>
      <c r="L62" s="154"/>
      <c r="M62" s="157" t="str">
        <v/>
      </c>
      <c r="N62" s="157" t="str">
        <v/>
      </c>
      <c r="O62" s="157" t="str">
        <v/>
      </c>
      <c r="P62" s="157" t="str">
        <v/>
      </c>
      <c r="Q62" s="157" t="str">
        <v/>
      </c>
      <c r="R62" s="157" t="str">
        <v/>
      </c>
      <c r="S62" s="157" t="str">
        <v/>
      </c>
      <c r="T62" s="157" t="str">
        <v/>
      </c>
      <c r="U62" s="163" t="str">
        <v/>
      </c>
      <c r="V62" s="157" t="str">
        <v/>
      </c>
      <c r="W62" s="158"/>
      <c r="X62" s="154"/>
      <c r="Y62" s="153"/>
      <c r="Z62" s="154"/>
      <c r="AA62" s="153"/>
      <c r="AB62" s="154"/>
      <c r="AC62" s="153"/>
      <c r="AD62" s="154"/>
      <c r="AE62" s="153"/>
      <c r="AF62" s="154"/>
      <c r="AG62" s="157" t="str">
        <v/>
      </c>
      <c r="AH62" s="157" t="str">
        <v/>
      </c>
      <c r="AI62" s="157" t="str">
        <v/>
      </c>
      <c r="AJ62" s="157" t="str">
        <v/>
      </c>
      <c r="AK62" s="157" t="str">
        <v/>
      </c>
      <c r="AL62" s="157" t="str">
        <v/>
      </c>
      <c r="AM62" s="157" t="str">
        <v/>
      </c>
      <c r="AN62" s="157" t="str">
        <v/>
      </c>
      <c r="AO62" s="174" t="str">
        <v/>
      </c>
      <c r="AP62" s="157" t="str">
        <v/>
      </c>
      <c r="AQ62" s="158"/>
      <c r="AR62" s="154"/>
      <c r="AS62" s="153"/>
      <c r="AT62" s="154"/>
      <c r="AU62" s="153"/>
      <c r="AV62" s="154"/>
      <c r="AW62" s="153"/>
      <c r="AX62" s="154"/>
      <c r="AY62" s="153"/>
      <c r="AZ62" s="154"/>
      <c r="BA62" s="157" t="str">
        <v/>
      </c>
      <c r="BB62" s="157" t="str">
        <v/>
      </c>
      <c r="BC62" s="157" t="str">
        <v/>
      </c>
      <c r="BD62" s="157" t="str">
        <v/>
      </c>
      <c r="BE62" s="157" t="str">
        <v/>
      </c>
      <c r="BF62" s="157" t="str">
        <v/>
      </c>
      <c r="BG62" s="157" t="str">
        <v/>
      </c>
      <c r="BH62" s="157" t="str">
        <v/>
      </c>
      <c r="BI62" s="174" t="str">
        <v/>
      </c>
      <c r="BJ62" s="157" t="str">
        <v/>
      </c>
      <c r="BK62" s="159" t="str">
        <v/>
      </c>
      <c r="BL62" s="160" t="str">
        <v/>
      </c>
      <c r="BM62" s="160" t="str">
        <v/>
      </c>
      <c r="BN62" s="160" t="str">
        <v/>
      </c>
      <c r="BO62" s="160" t="str">
        <v/>
      </c>
      <c r="BP62" s="160" t="str">
        <v/>
      </c>
      <c r="BQ62" s="160" t="str">
        <v/>
      </c>
      <c r="BR62" s="160" t="str">
        <v/>
      </c>
      <c r="BS62" s="8" t="str">
        <v/>
      </c>
      <c r="BT62" s="161" t="str">
        <v/>
      </c>
      <c r="BU62" s="156"/>
      <c r="BV62" s="156"/>
    </row>
    <row r="63" spans="1:74">
      <c r="A63" s="163"/>
      <c r="B63" s="163"/>
      <c r="C63" s="158"/>
      <c r="D63" s="154"/>
      <c r="E63" s="153"/>
      <c r="F63" s="154"/>
      <c r="G63" s="153"/>
      <c r="H63" s="154"/>
      <c r="I63" s="153"/>
      <c r="J63" s="154"/>
      <c r="K63" s="153"/>
      <c r="L63" s="154"/>
      <c r="M63" s="157" t="str">
        <v/>
      </c>
      <c r="N63" s="157" t="str">
        <v/>
      </c>
      <c r="O63" s="157" t="str">
        <v/>
      </c>
      <c r="P63" s="157" t="str">
        <v/>
      </c>
      <c r="Q63" s="157" t="str">
        <v/>
      </c>
      <c r="R63" s="157" t="str">
        <v/>
      </c>
      <c r="S63" s="157" t="str">
        <v/>
      </c>
      <c r="T63" s="157" t="str">
        <v/>
      </c>
      <c r="U63" s="163" t="str">
        <v/>
      </c>
      <c r="V63" s="157" t="str">
        <v/>
      </c>
      <c r="W63" s="158"/>
      <c r="X63" s="154"/>
      <c r="Y63" s="153"/>
      <c r="Z63" s="154"/>
      <c r="AA63" s="153"/>
      <c r="AB63" s="154"/>
      <c r="AC63" s="153"/>
      <c r="AD63" s="154"/>
      <c r="AE63" s="153"/>
      <c r="AF63" s="154"/>
      <c r="AG63" s="157" t="str">
        <v/>
      </c>
      <c r="AH63" s="157" t="str">
        <v/>
      </c>
      <c r="AI63" s="157" t="str">
        <v/>
      </c>
      <c r="AJ63" s="157" t="str">
        <v/>
      </c>
      <c r="AK63" s="157" t="str">
        <v/>
      </c>
      <c r="AL63" s="157" t="str">
        <v/>
      </c>
      <c r="AM63" s="157" t="str">
        <v/>
      </c>
      <c r="AN63" s="157" t="str">
        <v/>
      </c>
      <c r="AO63" s="174" t="str">
        <v/>
      </c>
      <c r="AP63" s="157" t="str">
        <v/>
      </c>
      <c r="AQ63" s="158"/>
      <c r="AR63" s="154"/>
      <c r="AS63" s="153"/>
      <c r="AT63" s="154"/>
      <c r="AU63" s="153"/>
      <c r="AV63" s="154"/>
      <c r="AW63" s="153"/>
      <c r="AX63" s="154"/>
      <c r="AY63" s="153"/>
      <c r="AZ63" s="154"/>
      <c r="BA63" s="157" t="str">
        <v/>
      </c>
      <c r="BB63" s="157" t="str">
        <v/>
      </c>
      <c r="BC63" s="157" t="str">
        <v/>
      </c>
      <c r="BD63" s="157" t="str">
        <v/>
      </c>
      <c r="BE63" s="157" t="str">
        <v/>
      </c>
      <c r="BF63" s="157" t="str">
        <v/>
      </c>
      <c r="BG63" s="157" t="str">
        <v/>
      </c>
      <c r="BH63" s="157" t="str">
        <v/>
      </c>
      <c r="BI63" s="174" t="str">
        <v/>
      </c>
      <c r="BJ63" s="157" t="str">
        <v/>
      </c>
      <c r="BK63" s="159" t="str">
        <v/>
      </c>
      <c r="BL63" s="160" t="str">
        <v/>
      </c>
      <c r="BM63" s="160" t="str">
        <v/>
      </c>
      <c r="BN63" s="160" t="str">
        <v/>
      </c>
      <c r="BO63" s="160" t="str">
        <v/>
      </c>
      <c r="BP63" s="160" t="str">
        <v/>
      </c>
      <c r="BQ63" s="160" t="str">
        <v/>
      </c>
      <c r="BR63" s="160" t="str">
        <v/>
      </c>
      <c r="BS63" s="8" t="str">
        <v/>
      </c>
      <c r="BT63" s="161" t="str">
        <v/>
      </c>
      <c r="BU63" s="156"/>
      <c r="BV63" s="156"/>
    </row>
    <row r="64" spans="1:74">
      <c r="A64" s="163"/>
      <c r="B64" s="163"/>
      <c r="C64" s="158"/>
      <c r="D64" s="154"/>
      <c r="E64" s="153"/>
      <c r="F64" s="154"/>
      <c r="G64" s="153"/>
      <c r="H64" s="154"/>
      <c r="I64" s="153"/>
      <c r="J64" s="154"/>
      <c r="K64" s="153"/>
      <c r="L64" s="154"/>
      <c r="M64" s="157" t="str">
        <v/>
      </c>
      <c r="N64" s="157" t="str">
        <v/>
      </c>
      <c r="O64" s="157" t="str">
        <v/>
      </c>
      <c r="P64" s="157" t="str">
        <v/>
      </c>
      <c r="Q64" s="157" t="str">
        <v/>
      </c>
      <c r="R64" s="157" t="str">
        <v/>
      </c>
      <c r="S64" s="157" t="str">
        <v/>
      </c>
      <c r="T64" s="157" t="str">
        <v/>
      </c>
      <c r="U64" s="163" t="str">
        <v/>
      </c>
      <c r="V64" s="157" t="str">
        <v/>
      </c>
      <c r="W64" s="158"/>
      <c r="X64" s="154"/>
      <c r="Y64" s="153"/>
      <c r="Z64" s="154"/>
      <c r="AA64" s="153"/>
      <c r="AB64" s="154"/>
      <c r="AC64" s="153"/>
      <c r="AD64" s="154"/>
      <c r="AE64" s="153"/>
      <c r="AF64" s="154"/>
      <c r="AG64" s="157" t="str">
        <v/>
      </c>
      <c r="AH64" s="157" t="str">
        <v/>
      </c>
      <c r="AI64" s="157" t="str">
        <v/>
      </c>
      <c r="AJ64" s="157" t="str">
        <v/>
      </c>
      <c r="AK64" s="157" t="str">
        <v/>
      </c>
      <c r="AL64" s="157" t="str">
        <v/>
      </c>
      <c r="AM64" s="157" t="str">
        <v/>
      </c>
      <c r="AN64" s="157" t="str">
        <v/>
      </c>
      <c r="AO64" s="174" t="str">
        <v/>
      </c>
      <c r="AP64" s="157" t="str">
        <v/>
      </c>
      <c r="AQ64" s="158"/>
      <c r="AR64" s="154"/>
      <c r="AS64" s="153"/>
      <c r="AT64" s="154"/>
      <c r="AU64" s="153"/>
      <c r="AV64" s="154"/>
      <c r="AW64" s="153"/>
      <c r="AX64" s="154"/>
      <c r="AY64" s="153"/>
      <c r="AZ64" s="154"/>
      <c r="BA64" s="157" t="str">
        <v/>
      </c>
      <c r="BB64" s="157" t="str">
        <v/>
      </c>
      <c r="BC64" s="157" t="str">
        <v/>
      </c>
      <c r="BD64" s="157" t="str">
        <v/>
      </c>
      <c r="BE64" s="157" t="str">
        <v/>
      </c>
      <c r="BF64" s="157" t="str">
        <v/>
      </c>
      <c r="BG64" s="157" t="str">
        <v/>
      </c>
      <c r="BH64" s="157" t="str">
        <v/>
      </c>
      <c r="BI64" s="174" t="str">
        <v/>
      </c>
      <c r="BJ64" s="157" t="str">
        <v/>
      </c>
      <c r="BK64" s="159" t="str">
        <v/>
      </c>
      <c r="BL64" s="160" t="str">
        <v/>
      </c>
      <c r="BM64" s="160" t="str">
        <v/>
      </c>
      <c r="BN64" s="160" t="str">
        <v/>
      </c>
      <c r="BO64" s="160" t="str">
        <v/>
      </c>
      <c r="BP64" s="160" t="str">
        <v/>
      </c>
      <c r="BQ64" s="160" t="str">
        <v/>
      </c>
      <c r="BR64" s="160" t="str">
        <v/>
      </c>
      <c r="BS64" s="8" t="str">
        <v/>
      </c>
      <c r="BT64" s="161" t="str">
        <v/>
      </c>
      <c r="BU64" s="156"/>
      <c r="BV64" s="156"/>
    </row>
    <row r="65" spans="1:74">
      <c r="A65" s="163"/>
      <c r="B65" s="163"/>
      <c r="C65" s="158"/>
      <c r="D65" s="154"/>
      <c r="E65" s="153"/>
      <c r="F65" s="154"/>
      <c r="G65" s="153"/>
      <c r="H65" s="154"/>
      <c r="I65" s="153"/>
      <c r="J65" s="154"/>
      <c r="K65" s="153"/>
      <c r="L65" s="154"/>
      <c r="M65" s="157" t="str">
        <v/>
      </c>
      <c r="N65" s="157" t="str">
        <v/>
      </c>
      <c r="O65" s="157" t="str">
        <v/>
      </c>
      <c r="P65" s="157" t="str">
        <v/>
      </c>
      <c r="Q65" s="157" t="str">
        <v/>
      </c>
      <c r="R65" s="157" t="str">
        <v/>
      </c>
      <c r="S65" s="157" t="str">
        <v/>
      </c>
      <c r="T65" s="157" t="str">
        <v/>
      </c>
      <c r="U65" s="163" t="str">
        <v/>
      </c>
      <c r="V65" s="157" t="str">
        <v/>
      </c>
      <c r="W65" s="158"/>
      <c r="X65" s="154"/>
      <c r="Y65" s="153"/>
      <c r="Z65" s="154"/>
      <c r="AA65" s="153"/>
      <c r="AB65" s="154"/>
      <c r="AC65" s="153"/>
      <c r="AD65" s="154"/>
      <c r="AE65" s="153"/>
      <c r="AF65" s="154"/>
      <c r="AG65" s="157" t="str">
        <v/>
      </c>
      <c r="AH65" s="157" t="str">
        <v/>
      </c>
      <c r="AI65" s="157" t="str">
        <v/>
      </c>
      <c r="AJ65" s="157" t="str">
        <v/>
      </c>
      <c r="AK65" s="157" t="str">
        <v/>
      </c>
      <c r="AL65" s="157" t="str">
        <v/>
      </c>
      <c r="AM65" s="157" t="str">
        <v/>
      </c>
      <c r="AN65" s="157" t="str">
        <v/>
      </c>
      <c r="AO65" s="174" t="str">
        <v/>
      </c>
      <c r="AP65" s="157" t="str">
        <v/>
      </c>
      <c r="AQ65" s="158"/>
      <c r="AR65" s="154"/>
      <c r="AS65" s="153"/>
      <c r="AT65" s="154"/>
      <c r="AU65" s="153"/>
      <c r="AV65" s="154"/>
      <c r="AW65" s="153"/>
      <c r="AX65" s="154"/>
      <c r="AY65" s="153"/>
      <c r="AZ65" s="154"/>
      <c r="BA65" s="157" t="str">
        <v/>
      </c>
      <c r="BB65" s="157" t="str">
        <v/>
      </c>
      <c r="BC65" s="157" t="str">
        <v/>
      </c>
      <c r="BD65" s="157" t="str">
        <v/>
      </c>
      <c r="BE65" s="157" t="str">
        <v/>
      </c>
      <c r="BF65" s="157" t="str">
        <v/>
      </c>
      <c r="BG65" s="157" t="str">
        <v/>
      </c>
      <c r="BH65" s="157" t="str">
        <v/>
      </c>
      <c r="BI65" s="174" t="str">
        <v/>
      </c>
      <c r="BJ65" s="157" t="str">
        <v/>
      </c>
      <c r="BK65" s="159" t="str">
        <v/>
      </c>
      <c r="BL65" s="160" t="str">
        <v/>
      </c>
      <c r="BM65" s="160" t="str">
        <v/>
      </c>
      <c r="BN65" s="160" t="str">
        <v/>
      </c>
      <c r="BO65" s="160" t="str">
        <v/>
      </c>
      <c r="BP65" s="160" t="str">
        <v/>
      </c>
      <c r="BQ65" s="160" t="str">
        <v/>
      </c>
      <c r="BR65" s="160" t="str">
        <v/>
      </c>
      <c r="BS65" s="8" t="str">
        <v/>
      </c>
      <c r="BT65" s="161" t="str">
        <v/>
      </c>
      <c r="BU65" s="156"/>
      <c r="BV65" s="156"/>
    </row>
    <row r="66" spans="1:74">
      <c r="A66" s="163"/>
      <c r="B66" s="163"/>
      <c r="C66" s="158"/>
      <c r="D66" s="154"/>
      <c r="E66" s="153"/>
      <c r="F66" s="154"/>
      <c r="G66" s="153"/>
      <c r="H66" s="154"/>
      <c r="I66" s="153"/>
      <c r="J66" s="154"/>
      <c r="K66" s="153"/>
      <c r="L66" s="154"/>
      <c r="M66" s="157" t="str">
        <v/>
      </c>
      <c r="N66" s="157" t="str">
        <v/>
      </c>
      <c r="O66" s="157" t="str">
        <v/>
      </c>
      <c r="P66" s="157" t="str">
        <v/>
      </c>
      <c r="Q66" s="157" t="str">
        <v/>
      </c>
      <c r="R66" s="157" t="str">
        <v/>
      </c>
      <c r="S66" s="157" t="str">
        <v/>
      </c>
      <c r="T66" s="157" t="str">
        <v/>
      </c>
      <c r="U66" s="163" t="str">
        <v/>
      </c>
      <c r="V66" s="157" t="str">
        <v/>
      </c>
      <c r="W66" s="158"/>
      <c r="X66" s="154"/>
      <c r="Y66" s="153"/>
      <c r="Z66" s="154"/>
      <c r="AA66" s="153"/>
      <c r="AB66" s="154"/>
      <c r="AC66" s="153"/>
      <c r="AD66" s="154"/>
      <c r="AE66" s="153"/>
      <c r="AF66" s="154"/>
      <c r="AG66" s="157" t="str">
        <v/>
      </c>
      <c r="AH66" s="157" t="str">
        <v/>
      </c>
      <c r="AI66" s="157" t="str">
        <v/>
      </c>
      <c r="AJ66" s="157" t="str">
        <v/>
      </c>
      <c r="AK66" s="157" t="str">
        <v/>
      </c>
      <c r="AL66" s="157" t="str">
        <v/>
      </c>
      <c r="AM66" s="157" t="str">
        <v/>
      </c>
      <c r="AN66" s="157" t="str">
        <v/>
      </c>
      <c r="AO66" s="174" t="str">
        <v/>
      </c>
      <c r="AP66" s="157" t="str">
        <v/>
      </c>
      <c r="AQ66" s="158"/>
      <c r="AR66" s="154"/>
      <c r="AS66" s="153"/>
      <c r="AT66" s="154"/>
      <c r="AU66" s="153"/>
      <c r="AV66" s="154"/>
      <c r="AW66" s="153"/>
      <c r="AX66" s="154"/>
      <c r="AY66" s="153"/>
      <c r="AZ66" s="154"/>
      <c r="BA66" s="157" t="str">
        <v/>
      </c>
      <c r="BB66" s="157" t="str">
        <v/>
      </c>
      <c r="BC66" s="157" t="str">
        <v/>
      </c>
      <c r="BD66" s="157" t="str">
        <v/>
      </c>
      <c r="BE66" s="157" t="str">
        <v/>
      </c>
      <c r="BF66" s="157" t="str">
        <v/>
      </c>
      <c r="BG66" s="157" t="str">
        <v/>
      </c>
      <c r="BH66" s="157" t="str">
        <v/>
      </c>
      <c r="BI66" s="174" t="str">
        <v/>
      </c>
      <c r="BJ66" s="157" t="str">
        <v/>
      </c>
      <c r="BK66" s="159" t="str">
        <v/>
      </c>
      <c r="BL66" s="160" t="str">
        <v/>
      </c>
      <c r="BM66" s="160" t="str">
        <v/>
      </c>
      <c r="BN66" s="160" t="str">
        <v/>
      </c>
      <c r="BO66" s="160" t="str">
        <v/>
      </c>
      <c r="BP66" s="160" t="str">
        <v/>
      </c>
      <c r="BQ66" s="160" t="str">
        <v/>
      </c>
      <c r="BR66" s="160" t="str">
        <v/>
      </c>
      <c r="BS66" s="8" t="str">
        <v/>
      </c>
      <c r="BT66" s="161" t="str">
        <v/>
      </c>
      <c r="BU66" s="156"/>
      <c r="BV66" s="156"/>
    </row>
    <row r="67" spans="1:74">
      <c r="A67" s="163"/>
      <c r="B67" s="163"/>
      <c r="C67" s="158"/>
      <c r="D67" s="154"/>
      <c r="E67" s="153"/>
      <c r="F67" s="154"/>
      <c r="G67" s="153"/>
      <c r="H67" s="154"/>
      <c r="I67" s="153"/>
      <c r="J67" s="154"/>
      <c r="K67" s="153"/>
      <c r="L67" s="154"/>
      <c r="M67" s="157" t="str">
        <v/>
      </c>
      <c r="N67" s="157" t="str">
        <v/>
      </c>
      <c r="O67" s="157" t="str">
        <v/>
      </c>
      <c r="P67" s="157" t="str">
        <v/>
      </c>
      <c r="Q67" s="157" t="str">
        <v/>
      </c>
      <c r="R67" s="157" t="str">
        <v/>
      </c>
      <c r="S67" s="157" t="str">
        <v/>
      </c>
      <c r="T67" s="157" t="str">
        <v/>
      </c>
      <c r="U67" s="163" t="str">
        <v/>
      </c>
      <c r="V67" s="157" t="str">
        <v/>
      </c>
      <c r="W67" s="158"/>
      <c r="X67" s="154"/>
      <c r="Y67" s="153"/>
      <c r="Z67" s="154"/>
      <c r="AA67" s="153"/>
      <c r="AB67" s="154"/>
      <c r="AC67" s="153"/>
      <c r="AD67" s="154"/>
      <c r="AE67" s="153"/>
      <c r="AF67" s="154"/>
      <c r="AG67" s="157" t="str">
        <v/>
      </c>
      <c r="AH67" s="157" t="str">
        <v/>
      </c>
      <c r="AI67" s="157" t="str">
        <v/>
      </c>
      <c r="AJ67" s="157" t="str">
        <v/>
      </c>
      <c r="AK67" s="157" t="str">
        <v/>
      </c>
      <c r="AL67" s="157" t="str">
        <v/>
      </c>
      <c r="AM67" s="157" t="str">
        <v/>
      </c>
      <c r="AN67" s="157" t="str">
        <v/>
      </c>
      <c r="AO67" s="174" t="str">
        <v/>
      </c>
      <c r="AP67" s="157" t="str">
        <v/>
      </c>
      <c r="AQ67" s="158"/>
      <c r="AR67" s="154"/>
      <c r="AS67" s="153"/>
      <c r="AT67" s="154"/>
      <c r="AU67" s="153"/>
      <c r="AV67" s="154"/>
      <c r="AW67" s="153"/>
      <c r="AX67" s="154"/>
      <c r="AY67" s="153"/>
      <c r="AZ67" s="154"/>
      <c r="BA67" s="157" t="str">
        <v/>
      </c>
      <c r="BB67" s="157" t="str">
        <v/>
      </c>
      <c r="BC67" s="157" t="str">
        <v/>
      </c>
      <c r="BD67" s="157" t="str">
        <v/>
      </c>
      <c r="BE67" s="157" t="str">
        <v/>
      </c>
      <c r="BF67" s="157" t="str">
        <v/>
      </c>
      <c r="BG67" s="157" t="str">
        <v/>
      </c>
      <c r="BH67" s="157" t="str">
        <v/>
      </c>
      <c r="BI67" s="174" t="str">
        <v/>
      </c>
      <c r="BJ67" s="157" t="str">
        <v/>
      </c>
      <c r="BK67" s="159" t="str">
        <v/>
      </c>
      <c r="BL67" s="160" t="str">
        <v/>
      </c>
      <c r="BM67" s="160" t="str">
        <v/>
      </c>
      <c r="BN67" s="160" t="str">
        <v/>
      </c>
      <c r="BO67" s="160" t="str">
        <v/>
      </c>
      <c r="BP67" s="160" t="str">
        <v/>
      </c>
      <c r="BQ67" s="160" t="str">
        <v/>
      </c>
      <c r="BR67" s="160" t="str">
        <v/>
      </c>
      <c r="BS67" s="8" t="str">
        <v/>
      </c>
      <c r="BT67" s="161" t="str">
        <v/>
      </c>
      <c r="BU67" s="156"/>
      <c r="BV67" s="156"/>
    </row>
    <row r="68" spans="1:74">
      <c r="A68" s="163"/>
      <c r="B68" s="163"/>
      <c r="C68" s="158"/>
      <c r="D68" s="154"/>
      <c r="E68" s="153"/>
      <c r="F68" s="154"/>
      <c r="G68" s="153"/>
      <c r="H68" s="154"/>
      <c r="I68" s="153"/>
      <c r="J68" s="154"/>
      <c r="K68" s="153"/>
      <c r="L68" s="154"/>
      <c r="M68" s="157" t="str">
        <v/>
      </c>
      <c r="N68" s="157" t="str">
        <v/>
      </c>
      <c r="O68" s="157" t="str">
        <v/>
      </c>
      <c r="P68" s="157" t="str">
        <v/>
      </c>
      <c r="Q68" s="157" t="str">
        <v/>
      </c>
      <c r="R68" s="157" t="str">
        <v/>
      </c>
      <c r="S68" s="157" t="str">
        <v/>
      </c>
      <c r="T68" s="157" t="str">
        <v/>
      </c>
      <c r="U68" s="163" t="str">
        <v/>
      </c>
      <c r="V68" s="157" t="str">
        <v/>
      </c>
      <c r="W68" s="158"/>
      <c r="X68" s="154"/>
      <c r="Y68" s="153"/>
      <c r="Z68" s="154"/>
      <c r="AA68" s="153"/>
      <c r="AB68" s="154"/>
      <c r="AC68" s="153"/>
      <c r="AD68" s="154"/>
      <c r="AE68" s="153"/>
      <c r="AF68" s="154"/>
      <c r="AG68" s="157" t="str">
        <v/>
      </c>
      <c r="AH68" s="157" t="str">
        <v/>
      </c>
      <c r="AI68" s="157" t="str">
        <v/>
      </c>
      <c r="AJ68" s="157" t="str">
        <v/>
      </c>
      <c r="AK68" s="157" t="str">
        <v/>
      </c>
      <c r="AL68" s="157" t="str">
        <v/>
      </c>
      <c r="AM68" s="157" t="str">
        <v/>
      </c>
      <c r="AN68" s="157" t="str">
        <v/>
      </c>
      <c r="AO68" s="174" t="str">
        <v/>
      </c>
      <c r="AP68" s="157" t="str">
        <v/>
      </c>
      <c r="AQ68" s="158"/>
      <c r="AR68" s="154"/>
      <c r="AS68" s="153"/>
      <c r="AT68" s="154"/>
      <c r="AU68" s="153"/>
      <c r="AV68" s="154"/>
      <c r="AW68" s="153"/>
      <c r="AX68" s="154"/>
      <c r="AY68" s="153"/>
      <c r="AZ68" s="154"/>
      <c r="BA68" s="157" t="str">
        <v/>
      </c>
      <c r="BB68" s="157" t="str">
        <v/>
      </c>
      <c r="BC68" s="157" t="str">
        <v/>
      </c>
      <c r="BD68" s="157" t="str">
        <v/>
      </c>
      <c r="BE68" s="157" t="str">
        <v/>
      </c>
      <c r="BF68" s="157" t="str">
        <v/>
      </c>
      <c r="BG68" s="157" t="str">
        <v/>
      </c>
      <c r="BH68" s="157" t="str">
        <v/>
      </c>
      <c r="BI68" s="174" t="str">
        <v/>
      </c>
      <c r="BJ68" s="157" t="str">
        <v/>
      </c>
      <c r="BK68" s="159" t="str">
        <v/>
      </c>
      <c r="BL68" s="160" t="str">
        <v/>
      </c>
      <c r="BM68" s="160" t="str">
        <v/>
      </c>
      <c r="BN68" s="160" t="str">
        <v/>
      </c>
      <c r="BO68" s="160" t="str">
        <v/>
      </c>
      <c r="BP68" s="160" t="str">
        <v/>
      </c>
      <c r="BQ68" s="160" t="str">
        <v/>
      </c>
      <c r="BR68" s="160" t="str">
        <v/>
      </c>
      <c r="BS68" s="8" t="str">
        <v/>
      </c>
      <c r="BT68" s="161" t="str">
        <v/>
      </c>
      <c r="BU68" s="156"/>
      <c r="BV68" s="156"/>
    </row>
    <row r="69" spans="1:74">
      <c r="A69" s="163"/>
      <c r="B69" s="163"/>
      <c r="C69" s="158"/>
      <c r="D69" s="154"/>
      <c r="E69" s="153"/>
      <c r="F69" s="154"/>
      <c r="G69" s="153"/>
      <c r="H69" s="154"/>
      <c r="I69" s="153"/>
      <c r="J69" s="154"/>
      <c r="K69" s="153"/>
      <c r="L69" s="154"/>
      <c r="M69" s="157" t="str">
        <v/>
      </c>
      <c r="N69" s="157" t="str">
        <v/>
      </c>
      <c r="O69" s="157" t="str">
        <v/>
      </c>
      <c r="P69" s="157" t="str">
        <v/>
      </c>
      <c r="Q69" s="157" t="str">
        <v/>
      </c>
      <c r="R69" s="157" t="str">
        <v/>
      </c>
      <c r="S69" s="157" t="str">
        <v/>
      </c>
      <c r="T69" s="157" t="str">
        <v/>
      </c>
      <c r="U69" s="163" t="str">
        <v/>
      </c>
      <c r="V69" s="157" t="str">
        <v/>
      </c>
      <c r="W69" s="158"/>
      <c r="X69" s="154"/>
      <c r="Y69" s="153"/>
      <c r="Z69" s="154"/>
      <c r="AA69" s="153"/>
      <c r="AB69" s="154"/>
      <c r="AC69" s="153"/>
      <c r="AD69" s="154"/>
      <c r="AE69" s="153"/>
      <c r="AF69" s="154"/>
      <c r="AG69" s="157" t="str">
        <v/>
      </c>
      <c r="AH69" s="157" t="str">
        <v/>
      </c>
      <c r="AI69" s="157" t="str">
        <v/>
      </c>
      <c r="AJ69" s="157" t="str">
        <v/>
      </c>
      <c r="AK69" s="157" t="str">
        <v/>
      </c>
      <c r="AL69" s="157" t="str">
        <v/>
      </c>
      <c r="AM69" s="157" t="str">
        <v/>
      </c>
      <c r="AN69" s="157" t="str">
        <v/>
      </c>
      <c r="AO69" s="174" t="str">
        <v/>
      </c>
      <c r="AP69" s="157" t="str">
        <v/>
      </c>
      <c r="AQ69" s="158"/>
      <c r="AR69" s="154"/>
      <c r="AS69" s="153"/>
      <c r="AT69" s="154"/>
      <c r="AU69" s="153"/>
      <c r="AV69" s="154"/>
      <c r="AW69" s="153"/>
      <c r="AX69" s="154"/>
      <c r="AY69" s="153"/>
      <c r="AZ69" s="154"/>
      <c r="BA69" s="157" t="str">
        <v/>
      </c>
      <c r="BB69" s="157" t="str">
        <v/>
      </c>
      <c r="BC69" s="157" t="str">
        <v/>
      </c>
      <c r="BD69" s="157" t="str">
        <v/>
      </c>
      <c r="BE69" s="157" t="str">
        <v/>
      </c>
      <c r="BF69" s="157" t="str">
        <v/>
      </c>
      <c r="BG69" s="157" t="str">
        <v/>
      </c>
      <c r="BH69" s="157" t="str">
        <v/>
      </c>
      <c r="BI69" s="174" t="str">
        <v/>
      </c>
      <c r="BJ69" s="157" t="str">
        <v/>
      </c>
      <c r="BK69" s="159" t="str">
        <v/>
      </c>
      <c r="BL69" s="160" t="str">
        <v/>
      </c>
      <c r="BM69" s="160" t="str">
        <v/>
      </c>
      <c r="BN69" s="160" t="str">
        <v/>
      </c>
      <c r="BO69" s="160" t="str">
        <v/>
      </c>
      <c r="BP69" s="160" t="str">
        <v/>
      </c>
      <c r="BQ69" s="160" t="str">
        <v/>
      </c>
      <c r="BR69" s="160" t="str">
        <v/>
      </c>
      <c r="BS69" s="8" t="str">
        <v/>
      </c>
      <c r="BT69" s="161" t="str">
        <v/>
      </c>
      <c r="BU69" s="156"/>
      <c r="BV69" s="156"/>
    </row>
    <row r="70" spans="1:74">
      <c r="A70" s="163"/>
      <c r="B70" s="163"/>
      <c r="C70" s="158"/>
      <c r="D70" s="154"/>
      <c r="E70" s="153"/>
      <c r="F70" s="154"/>
      <c r="G70" s="153"/>
      <c r="H70" s="154"/>
      <c r="I70" s="153"/>
      <c r="J70" s="154"/>
      <c r="K70" s="153"/>
      <c r="L70" s="154"/>
      <c r="M70" s="157" t="str">
        <v/>
      </c>
      <c r="N70" s="157" t="str">
        <v/>
      </c>
      <c r="O70" s="157" t="str">
        <v/>
      </c>
      <c r="P70" s="157" t="str">
        <v/>
      </c>
      <c r="Q70" s="157" t="str">
        <v/>
      </c>
      <c r="R70" s="157" t="str">
        <v/>
      </c>
      <c r="S70" s="157" t="str">
        <v/>
      </c>
      <c r="T70" s="157" t="str">
        <v/>
      </c>
      <c r="U70" s="163" t="str">
        <v/>
      </c>
      <c r="V70" s="157" t="str">
        <v/>
      </c>
      <c r="W70" s="158"/>
      <c r="X70" s="154"/>
      <c r="Y70" s="153"/>
      <c r="Z70" s="154"/>
      <c r="AA70" s="153"/>
      <c r="AB70" s="154"/>
      <c r="AC70" s="153"/>
      <c r="AD70" s="154"/>
      <c r="AE70" s="153"/>
      <c r="AF70" s="154"/>
      <c r="AG70" s="157" t="str">
        <v/>
      </c>
      <c r="AH70" s="157" t="str">
        <v/>
      </c>
      <c r="AI70" s="157" t="str">
        <v/>
      </c>
      <c r="AJ70" s="157" t="str">
        <v/>
      </c>
      <c r="AK70" s="157" t="str">
        <v/>
      </c>
      <c r="AL70" s="157" t="str">
        <v/>
      </c>
      <c r="AM70" s="157" t="str">
        <v/>
      </c>
      <c r="AN70" s="157" t="str">
        <v/>
      </c>
      <c r="AO70" s="174" t="str">
        <v/>
      </c>
      <c r="AP70" s="157" t="str">
        <v/>
      </c>
      <c r="AQ70" s="158"/>
      <c r="AR70" s="154"/>
      <c r="AS70" s="153"/>
      <c r="AT70" s="154"/>
      <c r="AU70" s="153"/>
      <c r="AV70" s="154"/>
      <c r="AW70" s="153"/>
      <c r="AX70" s="154"/>
      <c r="AY70" s="153"/>
      <c r="AZ70" s="154"/>
      <c r="BA70" s="157" t="str">
        <v/>
      </c>
      <c r="BB70" s="157" t="str">
        <v/>
      </c>
      <c r="BC70" s="157" t="str">
        <v/>
      </c>
      <c r="BD70" s="157" t="str">
        <v/>
      </c>
      <c r="BE70" s="157" t="str">
        <v/>
      </c>
      <c r="BF70" s="157" t="str">
        <v/>
      </c>
      <c r="BG70" s="157" t="str">
        <v/>
      </c>
      <c r="BH70" s="157" t="str">
        <v/>
      </c>
      <c r="BI70" s="174" t="str">
        <v/>
      </c>
      <c r="BJ70" s="157" t="str">
        <v/>
      </c>
      <c r="BK70" s="159" t="str">
        <v/>
      </c>
      <c r="BL70" s="160" t="str">
        <v/>
      </c>
      <c r="BM70" s="160" t="str">
        <v/>
      </c>
      <c r="BN70" s="160" t="str">
        <v/>
      </c>
      <c r="BO70" s="160" t="str">
        <v/>
      </c>
      <c r="BP70" s="160" t="str">
        <v/>
      </c>
      <c r="BQ70" s="160" t="str">
        <v/>
      </c>
      <c r="BR70" s="160" t="str">
        <v/>
      </c>
      <c r="BS70" s="8" t="str">
        <v/>
      </c>
      <c r="BT70" s="161" t="str">
        <v/>
      </c>
      <c r="BU70" s="156"/>
      <c r="BV70" s="156"/>
    </row>
    <row r="71" spans="1:74">
      <c r="A71" s="163"/>
      <c r="B71" s="163"/>
      <c r="C71" s="158"/>
      <c r="D71" s="154"/>
      <c r="E71" s="153"/>
      <c r="F71" s="154"/>
      <c r="G71" s="153"/>
      <c r="H71" s="154"/>
      <c r="I71" s="153"/>
      <c r="J71" s="154"/>
      <c r="K71" s="153"/>
      <c r="L71" s="154"/>
      <c r="M71" s="157" t="str">
        <v/>
      </c>
      <c r="N71" s="157" t="str">
        <v/>
      </c>
      <c r="O71" s="157" t="str">
        <v/>
      </c>
      <c r="P71" s="157" t="str">
        <v/>
      </c>
      <c r="Q71" s="157" t="str">
        <v/>
      </c>
      <c r="R71" s="157" t="str">
        <v/>
      </c>
      <c r="S71" s="157" t="str">
        <v/>
      </c>
      <c r="T71" s="157" t="str">
        <v/>
      </c>
      <c r="U71" s="163" t="str">
        <v/>
      </c>
      <c r="V71" s="157" t="str">
        <v/>
      </c>
      <c r="W71" s="158"/>
      <c r="X71" s="154"/>
      <c r="Y71" s="153"/>
      <c r="Z71" s="154"/>
      <c r="AA71" s="153"/>
      <c r="AB71" s="154"/>
      <c r="AC71" s="153"/>
      <c r="AD71" s="154"/>
      <c r="AE71" s="153"/>
      <c r="AF71" s="154"/>
      <c r="AG71" s="157" t="str">
        <v/>
      </c>
      <c r="AH71" s="157" t="str">
        <v/>
      </c>
      <c r="AI71" s="157" t="str">
        <v/>
      </c>
      <c r="AJ71" s="157" t="str">
        <v/>
      </c>
      <c r="AK71" s="157" t="str">
        <v/>
      </c>
      <c r="AL71" s="157" t="str">
        <v/>
      </c>
      <c r="AM71" s="157" t="str">
        <v/>
      </c>
      <c r="AN71" s="157" t="str">
        <v/>
      </c>
      <c r="AO71" s="174" t="str">
        <v/>
      </c>
      <c r="AP71" s="157" t="str">
        <v/>
      </c>
      <c r="AQ71" s="158"/>
      <c r="AR71" s="154"/>
      <c r="AS71" s="153"/>
      <c r="AT71" s="154"/>
      <c r="AU71" s="153"/>
      <c r="AV71" s="154"/>
      <c r="AW71" s="153"/>
      <c r="AX71" s="154"/>
      <c r="AY71" s="153"/>
      <c r="AZ71" s="154"/>
      <c r="BA71" s="157" t="str">
        <v/>
      </c>
      <c r="BB71" s="157" t="str">
        <v/>
      </c>
      <c r="BC71" s="157" t="str">
        <v/>
      </c>
      <c r="BD71" s="157" t="str">
        <v/>
      </c>
      <c r="BE71" s="157" t="str">
        <v/>
      </c>
      <c r="BF71" s="157" t="str">
        <v/>
      </c>
      <c r="BG71" s="157" t="str">
        <v/>
      </c>
      <c r="BH71" s="157" t="str">
        <v/>
      </c>
      <c r="BI71" s="174" t="str">
        <v/>
      </c>
      <c r="BJ71" s="157" t="str">
        <v/>
      </c>
      <c r="BK71" s="159" t="str">
        <v/>
      </c>
      <c r="BL71" s="160" t="str">
        <v/>
      </c>
      <c r="BM71" s="160" t="str">
        <v/>
      </c>
      <c r="BN71" s="160" t="str">
        <v/>
      </c>
      <c r="BO71" s="160" t="str">
        <v/>
      </c>
      <c r="BP71" s="160" t="str">
        <v/>
      </c>
      <c r="BQ71" s="160" t="str">
        <v/>
      </c>
      <c r="BR71" s="160" t="str">
        <v/>
      </c>
      <c r="BS71" s="8" t="str">
        <v/>
      </c>
      <c r="BT71" s="161" t="str">
        <v/>
      </c>
      <c r="BU71" s="156"/>
      <c r="BV71" s="156"/>
    </row>
    <row r="72" spans="1:74">
      <c r="A72" s="163"/>
      <c r="B72" s="163"/>
      <c r="C72" s="158"/>
      <c r="D72" s="154"/>
      <c r="E72" s="153"/>
      <c r="F72" s="154"/>
      <c r="G72" s="153"/>
      <c r="H72" s="154"/>
      <c r="I72" s="153"/>
      <c r="J72" s="154"/>
      <c r="K72" s="153"/>
      <c r="L72" s="154"/>
      <c r="M72" s="157" t="str">
        <v/>
      </c>
      <c r="N72" s="157" t="str">
        <v/>
      </c>
      <c r="O72" s="157" t="str">
        <v/>
      </c>
      <c r="P72" s="157" t="str">
        <v/>
      </c>
      <c r="Q72" s="157" t="str">
        <v/>
      </c>
      <c r="R72" s="157" t="str">
        <v/>
      </c>
      <c r="S72" s="157" t="str">
        <v/>
      </c>
      <c r="T72" s="157" t="str">
        <v/>
      </c>
      <c r="U72" s="163" t="str">
        <v/>
      </c>
      <c r="V72" s="157" t="str">
        <v/>
      </c>
      <c r="W72" s="158"/>
      <c r="X72" s="154"/>
      <c r="Y72" s="153"/>
      <c r="Z72" s="154"/>
      <c r="AA72" s="153"/>
      <c r="AB72" s="154"/>
      <c r="AC72" s="153"/>
      <c r="AD72" s="154"/>
      <c r="AE72" s="153"/>
      <c r="AF72" s="154"/>
      <c r="AG72" s="157" t="str">
        <v/>
      </c>
      <c r="AH72" s="157" t="str">
        <v/>
      </c>
      <c r="AI72" s="157" t="str">
        <v/>
      </c>
      <c r="AJ72" s="157" t="str">
        <v/>
      </c>
      <c r="AK72" s="157" t="str">
        <v/>
      </c>
      <c r="AL72" s="157" t="str">
        <v/>
      </c>
      <c r="AM72" s="157" t="str">
        <v/>
      </c>
      <c r="AN72" s="157" t="str">
        <v/>
      </c>
      <c r="AO72" s="174" t="str">
        <v/>
      </c>
      <c r="AP72" s="157" t="str">
        <v/>
      </c>
      <c r="AQ72" s="158"/>
      <c r="AR72" s="154"/>
      <c r="AS72" s="153"/>
      <c r="AT72" s="154"/>
      <c r="AU72" s="153"/>
      <c r="AV72" s="154"/>
      <c r="AW72" s="153"/>
      <c r="AX72" s="154"/>
      <c r="AY72" s="153"/>
      <c r="AZ72" s="154"/>
      <c r="BA72" s="157" t="str">
        <v/>
      </c>
      <c r="BB72" s="157" t="str">
        <v/>
      </c>
      <c r="BC72" s="157" t="str">
        <v/>
      </c>
      <c r="BD72" s="157" t="str">
        <v/>
      </c>
      <c r="BE72" s="157" t="str">
        <v/>
      </c>
      <c r="BF72" s="157" t="str">
        <v/>
      </c>
      <c r="BG72" s="157" t="str">
        <v/>
      </c>
      <c r="BH72" s="157" t="str">
        <v/>
      </c>
      <c r="BI72" s="174" t="str">
        <v/>
      </c>
      <c r="BJ72" s="157" t="str">
        <v/>
      </c>
      <c r="BK72" s="159" t="str">
        <v/>
      </c>
      <c r="BL72" s="160" t="str">
        <v/>
      </c>
      <c r="BM72" s="160" t="str">
        <v/>
      </c>
      <c r="BN72" s="160" t="str">
        <v/>
      </c>
      <c r="BO72" s="160" t="str">
        <v/>
      </c>
      <c r="BP72" s="160" t="str">
        <v/>
      </c>
      <c r="BQ72" s="160" t="str">
        <v/>
      </c>
      <c r="BR72" s="160" t="str">
        <v/>
      </c>
      <c r="BS72" s="8" t="str">
        <v/>
      </c>
      <c r="BT72" s="161" t="str">
        <v/>
      </c>
      <c r="BU72" s="156"/>
      <c r="BV72" s="156"/>
    </row>
    <row r="73" spans="1:74">
      <c r="A73" s="163"/>
      <c r="B73" s="163"/>
      <c r="C73" s="158"/>
      <c r="D73" s="154"/>
      <c r="E73" s="153"/>
      <c r="F73" s="154"/>
      <c r="G73" s="153"/>
      <c r="H73" s="154"/>
      <c r="I73" s="153"/>
      <c r="J73" s="154"/>
      <c r="K73" s="153"/>
      <c r="L73" s="154"/>
      <c r="M73" s="157" t="str">
        <v/>
      </c>
      <c r="N73" s="157" t="str">
        <v/>
      </c>
      <c r="O73" s="157" t="str">
        <v/>
      </c>
      <c r="P73" s="157" t="str">
        <v/>
      </c>
      <c r="Q73" s="157" t="str">
        <v/>
      </c>
      <c r="R73" s="157" t="str">
        <v/>
      </c>
      <c r="S73" s="157" t="str">
        <v/>
      </c>
      <c r="T73" s="157" t="str">
        <v/>
      </c>
      <c r="U73" s="163" t="str">
        <v/>
      </c>
      <c r="V73" s="157" t="str">
        <v/>
      </c>
      <c r="W73" s="158"/>
      <c r="X73" s="154"/>
      <c r="Y73" s="153"/>
      <c r="Z73" s="154"/>
      <c r="AA73" s="153"/>
      <c r="AB73" s="154"/>
      <c r="AC73" s="153"/>
      <c r="AD73" s="154"/>
      <c r="AE73" s="153"/>
      <c r="AF73" s="154"/>
      <c r="AG73" s="157" t="str">
        <v/>
      </c>
      <c r="AH73" s="157" t="str">
        <v/>
      </c>
      <c r="AI73" s="157" t="str">
        <v/>
      </c>
      <c r="AJ73" s="157" t="str">
        <v/>
      </c>
      <c r="AK73" s="157" t="str">
        <v/>
      </c>
      <c r="AL73" s="157" t="str">
        <v/>
      </c>
      <c r="AM73" s="157" t="str">
        <v/>
      </c>
      <c r="AN73" s="157" t="str">
        <v/>
      </c>
      <c r="AO73" s="174" t="str">
        <v/>
      </c>
      <c r="AP73" s="157" t="str">
        <v/>
      </c>
      <c r="AQ73" s="158"/>
      <c r="AR73" s="154"/>
      <c r="AS73" s="153"/>
      <c r="AT73" s="154"/>
      <c r="AU73" s="153"/>
      <c r="AV73" s="154"/>
      <c r="AW73" s="153"/>
      <c r="AX73" s="154"/>
      <c r="AY73" s="153"/>
      <c r="AZ73" s="154"/>
      <c r="BA73" s="157" t="str">
        <v/>
      </c>
      <c r="BB73" s="157" t="str">
        <v/>
      </c>
      <c r="BC73" s="157" t="str">
        <v/>
      </c>
      <c r="BD73" s="157" t="str">
        <v/>
      </c>
      <c r="BE73" s="157" t="str">
        <v/>
      </c>
      <c r="BF73" s="157" t="str">
        <v/>
      </c>
      <c r="BG73" s="157" t="str">
        <v/>
      </c>
      <c r="BH73" s="157" t="str">
        <v/>
      </c>
      <c r="BI73" s="174" t="str">
        <v/>
      </c>
      <c r="BJ73" s="157" t="str">
        <v/>
      </c>
      <c r="BK73" s="159" t="str">
        <v/>
      </c>
      <c r="BL73" s="160" t="str">
        <v/>
      </c>
      <c r="BM73" s="160" t="str">
        <v/>
      </c>
      <c r="BN73" s="160" t="str">
        <v/>
      </c>
      <c r="BO73" s="160" t="str">
        <v/>
      </c>
      <c r="BP73" s="160" t="str">
        <v/>
      </c>
      <c r="BQ73" s="160" t="str">
        <v/>
      </c>
      <c r="BR73" s="160" t="str">
        <v/>
      </c>
      <c r="BS73" s="8" t="str">
        <v/>
      </c>
      <c r="BT73" s="161" t="str">
        <v/>
      </c>
      <c r="BU73" s="156"/>
      <c r="BV73" s="156"/>
    </row>
    <row r="74" spans="1:74">
      <c r="A74" s="163"/>
      <c r="B74" s="163"/>
      <c r="C74" s="158"/>
      <c r="D74" s="154"/>
      <c r="E74" s="153"/>
      <c r="F74" s="154"/>
      <c r="G74" s="153"/>
      <c r="H74" s="154"/>
      <c r="I74" s="153"/>
      <c r="J74" s="154"/>
      <c r="K74" s="153"/>
      <c r="L74" s="154"/>
      <c r="M74" s="157" t="str">
        <v/>
      </c>
      <c r="N74" s="157" t="str">
        <v/>
      </c>
      <c r="O74" s="157" t="str">
        <v/>
      </c>
      <c r="P74" s="157" t="str">
        <v/>
      </c>
      <c r="Q74" s="157" t="str">
        <v/>
      </c>
      <c r="R74" s="157" t="str">
        <v/>
      </c>
      <c r="S74" s="157" t="str">
        <v/>
      </c>
      <c r="T74" s="157" t="str">
        <v/>
      </c>
      <c r="U74" s="163" t="str">
        <v/>
      </c>
      <c r="V74" s="157" t="str">
        <v/>
      </c>
      <c r="W74" s="158"/>
      <c r="X74" s="154"/>
      <c r="Y74" s="153"/>
      <c r="Z74" s="154"/>
      <c r="AA74" s="153"/>
      <c r="AB74" s="154"/>
      <c r="AC74" s="153"/>
      <c r="AD74" s="154"/>
      <c r="AE74" s="153"/>
      <c r="AF74" s="154"/>
      <c r="AG74" s="157" t="str">
        <v/>
      </c>
      <c r="AH74" s="157" t="str">
        <v/>
      </c>
      <c r="AI74" s="157" t="str">
        <v/>
      </c>
      <c r="AJ74" s="157" t="str">
        <v/>
      </c>
      <c r="AK74" s="157" t="str">
        <v/>
      </c>
      <c r="AL74" s="157" t="str">
        <v/>
      </c>
      <c r="AM74" s="157" t="str">
        <v/>
      </c>
      <c r="AN74" s="157" t="str">
        <v/>
      </c>
      <c r="AO74" s="174" t="str">
        <v/>
      </c>
      <c r="AP74" s="157" t="str">
        <v/>
      </c>
      <c r="AQ74" s="158"/>
      <c r="AR74" s="154"/>
      <c r="AS74" s="153"/>
      <c r="AT74" s="154"/>
      <c r="AU74" s="153"/>
      <c r="AV74" s="154"/>
      <c r="AW74" s="153"/>
      <c r="AX74" s="154"/>
      <c r="AY74" s="153"/>
      <c r="AZ74" s="154"/>
      <c r="BA74" s="157" t="str">
        <v/>
      </c>
      <c r="BB74" s="157" t="str">
        <v/>
      </c>
      <c r="BC74" s="157" t="str">
        <v/>
      </c>
      <c r="BD74" s="157" t="str">
        <v/>
      </c>
      <c r="BE74" s="157" t="str">
        <v/>
      </c>
      <c r="BF74" s="157" t="str">
        <v/>
      </c>
      <c r="BG74" s="157" t="str">
        <v/>
      </c>
      <c r="BH74" s="157" t="str">
        <v/>
      </c>
      <c r="BI74" s="174" t="str">
        <v/>
      </c>
      <c r="BJ74" s="157" t="str">
        <v/>
      </c>
      <c r="BK74" s="159" t="str">
        <v/>
      </c>
      <c r="BL74" s="160" t="str">
        <v/>
      </c>
      <c r="BM74" s="160" t="str">
        <v/>
      </c>
      <c r="BN74" s="160" t="str">
        <v/>
      </c>
      <c r="BO74" s="160" t="str">
        <v/>
      </c>
      <c r="BP74" s="160" t="str">
        <v/>
      </c>
      <c r="BQ74" s="160" t="str">
        <v/>
      </c>
      <c r="BR74" s="160" t="str">
        <v/>
      </c>
      <c r="BS74" s="8" t="str">
        <v/>
      </c>
      <c r="BT74" s="161" t="str">
        <v/>
      </c>
      <c r="BU74" s="156"/>
      <c r="BV74" s="156"/>
    </row>
    <row r="75" spans="1:74">
      <c r="A75" s="163"/>
      <c r="B75" s="163"/>
      <c r="C75" s="158"/>
      <c r="D75" s="154"/>
      <c r="E75" s="153"/>
      <c r="F75" s="154"/>
      <c r="G75" s="153"/>
      <c r="H75" s="154"/>
      <c r="I75" s="153"/>
      <c r="J75" s="154"/>
      <c r="K75" s="153"/>
      <c r="L75" s="154"/>
      <c r="M75" s="157" t="str">
        <v/>
      </c>
      <c r="N75" s="157" t="str">
        <v/>
      </c>
      <c r="O75" s="157" t="str">
        <v/>
      </c>
      <c r="P75" s="157" t="str">
        <v/>
      </c>
      <c r="Q75" s="157" t="str">
        <v/>
      </c>
      <c r="R75" s="157" t="str">
        <v/>
      </c>
      <c r="S75" s="157" t="str">
        <v/>
      </c>
      <c r="T75" s="157" t="str">
        <v/>
      </c>
      <c r="U75" s="163" t="str">
        <v/>
      </c>
      <c r="V75" s="157" t="str">
        <v/>
      </c>
      <c r="W75" s="158"/>
      <c r="X75" s="154"/>
      <c r="Y75" s="153"/>
      <c r="Z75" s="154"/>
      <c r="AA75" s="153"/>
      <c r="AB75" s="154"/>
      <c r="AC75" s="153"/>
      <c r="AD75" s="154"/>
      <c r="AE75" s="153"/>
      <c r="AF75" s="154"/>
      <c r="AG75" s="157" t="str">
        <v/>
      </c>
      <c r="AH75" s="157" t="str">
        <v/>
      </c>
      <c r="AI75" s="157" t="str">
        <v/>
      </c>
      <c r="AJ75" s="157" t="str">
        <v/>
      </c>
      <c r="AK75" s="157" t="str">
        <v/>
      </c>
      <c r="AL75" s="157" t="str">
        <v/>
      </c>
      <c r="AM75" s="157" t="str">
        <v/>
      </c>
      <c r="AN75" s="157" t="str">
        <v/>
      </c>
      <c r="AO75" s="174" t="str">
        <v/>
      </c>
      <c r="AP75" s="157" t="str">
        <v/>
      </c>
      <c r="AQ75" s="158"/>
      <c r="AR75" s="154"/>
      <c r="AS75" s="153"/>
      <c r="AT75" s="154"/>
      <c r="AU75" s="153"/>
      <c r="AV75" s="154"/>
      <c r="AW75" s="153"/>
      <c r="AX75" s="154"/>
      <c r="AY75" s="153"/>
      <c r="AZ75" s="154"/>
      <c r="BA75" s="157" t="str">
        <v/>
      </c>
      <c r="BB75" s="157" t="str">
        <v/>
      </c>
      <c r="BC75" s="157" t="str">
        <v/>
      </c>
      <c r="BD75" s="157" t="str">
        <v/>
      </c>
      <c r="BE75" s="157" t="str">
        <v/>
      </c>
      <c r="BF75" s="157" t="str">
        <v/>
      </c>
      <c r="BG75" s="157" t="str">
        <v/>
      </c>
      <c r="BH75" s="157" t="str">
        <v/>
      </c>
      <c r="BI75" s="174" t="str">
        <v/>
      </c>
      <c r="BJ75" s="157" t="str">
        <v/>
      </c>
      <c r="BK75" s="159" t="str">
        <v/>
      </c>
      <c r="BL75" s="160" t="str">
        <v/>
      </c>
      <c r="BM75" s="160" t="str">
        <v/>
      </c>
      <c r="BN75" s="160" t="str">
        <v/>
      </c>
      <c r="BO75" s="160" t="str">
        <v/>
      </c>
      <c r="BP75" s="160" t="str">
        <v/>
      </c>
      <c r="BQ75" s="160" t="str">
        <v/>
      </c>
      <c r="BR75" s="160" t="str">
        <v/>
      </c>
      <c r="BS75" s="8" t="str">
        <v/>
      </c>
      <c r="BT75" s="161" t="str">
        <v/>
      </c>
      <c r="BU75" s="156"/>
      <c r="BV75" s="156"/>
    </row>
    <row r="76" spans="1:74">
      <c r="A76" s="163"/>
      <c r="B76" s="163"/>
      <c r="C76" s="158"/>
      <c r="D76" s="154"/>
      <c r="E76" s="153"/>
      <c r="F76" s="154"/>
      <c r="G76" s="153"/>
      <c r="H76" s="154"/>
      <c r="I76" s="153"/>
      <c r="J76" s="154"/>
      <c r="K76" s="153"/>
      <c r="L76" s="154"/>
      <c r="M76" s="157" t="str">
        <v/>
      </c>
      <c r="N76" s="157" t="str">
        <v/>
      </c>
      <c r="O76" s="157" t="str">
        <v/>
      </c>
      <c r="P76" s="157" t="str">
        <v/>
      </c>
      <c r="Q76" s="157" t="str">
        <v/>
      </c>
      <c r="R76" s="157" t="str">
        <v/>
      </c>
      <c r="S76" s="157" t="str">
        <v/>
      </c>
      <c r="T76" s="157" t="str">
        <v/>
      </c>
      <c r="U76" s="163" t="str">
        <v/>
      </c>
      <c r="V76" s="157" t="str">
        <v/>
      </c>
      <c r="W76" s="158"/>
      <c r="X76" s="154"/>
      <c r="Y76" s="153"/>
      <c r="Z76" s="154"/>
      <c r="AA76" s="153"/>
      <c r="AB76" s="154"/>
      <c r="AC76" s="153"/>
      <c r="AD76" s="154"/>
      <c r="AE76" s="153"/>
      <c r="AF76" s="154"/>
      <c r="AG76" s="157" t="str">
        <v/>
      </c>
      <c r="AH76" s="157" t="str">
        <v/>
      </c>
      <c r="AI76" s="157" t="str">
        <v/>
      </c>
      <c r="AJ76" s="157" t="str">
        <v/>
      </c>
      <c r="AK76" s="157" t="str">
        <v/>
      </c>
      <c r="AL76" s="157" t="str">
        <v/>
      </c>
      <c r="AM76" s="157" t="str">
        <v/>
      </c>
      <c r="AN76" s="157" t="str">
        <v/>
      </c>
      <c r="AO76" s="174" t="str">
        <v/>
      </c>
      <c r="AP76" s="157" t="str">
        <v/>
      </c>
      <c r="AQ76" s="158"/>
      <c r="AR76" s="154"/>
      <c r="AS76" s="153"/>
      <c r="AT76" s="154"/>
      <c r="AU76" s="153"/>
      <c r="AV76" s="154"/>
      <c r="AW76" s="153"/>
      <c r="AX76" s="154"/>
      <c r="AY76" s="153"/>
      <c r="AZ76" s="154"/>
      <c r="BA76" s="157" t="str">
        <v/>
      </c>
      <c r="BB76" s="157" t="str">
        <v/>
      </c>
      <c r="BC76" s="157" t="str">
        <v/>
      </c>
      <c r="BD76" s="157" t="str">
        <v/>
      </c>
      <c r="BE76" s="157" t="str">
        <v/>
      </c>
      <c r="BF76" s="157" t="str">
        <v/>
      </c>
      <c r="BG76" s="157" t="str">
        <v/>
      </c>
      <c r="BH76" s="157" t="str">
        <v/>
      </c>
      <c r="BI76" s="174" t="str">
        <v/>
      </c>
      <c r="BJ76" s="157" t="str">
        <v/>
      </c>
      <c r="BK76" s="159" t="str">
        <v/>
      </c>
      <c r="BL76" s="160" t="str">
        <v/>
      </c>
      <c r="BM76" s="160" t="str">
        <v/>
      </c>
      <c r="BN76" s="160" t="str">
        <v/>
      </c>
      <c r="BO76" s="160" t="str">
        <v/>
      </c>
      <c r="BP76" s="160" t="str">
        <v/>
      </c>
      <c r="BQ76" s="160" t="str">
        <v/>
      </c>
      <c r="BR76" s="160" t="str">
        <v/>
      </c>
      <c r="BS76" s="8" t="str">
        <v/>
      </c>
      <c r="BT76" s="161" t="str">
        <v/>
      </c>
      <c r="BU76" s="156"/>
      <c r="BV76" s="156"/>
    </row>
    <row r="77" spans="1:74">
      <c r="A77" s="163"/>
      <c r="B77" s="163"/>
      <c r="C77" s="158"/>
      <c r="D77" s="154"/>
      <c r="E77" s="153"/>
      <c r="F77" s="154"/>
      <c r="G77" s="153"/>
      <c r="H77" s="154"/>
      <c r="I77" s="153"/>
      <c r="J77" s="154"/>
      <c r="K77" s="153"/>
      <c r="L77" s="154"/>
      <c r="M77" s="157" t="str">
        <v/>
      </c>
      <c r="N77" s="157" t="str">
        <v/>
      </c>
      <c r="O77" s="157" t="str">
        <v/>
      </c>
      <c r="P77" s="157" t="str">
        <v/>
      </c>
      <c r="Q77" s="157" t="str">
        <v/>
      </c>
      <c r="R77" s="157" t="str">
        <v/>
      </c>
      <c r="S77" s="157" t="str">
        <v/>
      </c>
      <c r="T77" s="157" t="str">
        <v/>
      </c>
      <c r="U77" s="163" t="str">
        <v/>
      </c>
      <c r="V77" s="157" t="str">
        <v/>
      </c>
      <c r="W77" s="158"/>
      <c r="X77" s="154"/>
      <c r="Y77" s="153"/>
      <c r="Z77" s="154"/>
      <c r="AA77" s="153"/>
      <c r="AB77" s="154"/>
      <c r="AC77" s="153"/>
      <c r="AD77" s="154"/>
      <c r="AE77" s="153"/>
      <c r="AF77" s="154"/>
      <c r="AG77" s="157" t="str">
        <v/>
      </c>
      <c r="AH77" s="157" t="str">
        <v/>
      </c>
      <c r="AI77" s="157" t="str">
        <v/>
      </c>
      <c r="AJ77" s="157" t="str">
        <v/>
      </c>
      <c r="AK77" s="157" t="str">
        <v/>
      </c>
      <c r="AL77" s="157" t="str">
        <v/>
      </c>
      <c r="AM77" s="157" t="str">
        <v/>
      </c>
      <c r="AN77" s="157" t="str">
        <v/>
      </c>
      <c r="AO77" s="174" t="str">
        <v/>
      </c>
      <c r="AP77" s="157" t="str">
        <v/>
      </c>
      <c r="AQ77" s="158"/>
      <c r="AR77" s="154"/>
      <c r="AS77" s="153"/>
      <c r="AT77" s="154"/>
      <c r="AU77" s="153"/>
      <c r="AV77" s="154"/>
      <c r="AW77" s="153"/>
      <c r="AX77" s="154"/>
      <c r="AY77" s="153"/>
      <c r="AZ77" s="154"/>
      <c r="BA77" s="157" t="str">
        <v/>
      </c>
      <c r="BB77" s="157" t="str">
        <v/>
      </c>
      <c r="BC77" s="157" t="str">
        <v/>
      </c>
      <c r="BD77" s="157" t="str">
        <v/>
      </c>
      <c r="BE77" s="157" t="str">
        <v/>
      </c>
      <c r="BF77" s="157" t="str">
        <v/>
      </c>
      <c r="BG77" s="157" t="str">
        <v/>
      </c>
      <c r="BH77" s="157" t="str">
        <v/>
      </c>
      <c r="BI77" s="174" t="str">
        <v/>
      </c>
      <c r="BJ77" s="157" t="str">
        <v/>
      </c>
      <c r="BK77" s="159" t="str">
        <v/>
      </c>
      <c r="BL77" s="160" t="str">
        <v/>
      </c>
      <c r="BM77" s="160" t="str">
        <v/>
      </c>
      <c r="BN77" s="160" t="str">
        <v/>
      </c>
      <c r="BO77" s="160" t="str">
        <v/>
      </c>
      <c r="BP77" s="160" t="str">
        <v/>
      </c>
      <c r="BQ77" s="160" t="str">
        <v/>
      </c>
      <c r="BR77" s="160" t="str">
        <v/>
      </c>
      <c r="BS77" s="8" t="str">
        <v/>
      </c>
      <c r="BT77" s="161" t="str">
        <v/>
      </c>
      <c r="BU77" s="156"/>
      <c r="BV77" s="156"/>
    </row>
    <row r="78" spans="1:74">
      <c r="A78" s="163"/>
      <c r="B78" s="163"/>
      <c r="C78" s="158"/>
      <c r="D78" s="154"/>
      <c r="E78" s="153"/>
      <c r="F78" s="154"/>
      <c r="G78" s="153"/>
      <c r="H78" s="154"/>
      <c r="I78" s="153"/>
      <c r="J78" s="154"/>
      <c r="K78" s="153"/>
      <c r="L78" s="154"/>
      <c r="M78" s="157" t="str">
        <v/>
      </c>
      <c r="N78" s="157" t="str">
        <v/>
      </c>
      <c r="O78" s="157" t="str">
        <v/>
      </c>
      <c r="P78" s="157" t="str">
        <v/>
      </c>
      <c r="Q78" s="157" t="str">
        <v/>
      </c>
      <c r="R78" s="157" t="str">
        <v/>
      </c>
      <c r="S78" s="157" t="str">
        <v/>
      </c>
      <c r="T78" s="157" t="str">
        <v/>
      </c>
      <c r="U78" s="163" t="str">
        <v/>
      </c>
      <c r="V78" s="157" t="str">
        <v/>
      </c>
      <c r="W78" s="158"/>
      <c r="X78" s="154"/>
      <c r="Y78" s="153"/>
      <c r="Z78" s="154"/>
      <c r="AA78" s="153"/>
      <c r="AB78" s="154"/>
      <c r="AC78" s="153"/>
      <c r="AD78" s="154"/>
      <c r="AE78" s="153"/>
      <c r="AF78" s="154"/>
      <c r="AG78" s="157" t="str">
        <v/>
      </c>
      <c r="AH78" s="157" t="str">
        <v/>
      </c>
      <c r="AI78" s="157" t="str">
        <v/>
      </c>
      <c r="AJ78" s="157" t="str">
        <v/>
      </c>
      <c r="AK78" s="157" t="str">
        <v/>
      </c>
      <c r="AL78" s="157" t="str">
        <v/>
      </c>
      <c r="AM78" s="157" t="str">
        <v/>
      </c>
      <c r="AN78" s="157" t="str">
        <v/>
      </c>
      <c r="AO78" s="174" t="str">
        <v/>
      </c>
      <c r="AP78" s="157" t="str">
        <v/>
      </c>
      <c r="AQ78" s="158"/>
      <c r="AR78" s="154"/>
      <c r="AS78" s="153"/>
      <c r="AT78" s="154"/>
      <c r="AU78" s="153"/>
      <c r="AV78" s="154"/>
      <c r="AW78" s="153"/>
      <c r="AX78" s="154"/>
      <c r="AY78" s="153"/>
      <c r="AZ78" s="154"/>
      <c r="BA78" s="157" t="str">
        <v/>
      </c>
      <c r="BB78" s="157" t="str">
        <v/>
      </c>
      <c r="BC78" s="157" t="str">
        <v/>
      </c>
      <c r="BD78" s="157" t="str">
        <v/>
      </c>
      <c r="BE78" s="157" t="str">
        <v/>
      </c>
      <c r="BF78" s="157" t="str">
        <v/>
      </c>
      <c r="BG78" s="157" t="str">
        <v/>
      </c>
      <c r="BH78" s="157" t="str">
        <v/>
      </c>
      <c r="BI78" s="174" t="str">
        <v/>
      </c>
      <c r="BJ78" s="157" t="str">
        <v/>
      </c>
      <c r="BK78" s="159" t="str">
        <v/>
      </c>
      <c r="BL78" s="160" t="str">
        <v/>
      </c>
      <c r="BM78" s="160" t="str">
        <v/>
      </c>
      <c r="BN78" s="160" t="str">
        <v/>
      </c>
      <c r="BO78" s="160" t="str">
        <v/>
      </c>
      <c r="BP78" s="160" t="str">
        <v/>
      </c>
      <c r="BQ78" s="160" t="str">
        <v/>
      </c>
      <c r="BR78" s="160" t="str">
        <v/>
      </c>
      <c r="BS78" s="8" t="str">
        <v/>
      </c>
      <c r="BT78" s="161" t="str">
        <v/>
      </c>
      <c r="BU78" s="156"/>
      <c r="BV78" s="156"/>
    </row>
    <row r="79" spans="1:74">
      <c r="A79" s="163"/>
      <c r="B79" s="163"/>
      <c r="C79" s="158"/>
      <c r="D79" s="154"/>
      <c r="E79" s="153"/>
      <c r="F79" s="154"/>
      <c r="G79" s="153"/>
      <c r="H79" s="154"/>
      <c r="I79" s="153"/>
      <c r="J79" s="154"/>
      <c r="K79" s="153"/>
      <c r="L79" s="154"/>
      <c r="M79" s="157" t="str">
        <v/>
      </c>
      <c r="N79" s="157" t="str">
        <v/>
      </c>
      <c r="O79" s="157" t="str">
        <v/>
      </c>
      <c r="P79" s="157" t="str">
        <v/>
      </c>
      <c r="Q79" s="157" t="str">
        <v/>
      </c>
      <c r="R79" s="157" t="str">
        <v/>
      </c>
      <c r="S79" s="157" t="str">
        <v/>
      </c>
      <c r="T79" s="157" t="str">
        <v/>
      </c>
      <c r="U79" s="163" t="str">
        <v/>
      </c>
      <c r="V79" s="157" t="str">
        <v/>
      </c>
      <c r="W79" s="158"/>
      <c r="X79" s="154"/>
      <c r="Y79" s="153"/>
      <c r="Z79" s="154"/>
      <c r="AA79" s="153"/>
      <c r="AB79" s="154"/>
      <c r="AC79" s="153"/>
      <c r="AD79" s="154"/>
      <c r="AE79" s="153"/>
      <c r="AF79" s="154"/>
      <c r="AG79" s="157" t="str">
        <v/>
      </c>
      <c r="AH79" s="157" t="str">
        <v/>
      </c>
      <c r="AI79" s="157" t="str">
        <v/>
      </c>
      <c r="AJ79" s="157" t="str">
        <v/>
      </c>
      <c r="AK79" s="157" t="str">
        <v/>
      </c>
      <c r="AL79" s="157" t="str">
        <v/>
      </c>
      <c r="AM79" s="157" t="str">
        <v/>
      </c>
      <c r="AN79" s="157" t="str">
        <v/>
      </c>
      <c r="AO79" s="174" t="str">
        <v/>
      </c>
      <c r="AP79" s="157" t="str">
        <v/>
      </c>
      <c r="AQ79" s="158"/>
      <c r="AR79" s="154"/>
      <c r="AS79" s="153"/>
      <c r="AT79" s="154"/>
      <c r="AU79" s="153"/>
      <c r="AV79" s="154"/>
      <c r="AW79" s="153"/>
      <c r="AX79" s="154"/>
      <c r="AY79" s="153"/>
      <c r="AZ79" s="154"/>
      <c r="BA79" s="157" t="str">
        <v/>
      </c>
      <c r="BB79" s="157" t="str">
        <v/>
      </c>
      <c r="BC79" s="157" t="str">
        <v/>
      </c>
      <c r="BD79" s="157" t="str">
        <v/>
      </c>
      <c r="BE79" s="157" t="str">
        <v/>
      </c>
      <c r="BF79" s="157" t="str">
        <v/>
      </c>
      <c r="BG79" s="157" t="str">
        <v/>
      </c>
      <c r="BH79" s="157" t="str">
        <v/>
      </c>
      <c r="BI79" s="174" t="str">
        <v/>
      </c>
      <c r="BJ79" s="157" t="str">
        <v/>
      </c>
      <c r="BK79" s="159" t="str">
        <v/>
      </c>
      <c r="BL79" s="160" t="str">
        <v/>
      </c>
      <c r="BM79" s="160" t="str">
        <v/>
      </c>
      <c r="BN79" s="160" t="str">
        <v/>
      </c>
      <c r="BO79" s="160" t="str">
        <v/>
      </c>
      <c r="BP79" s="160" t="str">
        <v/>
      </c>
      <c r="BQ79" s="160" t="str">
        <v/>
      </c>
      <c r="BR79" s="160" t="str">
        <v/>
      </c>
      <c r="BS79" s="8" t="str">
        <v/>
      </c>
      <c r="BT79" s="161" t="str">
        <v/>
      </c>
      <c r="BU79" s="156"/>
      <c r="BV79" s="156"/>
    </row>
    <row r="80" spans="1:74">
      <c r="A80" s="163"/>
      <c r="B80" s="163"/>
      <c r="C80" s="158"/>
      <c r="D80" s="154"/>
      <c r="E80" s="153"/>
      <c r="F80" s="154"/>
      <c r="G80" s="153"/>
      <c r="H80" s="154"/>
      <c r="I80" s="153"/>
      <c r="J80" s="154"/>
      <c r="K80" s="153"/>
      <c r="L80" s="154"/>
      <c r="M80" s="157" t="str">
        <v/>
      </c>
      <c r="N80" s="157" t="str">
        <v/>
      </c>
      <c r="O80" s="157" t="str">
        <v/>
      </c>
      <c r="P80" s="157" t="str">
        <v/>
      </c>
      <c r="Q80" s="157" t="str">
        <v/>
      </c>
      <c r="R80" s="157" t="str">
        <v/>
      </c>
      <c r="S80" s="157" t="str">
        <v/>
      </c>
      <c r="T80" s="157" t="str">
        <v/>
      </c>
      <c r="U80" s="163" t="str">
        <v/>
      </c>
      <c r="V80" s="157" t="str">
        <v/>
      </c>
      <c r="W80" s="158"/>
      <c r="X80" s="154"/>
      <c r="Y80" s="153"/>
      <c r="Z80" s="154"/>
      <c r="AA80" s="153"/>
      <c r="AB80" s="154"/>
      <c r="AC80" s="153"/>
      <c r="AD80" s="154"/>
      <c r="AE80" s="153"/>
      <c r="AF80" s="154"/>
      <c r="AG80" s="157" t="str">
        <v/>
      </c>
      <c r="AH80" s="157" t="str">
        <v/>
      </c>
      <c r="AI80" s="157" t="str">
        <v/>
      </c>
      <c r="AJ80" s="157" t="str">
        <v/>
      </c>
      <c r="AK80" s="157" t="str">
        <v/>
      </c>
      <c r="AL80" s="157" t="str">
        <v/>
      </c>
      <c r="AM80" s="157" t="str">
        <v/>
      </c>
      <c r="AN80" s="157" t="str">
        <v/>
      </c>
      <c r="AO80" s="174" t="str">
        <v/>
      </c>
      <c r="AP80" s="157" t="str">
        <v/>
      </c>
      <c r="AQ80" s="158"/>
      <c r="AR80" s="154"/>
      <c r="AS80" s="153"/>
      <c r="AT80" s="154"/>
      <c r="AU80" s="153"/>
      <c r="AV80" s="154"/>
      <c r="AW80" s="153"/>
      <c r="AX80" s="154"/>
      <c r="AY80" s="153"/>
      <c r="AZ80" s="154"/>
      <c r="BA80" s="157" t="str">
        <v/>
      </c>
      <c r="BB80" s="157" t="str">
        <v/>
      </c>
      <c r="BC80" s="157" t="str">
        <v/>
      </c>
      <c r="BD80" s="157" t="str">
        <v/>
      </c>
      <c r="BE80" s="157" t="str">
        <v/>
      </c>
      <c r="BF80" s="157" t="str">
        <v/>
      </c>
      <c r="BG80" s="157" t="str">
        <v/>
      </c>
      <c r="BH80" s="157" t="str">
        <v/>
      </c>
      <c r="BI80" s="174" t="str">
        <v/>
      </c>
      <c r="BJ80" s="157" t="str">
        <v/>
      </c>
      <c r="BK80" s="159" t="str">
        <v/>
      </c>
      <c r="BL80" s="160" t="str">
        <v/>
      </c>
      <c r="BM80" s="160" t="str">
        <v/>
      </c>
      <c r="BN80" s="160" t="str">
        <v/>
      </c>
      <c r="BO80" s="160" t="str">
        <v/>
      </c>
      <c r="BP80" s="160" t="str">
        <v/>
      </c>
      <c r="BQ80" s="160" t="str">
        <v/>
      </c>
      <c r="BR80" s="160" t="str">
        <v/>
      </c>
      <c r="BS80" s="8" t="str">
        <v/>
      </c>
      <c r="BT80" s="161" t="str">
        <v/>
      </c>
      <c r="BU80" s="156"/>
      <c r="BV80" s="156"/>
    </row>
    <row r="81" spans="1:74">
      <c r="A81" s="163"/>
      <c r="B81" s="163"/>
      <c r="C81" s="158"/>
      <c r="D81" s="154"/>
      <c r="E81" s="153"/>
      <c r="F81" s="154"/>
      <c r="G81" s="153"/>
      <c r="H81" s="154"/>
      <c r="I81" s="153"/>
      <c r="J81" s="154"/>
      <c r="K81" s="153"/>
      <c r="L81" s="154"/>
      <c r="M81" s="157" t="str">
        <v/>
      </c>
      <c r="N81" s="157" t="str">
        <v/>
      </c>
      <c r="O81" s="157" t="str">
        <v/>
      </c>
      <c r="P81" s="157" t="str">
        <v/>
      </c>
      <c r="Q81" s="157" t="str">
        <v/>
      </c>
      <c r="R81" s="157" t="str">
        <v/>
      </c>
      <c r="S81" s="157" t="str">
        <v/>
      </c>
      <c r="T81" s="157" t="str">
        <v/>
      </c>
      <c r="U81" s="163" t="str">
        <v/>
      </c>
      <c r="V81" s="157" t="str">
        <v/>
      </c>
      <c r="W81" s="158"/>
      <c r="X81" s="154"/>
      <c r="Y81" s="153"/>
      <c r="Z81" s="154"/>
      <c r="AA81" s="153"/>
      <c r="AB81" s="154"/>
      <c r="AC81" s="153"/>
      <c r="AD81" s="154"/>
      <c r="AE81" s="153"/>
      <c r="AF81" s="154"/>
      <c r="AG81" s="157" t="str">
        <v/>
      </c>
      <c r="AH81" s="157" t="str">
        <v/>
      </c>
      <c r="AI81" s="157" t="str">
        <v/>
      </c>
      <c r="AJ81" s="157" t="str">
        <v/>
      </c>
      <c r="AK81" s="157" t="str">
        <v/>
      </c>
      <c r="AL81" s="157" t="str">
        <v/>
      </c>
      <c r="AM81" s="157" t="str">
        <v/>
      </c>
      <c r="AN81" s="157" t="str">
        <v/>
      </c>
      <c r="AO81" s="174" t="str">
        <v/>
      </c>
      <c r="AP81" s="157" t="str">
        <v/>
      </c>
      <c r="AQ81" s="158"/>
      <c r="AR81" s="154"/>
      <c r="AS81" s="153"/>
      <c r="AT81" s="154"/>
      <c r="AU81" s="153"/>
      <c r="AV81" s="154"/>
      <c r="AW81" s="153"/>
      <c r="AX81" s="154"/>
      <c r="AY81" s="153"/>
      <c r="AZ81" s="154"/>
      <c r="BA81" s="157" t="str">
        <v/>
      </c>
      <c r="BB81" s="157" t="str">
        <v/>
      </c>
      <c r="BC81" s="157" t="str">
        <v/>
      </c>
      <c r="BD81" s="157" t="str">
        <v/>
      </c>
      <c r="BE81" s="157" t="str">
        <v/>
      </c>
      <c r="BF81" s="157" t="str">
        <v/>
      </c>
      <c r="BG81" s="157" t="str">
        <v/>
      </c>
      <c r="BH81" s="157" t="str">
        <v/>
      </c>
      <c r="BI81" s="174" t="str">
        <v/>
      </c>
      <c r="BJ81" s="157" t="str">
        <v/>
      </c>
      <c r="BK81" s="159" t="str">
        <v/>
      </c>
      <c r="BL81" s="160" t="str">
        <v/>
      </c>
      <c r="BM81" s="160" t="str">
        <v/>
      </c>
      <c r="BN81" s="160" t="str">
        <v/>
      </c>
      <c r="BO81" s="160" t="str">
        <v/>
      </c>
      <c r="BP81" s="160" t="str">
        <v/>
      </c>
      <c r="BQ81" s="160" t="str">
        <v/>
      </c>
      <c r="BR81" s="160" t="str">
        <v/>
      </c>
      <c r="BS81" s="8" t="str">
        <v/>
      </c>
      <c r="BT81" s="161" t="str">
        <v/>
      </c>
      <c r="BU81" s="156"/>
      <c r="BV81" s="156"/>
    </row>
    <row r="82" spans="1:74">
      <c r="A82" s="163"/>
      <c r="B82" s="163"/>
      <c r="C82" s="158"/>
      <c r="D82" s="154"/>
      <c r="E82" s="153"/>
      <c r="F82" s="154"/>
      <c r="G82" s="153"/>
      <c r="H82" s="154"/>
      <c r="I82" s="153"/>
      <c r="J82" s="154"/>
      <c r="K82" s="153"/>
      <c r="L82" s="154"/>
      <c r="M82" s="157" t="str">
        <v/>
      </c>
      <c r="N82" s="157" t="str">
        <v/>
      </c>
      <c r="O82" s="157" t="str">
        <v/>
      </c>
      <c r="P82" s="157" t="str">
        <v/>
      </c>
      <c r="Q82" s="157" t="str">
        <v/>
      </c>
      <c r="R82" s="157" t="str">
        <v/>
      </c>
      <c r="S82" s="157" t="str">
        <v/>
      </c>
      <c r="T82" s="157" t="str">
        <v/>
      </c>
      <c r="U82" s="163" t="str">
        <v/>
      </c>
      <c r="V82" s="157" t="str">
        <v/>
      </c>
      <c r="W82" s="158"/>
      <c r="X82" s="154"/>
      <c r="Y82" s="153"/>
      <c r="Z82" s="154"/>
      <c r="AA82" s="153"/>
      <c r="AB82" s="154"/>
      <c r="AC82" s="153"/>
      <c r="AD82" s="154"/>
      <c r="AE82" s="153"/>
      <c r="AF82" s="154"/>
      <c r="AG82" s="157" t="str">
        <v/>
      </c>
      <c r="AH82" s="157" t="str">
        <v/>
      </c>
      <c r="AI82" s="157" t="str">
        <v/>
      </c>
      <c r="AJ82" s="157" t="str">
        <v/>
      </c>
      <c r="AK82" s="157" t="str">
        <v/>
      </c>
      <c r="AL82" s="157" t="str">
        <v/>
      </c>
      <c r="AM82" s="157" t="str">
        <v/>
      </c>
      <c r="AN82" s="157" t="str">
        <v/>
      </c>
      <c r="AO82" s="174" t="str">
        <v/>
      </c>
      <c r="AP82" s="157" t="str">
        <v/>
      </c>
      <c r="AQ82" s="158"/>
      <c r="AR82" s="154"/>
      <c r="AS82" s="153"/>
      <c r="AT82" s="154"/>
      <c r="AU82" s="153"/>
      <c r="AV82" s="154"/>
      <c r="AW82" s="153"/>
      <c r="AX82" s="154"/>
      <c r="AY82" s="153"/>
      <c r="AZ82" s="154"/>
      <c r="BA82" s="157" t="str">
        <v/>
      </c>
      <c r="BB82" s="157" t="str">
        <v/>
      </c>
      <c r="BC82" s="157" t="str">
        <v/>
      </c>
      <c r="BD82" s="157" t="str">
        <v/>
      </c>
      <c r="BE82" s="157" t="str">
        <v/>
      </c>
      <c r="BF82" s="157" t="str">
        <v/>
      </c>
      <c r="BG82" s="157" t="str">
        <v/>
      </c>
      <c r="BH82" s="157" t="str">
        <v/>
      </c>
      <c r="BI82" s="174" t="str">
        <v/>
      </c>
      <c r="BJ82" s="157" t="str">
        <v/>
      </c>
      <c r="BK82" s="159" t="str">
        <v/>
      </c>
      <c r="BL82" s="160" t="str">
        <v/>
      </c>
      <c r="BM82" s="160" t="str">
        <v/>
      </c>
      <c r="BN82" s="160" t="str">
        <v/>
      </c>
      <c r="BO82" s="160" t="str">
        <v/>
      </c>
      <c r="BP82" s="160" t="str">
        <v/>
      </c>
      <c r="BQ82" s="160" t="str">
        <v/>
      </c>
      <c r="BR82" s="160" t="str">
        <v/>
      </c>
      <c r="BS82" s="8" t="str">
        <v/>
      </c>
      <c r="BT82" s="161" t="str">
        <v/>
      </c>
      <c r="BU82" s="156"/>
      <c r="BV82" s="156"/>
    </row>
    <row r="83" spans="1:74">
      <c r="A83" s="163"/>
      <c r="B83" s="163"/>
      <c r="C83" s="158"/>
      <c r="D83" s="154"/>
      <c r="E83" s="153"/>
      <c r="F83" s="154"/>
      <c r="G83" s="153"/>
      <c r="H83" s="154"/>
      <c r="I83" s="153"/>
      <c r="J83" s="154"/>
      <c r="K83" s="153"/>
      <c r="L83" s="154"/>
      <c r="M83" s="157" t="str">
        <v/>
      </c>
      <c r="N83" s="157" t="str">
        <v/>
      </c>
      <c r="O83" s="157" t="str">
        <v/>
      </c>
      <c r="P83" s="157" t="str">
        <v/>
      </c>
      <c r="Q83" s="157" t="str">
        <v/>
      </c>
      <c r="R83" s="157" t="str">
        <v/>
      </c>
      <c r="S83" s="157" t="str">
        <v/>
      </c>
      <c r="T83" s="157" t="str">
        <v/>
      </c>
      <c r="U83" s="163" t="str">
        <v/>
      </c>
      <c r="V83" s="157" t="str">
        <v/>
      </c>
      <c r="W83" s="158"/>
      <c r="X83" s="154"/>
      <c r="Y83" s="153"/>
      <c r="Z83" s="154"/>
      <c r="AA83" s="153"/>
      <c r="AB83" s="154"/>
      <c r="AC83" s="153"/>
      <c r="AD83" s="154"/>
      <c r="AE83" s="153"/>
      <c r="AF83" s="154"/>
      <c r="AG83" s="157" t="str">
        <v/>
      </c>
      <c r="AH83" s="157" t="str">
        <v/>
      </c>
      <c r="AI83" s="157" t="str">
        <v/>
      </c>
      <c r="AJ83" s="157" t="str">
        <v/>
      </c>
      <c r="AK83" s="157" t="str">
        <v/>
      </c>
      <c r="AL83" s="157" t="str">
        <v/>
      </c>
      <c r="AM83" s="157" t="str">
        <v/>
      </c>
      <c r="AN83" s="157" t="str">
        <v/>
      </c>
      <c r="AO83" s="174" t="str">
        <v/>
      </c>
      <c r="AP83" s="157" t="str">
        <v/>
      </c>
      <c r="AQ83" s="158"/>
      <c r="AR83" s="154"/>
      <c r="AS83" s="153"/>
      <c r="AT83" s="154"/>
      <c r="AU83" s="153"/>
      <c r="AV83" s="154"/>
      <c r="AW83" s="153"/>
      <c r="AX83" s="154"/>
      <c r="AY83" s="153"/>
      <c r="AZ83" s="154"/>
      <c r="BA83" s="157" t="str">
        <v/>
      </c>
      <c r="BB83" s="157" t="str">
        <v/>
      </c>
      <c r="BC83" s="157" t="str">
        <v/>
      </c>
      <c r="BD83" s="157" t="str">
        <v/>
      </c>
      <c r="BE83" s="157" t="str">
        <v/>
      </c>
      <c r="BF83" s="157" t="str">
        <v/>
      </c>
      <c r="BG83" s="157" t="str">
        <v/>
      </c>
      <c r="BH83" s="157" t="str">
        <v/>
      </c>
      <c r="BI83" s="174" t="str">
        <v/>
      </c>
      <c r="BJ83" s="157" t="str">
        <v/>
      </c>
      <c r="BK83" s="159" t="str">
        <v/>
      </c>
      <c r="BL83" s="160" t="str">
        <v/>
      </c>
      <c r="BM83" s="160" t="str">
        <v/>
      </c>
      <c r="BN83" s="160" t="str">
        <v/>
      </c>
      <c r="BO83" s="160" t="str">
        <v/>
      </c>
      <c r="BP83" s="160" t="str">
        <v/>
      </c>
      <c r="BQ83" s="160" t="str">
        <v/>
      </c>
      <c r="BR83" s="160" t="str">
        <v/>
      </c>
      <c r="BS83" s="8" t="str">
        <v/>
      </c>
      <c r="BT83" s="161" t="str">
        <v/>
      </c>
      <c r="BU83" s="156"/>
      <c r="BV83" s="156"/>
    </row>
    <row r="84" spans="1:74">
      <c r="A84" s="163"/>
      <c r="B84" s="163"/>
      <c r="C84" s="158"/>
      <c r="D84" s="154"/>
      <c r="E84" s="153"/>
      <c r="F84" s="154"/>
      <c r="G84" s="153"/>
      <c r="H84" s="154"/>
      <c r="I84" s="153"/>
      <c r="J84" s="154"/>
      <c r="K84" s="153"/>
      <c r="L84" s="154"/>
      <c r="M84" s="157" t="str">
        <v/>
      </c>
      <c r="N84" s="157" t="str">
        <v/>
      </c>
      <c r="O84" s="157" t="str">
        <v/>
      </c>
      <c r="P84" s="157" t="str">
        <v/>
      </c>
      <c r="Q84" s="157" t="str">
        <v/>
      </c>
      <c r="R84" s="157" t="str">
        <v/>
      </c>
      <c r="S84" s="157" t="str">
        <v/>
      </c>
      <c r="T84" s="157" t="str">
        <v/>
      </c>
      <c r="U84" s="163" t="str">
        <v/>
      </c>
      <c r="V84" s="157" t="str">
        <v/>
      </c>
      <c r="W84" s="158"/>
      <c r="X84" s="154"/>
      <c r="Y84" s="153"/>
      <c r="Z84" s="154"/>
      <c r="AA84" s="153"/>
      <c r="AB84" s="154"/>
      <c r="AC84" s="153"/>
      <c r="AD84" s="154"/>
      <c r="AE84" s="153"/>
      <c r="AF84" s="154"/>
      <c r="AG84" s="157" t="str">
        <v/>
      </c>
      <c r="AH84" s="157" t="str">
        <v/>
      </c>
      <c r="AI84" s="157" t="str">
        <v/>
      </c>
      <c r="AJ84" s="157" t="str">
        <v/>
      </c>
      <c r="AK84" s="157" t="str">
        <v/>
      </c>
      <c r="AL84" s="157" t="str">
        <v/>
      </c>
      <c r="AM84" s="157" t="str">
        <v/>
      </c>
      <c r="AN84" s="157" t="str">
        <v/>
      </c>
      <c r="AO84" s="174" t="str">
        <v/>
      </c>
      <c r="AP84" s="157" t="str">
        <v/>
      </c>
      <c r="AQ84" s="158"/>
      <c r="AR84" s="154"/>
      <c r="AS84" s="153"/>
      <c r="AT84" s="154"/>
      <c r="AU84" s="153"/>
      <c r="AV84" s="154"/>
      <c r="AW84" s="153"/>
      <c r="AX84" s="154"/>
      <c r="AY84" s="153"/>
      <c r="AZ84" s="154"/>
      <c r="BA84" s="157" t="str">
        <v/>
      </c>
      <c r="BB84" s="157" t="str">
        <v/>
      </c>
      <c r="BC84" s="157" t="str">
        <v/>
      </c>
      <c r="BD84" s="157" t="str">
        <v/>
      </c>
      <c r="BE84" s="157" t="str">
        <v/>
      </c>
      <c r="BF84" s="157" t="str">
        <v/>
      </c>
      <c r="BG84" s="157" t="str">
        <v/>
      </c>
      <c r="BH84" s="157" t="str">
        <v/>
      </c>
      <c r="BI84" s="174" t="str">
        <v/>
      </c>
      <c r="BJ84" s="157" t="str">
        <v/>
      </c>
      <c r="BK84" s="159" t="str">
        <v/>
      </c>
      <c r="BL84" s="160" t="str">
        <v/>
      </c>
      <c r="BM84" s="160" t="str">
        <v/>
      </c>
      <c r="BN84" s="160" t="str">
        <v/>
      </c>
      <c r="BO84" s="160" t="str">
        <v/>
      </c>
      <c r="BP84" s="160" t="str">
        <v/>
      </c>
      <c r="BQ84" s="160" t="str">
        <v/>
      </c>
      <c r="BR84" s="160" t="str">
        <v/>
      </c>
      <c r="BS84" s="8" t="str">
        <v/>
      </c>
      <c r="BT84" s="161" t="str">
        <v/>
      </c>
      <c r="BU84" s="156"/>
      <c r="BV84" s="156"/>
    </row>
    <row r="85" spans="1:74">
      <c r="A85" s="163"/>
      <c r="B85" s="163"/>
      <c r="C85" s="158"/>
      <c r="D85" s="154"/>
      <c r="E85" s="153"/>
      <c r="F85" s="154"/>
      <c r="G85" s="153"/>
      <c r="H85" s="154"/>
      <c r="I85" s="153"/>
      <c r="J85" s="154"/>
      <c r="K85" s="153"/>
      <c r="L85" s="154"/>
      <c r="M85" s="157" t="str">
        <v/>
      </c>
      <c r="N85" s="157" t="str">
        <v/>
      </c>
      <c r="O85" s="157" t="str">
        <v/>
      </c>
      <c r="P85" s="157" t="str">
        <v/>
      </c>
      <c r="Q85" s="157" t="str">
        <v/>
      </c>
      <c r="R85" s="157" t="str">
        <v/>
      </c>
      <c r="S85" s="157" t="str">
        <v/>
      </c>
      <c r="T85" s="157" t="str">
        <v/>
      </c>
      <c r="U85" s="163" t="str">
        <v/>
      </c>
      <c r="V85" s="157" t="str">
        <v/>
      </c>
      <c r="W85" s="158"/>
      <c r="X85" s="154"/>
      <c r="Y85" s="153"/>
      <c r="Z85" s="154"/>
      <c r="AA85" s="153"/>
      <c r="AB85" s="154"/>
      <c r="AC85" s="153"/>
      <c r="AD85" s="154"/>
      <c r="AE85" s="153"/>
      <c r="AF85" s="154"/>
      <c r="AG85" s="157" t="str">
        <v/>
      </c>
      <c r="AH85" s="157" t="str">
        <v/>
      </c>
      <c r="AI85" s="157" t="str">
        <v/>
      </c>
      <c r="AJ85" s="157" t="str">
        <v/>
      </c>
      <c r="AK85" s="157" t="str">
        <v/>
      </c>
      <c r="AL85" s="157" t="str">
        <v/>
      </c>
      <c r="AM85" s="157" t="str">
        <v/>
      </c>
      <c r="AN85" s="157" t="str">
        <v/>
      </c>
      <c r="AO85" s="174" t="str">
        <v/>
      </c>
      <c r="AP85" s="157" t="str">
        <v/>
      </c>
      <c r="AQ85" s="158"/>
      <c r="AR85" s="154"/>
      <c r="AS85" s="153"/>
      <c r="AT85" s="154"/>
      <c r="AU85" s="153"/>
      <c r="AV85" s="154"/>
      <c r="AW85" s="153"/>
      <c r="AX85" s="154"/>
      <c r="AY85" s="153"/>
      <c r="AZ85" s="154"/>
      <c r="BA85" s="157" t="str">
        <v/>
      </c>
      <c r="BB85" s="157" t="str">
        <v/>
      </c>
      <c r="BC85" s="157" t="str">
        <v/>
      </c>
      <c r="BD85" s="157" t="str">
        <v/>
      </c>
      <c r="BE85" s="157" t="str">
        <v/>
      </c>
      <c r="BF85" s="157" t="str">
        <v/>
      </c>
      <c r="BG85" s="157" t="str">
        <v/>
      </c>
      <c r="BH85" s="157" t="str">
        <v/>
      </c>
      <c r="BI85" s="174" t="str">
        <v/>
      </c>
      <c r="BJ85" s="157" t="str">
        <v/>
      </c>
      <c r="BK85" s="159" t="str">
        <v/>
      </c>
      <c r="BL85" s="160" t="str">
        <v/>
      </c>
      <c r="BM85" s="160" t="str">
        <v/>
      </c>
      <c r="BN85" s="160" t="str">
        <v/>
      </c>
      <c r="BO85" s="160" t="str">
        <v/>
      </c>
      <c r="BP85" s="160" t="str">
        <v/>
      </c>
      <c r="BQ85" s="160" t="str">
        <v/>
      </c>
      <c r="BR85" s="160" t="str">
        <v/>
      </c>
      <c r="BS85" s="8" t="str">
        <v/>
      </c>
      <c r="BT85" s="161" t="str">
        <v/>
      </c>
      <c r="BU85" s="156"/>
      <c r="BV85" s="156"/>
    </row>
    <row r="86" spans="1:74">
      <c r="A86" s="163"/>
      <c r="B86" s="163"/>
      <c r="C86" s="158"/>
      <c r="D86" s="154"/>
      <c r="E86" s="153"/>
      <c r="F86" s="154"/>
      <c r="G86" s="153"/>
      <c r="H86" s="154"/>
      <c r="I86" s="153"/>
      <c r="J86" s="154"/>
      <c r="K86" s="153"/>
      <c r="L86" s="154"/>
      <c r="M86" s="157" t="str">
        <v/>
      </c>
      <c r="N86" s="157" t="str">
        <v/>
      </c>
      <c r="O86" s="157" t="str">
        <v/>
      </c>
      <c r="P86" s="157" t="str">
        <v/>
      </c>
      <c r="Q86" s="157" t="str">
        <v/>
      </c>
      <c r="R86" s="157" t="str">
        <v/>
      </c>
      <c r="S86" s="157" t="str">
        <v/>
      </c>
      <c r="T86" s="157" t="str">
        <v/>
      </c>
      <c r="U86" s="163" t="str">
        <v/>
      </c>
      <c r="V86" s="157" t="str">
        <v/>
      </c>
      <c r="W86" s="158"/>
      <c r="X86" s="154"/>
      <c r="Y86" s="153"/>
      <c r="Z86" s="154"/>
      <c r="AA86" s="153"/>
      <c r="AB86" s="154"/>
      <c r="AC86" s="153"/>
      <c r="AD86" s="154"/>
      <c r="AE86" s="153"/>
      <c r="AF86" s="154"/>
      <c r="AG86" s="157" t="str">
        <v/>
      </c>
      <c r="AH86" s="157" t="str">
        <v/>
      </c>
      <c r="AI86" s="157" t="str">
        <v/>
      </c>
      <c r="AJ86" s="157" t="str">
        <v/>
      </c>
      <c r="AK86" s="157" t="str">
        <v/>
      </c>
      <c r="AL86" s="157" t="str">
        <v/>
      </c>
      <c r="AM86" s="157" t="str">
        <v/>
      </c>
      <c r="AN86" s="157" t="str">
        <v/>
      </c>
      <c r="AO86" s="174" t="str">
        <v/>
      </c>
      <c r="AP86" s="157" t="str">
        <v/>
      </c>
      <c r="AQ86" s="158"/>
      <c r="AR86" s="154"/>
      <c r="AS86" s="153"/>
      <c r="AT86" s="154"/>
      <c r="AU86" s="153"/>
      <c r="AV86" s="154"/>
      <c r="AW86" s="153"/>
      <c r="AX86" s="154"/>
      <c r="AY86" s="153"/>
      <c r="AZ86" s="154"/>
      <c r="BA86" s="157" t="str">
        <v/>
      </c>
      <c r="BB86" s="157" t="str">
        <v/>
      </c>
      <c r="BC86" s="157" t="str">
        <v/>
      </c>
      <c r="BD86" s="157" t="str">
        <v/>
      </c>
      <c r="BE86" s="157" t="str">
        <v/>
      </c>
      <c r="BF86" s="157" t="str">
        <v/>
      </c>
      <c r="BG86" s="157" t="str">
        <v/>
      </c>
      <c r="BH86" s="157" t="str">
        <v/>
      </c>
      <c r="BI86" s="174" t="str">
        <v/>
      </c>
      <c r="BJ86" s="157" t="str">
        <v/>
      </c>
      <c r="BK86" s="159" t="str">
        <v/>
      </c>
      <c r="BL86" s="160" t="str">
        <v/>
      </c>
      <c r="BM86" s="160" t="str">
        <v/>
      </c>
      <c r="BN86" s="160" t="str">
        <v/>
      </c>
      <c r="BO86" s="160" t="str">
        <v/>
      </c>
      <c r="BP86" s="160" t="str">
        <v/>
      </c>
      <c r="BQ86" s="160" t="str">
        <v/>
      </c>
      <c r="BR86" s="160" t="str">
        <v/>
      </c>
      <c r="BS86" s="8" t="str">
        <v/>
      </c>
      <c r="BT86" s="161" t="str">
        <v/>
      </c>
      <c r="BU86" s="156"/>
      <c r="BV86" s="156"/>
    </row>
    <row r="87" spans="1:74">
      <c r="A87" s="163"/>
      <c r="B87" s="163"/>
      <c r="C87" s="158"/>
      <c r="D87" s="154"/>
      <c r="E87" s="153"/>
      <c r="F87" s="154"/>
      <c r="G87" s="153"/>
      <c r="H87" s="154"/>
      <c r="I87" s="153"/>
      <c r="J87" s="154"/>
      <c r="K87" s="153"/>
      <c r="L87" s="154"/>
      <c r="M87" s="157" t="str">
        <v/>
      </c>
      <c r="N87" s="157" t="str">
        <v/>
      </c>
      <c r="O87" s="157" t="str">
        <v/>
      </c>
      <c r="P87" s="157" t="str">
        <v/>
      </c>
      <c r="Q87" s="157" t="str">
        <v/>
      </c>
      <c r="R87" s="157" t="str">
        <v/>
      </c>
      <c r="S87" s="157" t="str">
        <v/>
      </c>
      <c r="T87" s="157" t="str">
        <v/>
      </c>
      <c r="U87" s="163" t="str">
        <v/>
      </c>
      <c r="V87" s="157" t="str">
        <v/>
      </c>
      <c r="W87" s="158"/>
      <c r="X87" s="154"/>
      <c r="Y87" s="153"/>
      <c r="Z87" s="154"/>
      <c r="AA87" s="153"/>
      <c r="AB87" s="154"/>
      <c r="AC87" s="153"/>
      <c r="AD87" s="154"/>
      <c r="AE87" s="153"/>
      <c r="AF87" s="154"/>
      <c r="AG87" s="157" t="str">
        <v/>
      </c>
      <c r="AH87" s="157" t="str">
        <v/>
      </c>
      <c r="AI87" s="157" t="str">
        <v/>
      </c>
      <c r="AJ87" s="157" t="str">
        <v/>
      </c>
      <c r="AK87" s="157" t="str">
        <v/>
      </c>
      <c r="AL87" s="157" t="str">
        <v/>
      </c>
      <c r="AM87" s="157" t="str">
        <v/>
      </c>
      <c r="AN87" s="157" t="str">
        <v/>
      </c>
      <c r="AO87" s="174" t="str">
        <v/>
      </c>
      <c r="AP87" s="157" t="str">
        <v/>
      </c>
      <c r="AQ87" s="158"/>
      <c r="AR87" s="154"/>
      <c r="AS87" s="153"/>
      <c r="AT87" s="154"/>
      <c r="AU87" s="153"/>
      <c r="AV87" s="154"/>
      <c r="AW87" s="153"/>
      <c r="AX87" s="154"/>
      <c r="AY87" s="153"/>
      <c r="AZ87" s="154"/>
      <c r="BA87" s="157" t="str">
        <v/>
      </c>
      <c r="BB87" s="157" t="str">
        <v/>
      </c>
      <c r="BC87" s="157" t="str">
        <v/>
      </c>
      <c r="BD87" s="157" t="str">
        <v/>
      </c>
      <c r="BE87" s="157" t="str">
        <v/>
      </c>
      <c r="BF87" s="157" t="str">
        <v/>
      </c>
      <c r="BG87" s="157" t="str">
        <v/>
      </c>
      <c r="BH87" s="157" t="str">
        <v/>
      </c>
      <c r="BI87" s="174" t="str">
        <v/>
      </c>
      <c r="BJ87" s="157" t="str">
        <v/>
      </c>
      <c r="BK87" s="159" t="str">
        <v/>
      </c>
      <c r="BL87" s="160" t="str">
        <v/>
      </c>
      <c r="BM87" s="160" t="str">
        <v/>
      </c>
      <c r="BN87" s="160" t="str">
        <v/>
      </c>
      <c r="BO87" s="160" t="str">
        <v/>
      </c>
      <c r="BP87" s="160" t="str">
        <v/>
      </c>
      <c r="BQ87" s="160" t="str">
        <v/>
      </c>
      <c r="BR87" s="160" t="str">
        <v/>
      </c>
      <c r="BS87" s="8" t="str">
        <v/>
      </c>
      <c r="BT87" s="161" t="str">
        <v/>
      </c>
      <c r="BU87" s="156"/>
      <c r="BV87" s="156"/>
    </row>
    <row r="88" spans="1:74">
      <c r="A88" s="163"/>
      <c r="B88" s="163"/>
      <c r="C88" s="158"/>
      <c r="D88" s="154"/>
      <c r="E88" s="153"/>
      <c r="F88" s="154"/>
      <c r="G88" s="153"/>
      <c r="H88" s="154"/>
      <c r="I88" s="153"/>
      <c r="J88" s="154"/>
      <c r="K88" s="153"/>
      <c r="L88" s="154"/>
      <c r="M88" s="157" t="str">
        <v/>
      </c>
      <c r="N88" s="157" t="str">
        <v/>
      </c>
      <c r="O88" s="157" t="str">
        <v/>
      </c>
      <c r="P88" s="157" t="str">
        <v/>
      </c>
      <c r="Q88" s="157" t="str">
        <v/>
      </c>
      <c r="R88" s="157" t="str">
        <v/>
      </c>
      <c r="S88" s="157" t="str">
        <v/>
      </c>
      <c r="T88" s="157" t="str">
        <v/>
      </c>
      <c r="U88" s="163" t="str">
        <v/>
      </c>
      <c r="V88" s="157" t="str">
        <v/>
      </c>
      <c r="W88" s="158"/>
      <c r="X88" s="154"/>
      <c r="Y88" s="153"/>
      <c r="Z88" s="154"/>
      <c r="AA88" s="153"/>
      <c r="AB88" s="154"/>
      <c r="AC88" s="153"/>
      <c r="AD88" s="154"/>
      <c r="AE88" s="153"/>
      <c r="AF88" s="154"/>
      <c r="AG88" s="157" t="str">
        <v/>
      </c>
      <c r="AH88" s="157" t="str">
        <v/>
      </c>
      <c r="AI88" s="157" t="str">
        <v/>
      </c>
      <c r="AJ88" s="157" t="str">
        <v/>
      </c>
      <c r="AK88" s="157" t="str">
        <v/>
      </c>
      <c r="AL88" s="157" t="str">
        <v/>
      </c>
      <c r="AM88" s="157" t="str">
        <v/>
      </c>
      <c r="AN88" s="157" t="str">
        <v/>
      </c>
      <c r="AO88" s="174" t="str">
        <v/>
      </c>
      <c r="AP88" s="157" t="str">
        <v/>
      </c>
      <c r="AQ88" s="158"/>
      <c r="AR88" s="154"/>
      <c r="AS88" s="153"/>
      <c r="AT88" s="154"/>
      <c r="AU88" s="153"/>
      <c r="AV88" s="154"/>
      <c r="AW88" s="153"/>
      <c r="AX88" s="154"/>
      <c r="AY88" s="153"/>
      <c r="AZ88" s="154"/>
      <c r="BA88" s="157" t="str">
        <v/>
      </c>
      <c r="BB88" s="157" t="str">
        <v/>
      </c>
      <c r="BC88" s="157" t="str">
        <v/>
      </c>
      <c r="BD88" s="157" t="str">
        <v/>
      </c>
      <c r="BE88" s="157" t="str">
        <v/>
      </c>
      <c r="BF88" s="157" t="str">
        <v/>
      </c>
      <c r="BG88" s="157" t="str">
        <v/>
      </c>
      <c r="BH88" s="157" t="str">
        <v/>
      </c>
      <c r="BI88" s="174" t="str">
        <v/>
      </c>
      <c r="BJ88" s="157" t="str">
        <v/>
      </c>
      <c r="BK88" s="159" t="str">
        <v/>
      </c>
      <c r="BL88" s="160" t="str">
        <v/>
      </c>
      <c r="BM88" s="160" t="str">
        <v/>
      </c>
      <c r="BN88" s="160" t="str">
        <v/>
      </c>
      <c r="BO88" s="160" t="str">
        <v/>
      </c>
      <c r="BP88" s="160" t="str">
        <v/>
      </c>
      <c r="BQ88" s="160" t="str">
        <v/>
      </c>
      <c r="BR88" s="160" t="str">
        <v/>
      </c>
      <c r="BS88" s="8" t="str">
        <v/>
      </c>
      <c r="BT88" s="161" t="str">
        <v/>
      </c>
      <c r="BU88" s="156"/>
      <c r="BV88" s="156"/>
    </row>
    <row r="89" spans="1:74">
      <c r="A89" s="163"/>
      <c r="B89" s="163"/>
      <c r="C89" s="158"/>
      <c r="D89" s="154"/>
      <c r="E89" s="153"/>
      <c r="F89" s="154"/>
      <c r="G89" s="153"/>
      <c r="H89" s="154"/>
      <c r="I89" s="153"/>
      <c r="J89" s="154"/>
      <c r="K89" s="153"/>
      <c r="L89" s="154"/>
      <c r="M89" s="157" t="str">
        <v/>
      </c>
      <c r="N89" s="157" t="str">
        <v/>
      </c>
      <c r="O89" s="157" t="str">
        <v/>
      </c>
      <c r="P89" s="157" t="str">
        <v/>
      </c>
      <c r="Q89" s="157" t="str">
        <v/>
      </c>
      <c r="R89" s="157" t="str">
        <v/>
      </c>
      <c r="S89" s="157" t="str">
        <v/>
      </c>
      <c r="T89" s="157" t="str">
        <v/>
      </c>
      <c r="U89" s="163" t="str">
        <v/>
      </c>
      <c r="V89" s="157" t="str">
        <v/>
      </c>
      <c r="W89" s="158"/>
      <c r="X89" s="154"/>
      <c r="Y89" s="153"/>
      <c r="Z89" s="154"/>
      <c r="AA89" s="153"/>
      <c r="AB89" s="154"/>
      <c r="AC89" s="153"/>
      <c r="AD89" s="154"/>
      <c r="AE89" s="153"/>
      <c r="AF89" s="154"/>
      <c r="AG89" s="157" t="str">
        <v/>
      </c>
      <c r="AH89" s="157" t="str">
        <v/>
      </c>
      <c r="AI89" s="157" t="str">
        <v/>
      </c>
      <c r="AJ89" s="157" t="str">
        <v/>
      </c>
      <c r="AK89" s="157" t="str">
        <v/>
      </c>
      <c r="AL89" s="157" t="str">
        <v/>
      </c>
      <c r="AM89" s="157" t="str">
        <v/>
      </c>
      <c r="AN89" s="157" t="str">
        <v/>
      </c>
      <c r="AO89" s="174" t="str">
        <v/>
      </c>
      <c r="AP89" s="157" t="str">
        <v/>
      </c>
      <c r="AQ89" s="158"/>
      <c r="AR89" s="154"/>
      <c r="AS89" s="153"/>
      <c r="AT89" s="154"/>
      <c r="AU89" s="153"/>
      <c r="AV89" s="154"/>
      <c r="AW89" s="153"/>
      <c r="AX89" s="154"/>
      <c r="AY89" s="153"/>
      <c r="AZ89" s="154"/>
      <c r="BA89" s="157" t="str">
        <v/>
      </c>
      <c r="BB89" s="157" t="str">
        <v/>
      </c>
      <c r="BC89" s="157" t="str">
        <v/>
      </c>
      <c r="BD89" s="157" t="str">
        <v/>
      </c>
      <c r="BE89" s="157" t="str">
        <v/>
      </c>
      <c r="BF89" s="157" t="str">
        <v/>
      </c>
      <c r="BG89" s="157" t="str">
        <v/>
      </c>
      <c r="BH89" s="157" t="str">
        <v/>
      </c>
      <c r="BI89" s="174" t="str">
        <v/>
      </c>
      <c r="BJ89" s="157" t="str">
        <v/>
      </c>
      <c r="BK89" s="159" t="str">
        <v/>
      </c>
      <c r="BL89" s="160" t="str">
        <v/>
      </c>
      <c r="BM89" s="160" t="str">
        <v/>
      </c>
      <c r="BN89" s="160" t="str">
        <v/>
      </c>
      <c r="BO89" s="160" t="str">
        <v/>
      </c>
      <c r="BP89" s="160" t="str">
        <v/>
      </c>
      <c r="BQ89" s="160" t="str">
        <v/>
      </c>
      <c r="BR89" s="160" t="str">
        <v/>
      </c>
      <c r="BS89" s="8" t="str">
        <v/>
      </c>
      <c r="BT89" s="161" t="str">
        <v/>
      </c>
      <c r="BU89" s="156"/>
      <c r="BV89" s="156"/>
    </row>
    <row r="90" spans="1:74">
      <c r="A90" s="163"/>
      <c r="B90" s="163"/>
      <c r="C90" s="158"/>
      <c r="D90" s="154"/>
      <c r="E90" s="153"/>
      <c r="F90" s="154"/>
      <c r="G90" s="153"/>
      <c r="H90" s="154"/>
      <c r="I90" s="153"/>
      <c r="J90" s="154"/>
      <c r="K90" s="153"/>
      <c r="L90" s="154"/>
      <c r="M90" s="157" t="str">
        <v/>
      </c>
      <c r="N90" s="157" t="str">
        <v/>
      </c>
      <c r="O90" s="157" t="str">
        <v/>
      </c>
      <c r="P90" s="157" t="str">
        <v/>
      </c>
      <c r="Q90" s="157" t="str">
        <v/>
      </c>
      <c r="R90" s="157" t="str">
        <v/>
      </c>
      <c r="S90" s="157" t="str">
        <v/>
      </c>
      <c r="T90" s="157" t="str">
        <v/>
      </c>
      <c r="U90" s="163" t="str">
        <v/>
      </c>
      <c r="V90" s="157" t="str">
        <v/>
      </c>
      <c r="W90" s="158"/>
      <c r="X90" s="154"/>
      <c r="Y90" s="153"/>
      <c r="Z90" s="154"/>
      <c r="AA90" s="153"/>
      <c r="AB90" s="154"/>
      <c r="AC90" s="153"/>
      <c r="AD90" s="154"/>
      <c r="AE90" s="153"/>
      <c r="AF90" s="154"/>
      <c r="AG90" s="157" t="str">
        <v/>
      </c>
      <c r="AH90" s="157" t="str">
        <v/>
      </c>
      <c r="AI90" s="157" t="str">
        <v/>
      </c>
      <c r="AJ90" s="157" t="str">
        <v/>
      </c>
      <c r="AK90" s="157" t="str">
        <v/>
      </c>
      <c r="AL90" s="157" t="str">
        <v/>
      </c>
      <c r="AM90" s="157" t="str">
        <v/>
      </c>
      <c r="AN90" s="157" t="str">
        <v/>
      </c>
      <c r="AO90" s="174" t="str">
        <v/>
      </c>
      <c r="AP90" s="157" t="str">
        <v/>
      </c>
      <c r="AQ90" s="158"/>
      <c r="AR90" s="154"/>
      <c r="AS90" s="153"/>
      <c r="AT90" s="154"/>
      <c r="AU90" s="153"/>
      <c r="AV90" s="154"/>
      <c r="AW90" s="153"/>
      <c r="AX90" s="154"/>
      <c r="AY90" s="153"/>
      <c r="AZ90" s="154"/>
      <c r="BA90" s="157" t="str">
        <v/>
      </c>
      <c r="BB90" s="157" t="str">
        <v/>
      </c>
      <c r="BC90" s="157" t="str">
        <v/>
      </c>
      <c r="BD90" s="157" t="str">
        <v/>
      </c>
      <c r="BE90" s="157" t="str">
        <v/>
      </c>
      <c r="BF90" s="157" t="str">
        <v/>
      </c>
      <c r="BG90" s="157" t="str">
        <v/>
      </c>
      <c r="BH90" s="157" t="str">
        <v/>
      </c>
      <c r="BI90" s="174" t="str">
        <v/>
      </c>
      <c r="BJ90" s="157" t="str">
        <v/>
      </c>
      <c r="BK90" s="159" t="str">
        <v/>
      </c>
      <c r="BL90" s="160" t="str">
        <v/>
      </c>
      <c r="BM90" s="160" t="str">
        <v/>
      </c>
      <c r="BN90" s="160" t="str">
        <v/>
      </c>
      <c r="BO90" s="160" t="str">
        <v/>
      </c>
      <c r="BP90" s="160" t="str">
        <v/>
      </c>
      <c r="BQ90" s="160" t="str">
        <v/>
      </c>
      <c r="BR90" s="160" t="str">
        <v/>
      </c>
      <c r="BS90" s="8" t="str">
        <v/>
      </c>
      <c r="BT90" s="161" t="str">
        <v/>
      </c>
      <c r="BU90" s="156"/>
      <c r="BV90" s="156"/>
    </row>
    <row r="91" spans="1:74">
      <c r="A91" s="163"/>
      <c r="B91" s="163"/>
      <c r="C91" s="158"/>
      <c r="D91" s="154"/>
      <c r="E91" s="153"/>
      <c r="F91" s="154"/>
      <c r="G91" s="153"/>
      <c r="H91" s="154"/>
      <c r="I91" s="153"/>
      <c r="J91" s="154"/>
      <c r="K91" s="153"/>
      <c r="L91" s="154"/>
      <c r="M91" s="157" t="str">
        <v/>
      </c>
      <c r="N91" s="157" t="str">
        <v/>
      </c>
      <c r="O91" s="157" t="str">
        <v/>
      </c>
      <c r="P91" s="157" t="str">
        <v/>
      </c>
      <c r="Q91" s="157" t="str">
        <v/>
      </c>
      <c r="R91" s="157" t="str">
        <v/>
      </c>
      <c r="S91" s="157" t="str">
        <v/>
      </c>
      <c r="T91" s="157" t="str">
        <v/>
      </c>
      <c r="U91" s="163" t="str">
        <v/>
      </c>
      <c r="V91" s="157" t="str">
        <v/>
      </c>
      <c r="W91" s="158"/>
      <c r="X91" s="154"/>
      <c r="Y91" s="153"/>
      <c r="Z91" s="154"/>
      <c r="AA91" s="153"/>
      <c r="AB91" s="154"/>
      <c r="AC91" s="153"/>
      <c r="AD91" s="154"/>
      <c r="AE91" s="153"/>
      <c r="AF91" s="154"/>
      <c r="AG91" s="157" t="str">
        <v/>
      </c>
      <c r="AH91" s="157" t="str">
        <v/>
      </c>
      <c r="AI91" s="157" t="str">
        <v/>
      </c>
      <c r="AJ91" s="157" t="str">
        <v/>
      </c>
      <c r="AK91" s="157" t="str">
        <v/>
      </c>
      <c r="AL91" s="157" t="str">
        <v/>
      </c>
      <c r="AM91" s="157" t="str">
        <v/>
      </c>
      <c r="AN91" s="157" t="str">
        <v/>
      </c>
      <c r="AO91" s="174" t="str">
        <v/>
      </c>
      <c r="AP91" s="157" t="str">
        <v/>
      </c>
      <c r="AQ91" s="158"/>
      <c r="AR91" s="154"/>
      <c r="AS91" s="153"/>
      <c r="AT91" s="154"/>
      <c r="AU91" s="153"/>
      <c r="AV91" s="154"/>
      <c r="AW91" s="153"/>
      <c r="AX91" s="154"/>
      <c r="AY91" s="153"/>
      <c r="AZ91" s="154"/>
      <c r="BA91" s="157" t="str">
        <v/>
      </c>
      <c r="BB91" s="157" t="str">
        <v/>
      </c>
      <c r="BC91" s="157" t="str">
        <v/>
      </c>
      <c r="BD91" s="157" t="str">
        <v/>
      </c>
      <c r="BE91" s="157" t="str">
        <v/>
      </c>
      <c r="BF91" s="157" t="str">
        <v/>
      </c>
      <c r="BG91" s="157" t="str">
        <v/>
      </c>
      <c r="BH91" s="157" t="str">
        <v/>
      </c>
      <c r="BI91" s="174" t="str">
        <v/>
      </c>
      <c r="BJ91" s="157" t="str">
        <v/>
      </c>
      <c r="BK91" s="159" t="str">
        <v/>
      </c>
      <c r="BL91" s="160" t="str">
        <v/>
      </c>
      <c r="BM91" s="160" t="str">
        <v/>
      </c>
      <c r="BN91" s="160" t="str">
        <v/>
      </c>
      <c r="BO91" s="160" t="str">
        <v/>
      </c>
      <c r="BP91" s="160" t="str">
        <v/>
      </c>
      <c r="BQ91" s="160" t="str">
        <v/>
      </c>
      <c r="BR91" s="160" t="str">
        <v/>
      </c>
      <c r="BS91" s="8" t="str">
        <v/>
      </c>
      <c r="BT91" s="161" t="str">
        <v/>
      </c>
      <c r="BU91" s="156"/>
      <c r="BV91" s="156"/>
    </row>
    <row r="92" spans="1:74">
      <c r="A92" s="163"/>
      <c r="B92" s="163"/>
      <c r="C92" s="158"/>
      <c r="D92" s="154"/>
      <c r="E92" s="153"/>
      <c r="F92" s="154"/>
      <c r="G92" s="153"/>
      <c r="H92" s="154"/>
      <c r="I92" s="153"/>
      <c r="J92" s="154"/>
      <c r="K92" s="153"/>
      <c r="L92" s="154"/>
      <c r="M92" s="157" t="str">
        <v/>
      </c>
      <c r="N92" s="157" t="str">
        <v/>
      </c>
      <c r="O92" s="157" t="str">
        <v/>
      </c>
      <c r="P92" s="157" t="str">
        <v/>
      </c>
      <c r="Q92" s="157" t="str">
        <v/>
      </c>
      <c r="R92" s="157" t="str">
        <v/>
      </c>
      <c r="S92" s="157" t="str">
        <v/>
      </c>
      <c r="T92" s="157" t="str">
        <v/>
      </c>
      <c r="U92" s="163" t="str">
        <v/>
      </c>
      <c r="V92" s="157" t="str">
        <v/>
      </c>
      <c r="W92" s="158"/>
      <c r="X92" s="154"/>
      <c r="Y92" s="153"/>
      <c r="Z92" s="154"/>
      <c r="AA92" s="153"/>
      <c r="AB92" s="154"/>
      <c r="AC92" s="153"/>
      <c r="AD92" s="154"/>
      <c r="AE92" s="153"/>
      <c r="AF92" s="154"/>
      <c r="AG92" s="157" t="str">
        <v/>
      </c>
      <c r="AH92" s="157" t="str">
        <v/>
      </c>
      <c r="AI92" s="157" t="str">
        <v/>
      </c>
      <c r="AJ92" s="157" t="str">
        <v/>
      </c>
      <c r="AK92" s="157" t="str">
        <v/>
      </c>
      <c r="AL92" s="157" t="str">
        <v/>
      </c>
      <c r="AM92" s="157" t="str">
        <v/>
      </c>
      <c r="AN92" s="157" t="str">
        <v/>
      </c>
      <c r="AO92" s="174" t="str">
        <v/>
      </c>
      <c r="AP92" s="157" t="str">
        <v/>
      </c>
      <c r="AQ92" s="158"/>
      <c r="AR92" s="154"/>
      <c r="AS92" s="153"/>
      <c r="AT92" s="154"/>
      <c r="AU92" s="153"/>
      <c r="AV92" s="154"/>
      <c r="AW92" s="153"/>
      <c r="AX92" s="154"/>
      <c r="AY92" s="153"/>
      <c r="AZ92" s="154"/>
      <c r="BA92" s="157" t="str">
        <v/>
      </c>
      <c r="BB92" s="157" t="str">
        <v/>
      </c>
      <c r="BC92" s="157" t="str">
        <v/>
      </c>
      <c r="BD92" s="157" t="str">
        <v/>
      </c>
      <c r="BE92" s="157" t="str">
        <v/>
      </c>
      <c r="BF92" s="157" t="str">
        <v/>
      </c>
      <c r="BG92" s="157" t="str">
        <v/>
      </c>
      <c r="BH92" s="157" t="str">
        <v/>
      </c>
      <c r="BI92" s="174" t="str">
        <v/>
      </c>
      <c r="BJ92" s="157" t="str">
        <v/>
      </c>
      <c r="BK92" s="159" t="str">
        <v/>
      </c>
      <c r="BL92" s="160" t="str">
        <v/>
      </c>
      <c r="BM92" s="160" t="str">
        <v/>
      </c>
      <c r="BN92" s="160" t="str">
        <v/>
      </c>
      <c r="BO92" s="160" t="str">
        <v/>
      </c>
      <c r="BP92" s="160" t="str">
        <v/>
      </c>
      <c r="BQ92" s="160" t="str">
        <v/>
      </c>
      <c r="BR92" s="160" t="str">
        <v/>
      </c>
      <c r="BS92" s="8" t="str">
        <v/>
      </c>
      <c r="BT92" s="161" t="str">
        <v/>
      </c>
      <c r="BU92" s="156"/>
      <c r="BV92" s="156"/>
    </row>
    <row r="93" spans="1:74">
      <c r="A93" s="163"/>
      <c r="B93" s="163"/>
      <c r="C93" s="158"/>
      <c r="D93" s="154"/>
      <c r="E93" s="153"/>
      <c r="F93" s="154"/>
      <c r="G93" s="153"/>
      <c r="H93" s="154"/>
      <c r="I93" s="153"/>
      <c r="J93" s="154"/>
      <c r="K93" s="153"/>
      <c r="L93" s="154"/>
      <c r="M93" s="157" t="str">
        <v/>
      </c>
      <c r="N93" s="157" t="str">
        <v/>
      </c>
      <c r="O93" s="157" t="str">
        <v/>
      </c>
      <c r="P93" s="157" t="str">
        <v/>
      </c>
      <c r="Q93" s="157" t="str">
        <v/>
      </c>
      <c r="R93" s="157" t="str">
        <v/>
      </c>
      <c r="S93" s="157" t="str">
        <v/>
      </c>
      <c r="T93" s="157" t="str">
        <v/>
      </c>
      <c r="U93" s="163" t="str">
        <v/>
      </c>
      <c r="V93" s="157" t="str">
        <v/>
      </c>
      <c r="W93" s="158"/>
      <c r="X93" s="154"/>
      <c r="Y93" s="153"/>
      <c r="Z93" s="154"/>
      <c r="AA93" s="153"/>
      <c r="AB93" s="154"/>
      <c r="AC93" s="153"/>
      <c r="AD93" s="154"/>
      <c r="AE93" s="153"/>
      <c r="AF93" s="154"/>
      <c r="AG93" s="157" t="str">
        <v/>
      </c>
      <c r="AH93" s="157" t="str">
        <v/>
      </c>
      <c r="AI93" s="157" t="str">
        <v/>
      </c>
      <c r="AJ93" s="157" t="str">
        <v/>
      </c>
      <c r="AK93" s="157" t="str">
        <v/>
      </c>
      <c r="AL93" s="157" t="str">
        <v/>
      </c>
      <c r="AM93" s="157" t="str">
        <v/>
      </c>
      <c r="AN93" s="157" t="str">
        <v/>
      </c>
      <c r="AO93" s="174" t="str">
        <v/>
      </c>
      <c r="AP93" s="157" t="str">
        <v/>
      </c>
      <c r="AQ93" s="158"/>
      <c r="AR93" s="154"/>
      <c r="AS93" s="153"/>
      <c r="AT93" s="154"/>
      <c r="AU93" s="153"/>
      <c r="AV93" s="154"/>
      <c r="AW93" s="153"/>
      <c r="AX93" s="154"/>
      <c r="AY93" s="153"/>
      <c r="AZ93" s="154"/>
      <c r="BA93" s="157" t="str">
        <v/>
      </c>
      <c r="BB93" s="157" t="str">
        <v/>
      </c>
      <c r="BC93" s="157" t="str">
        <v/>
      </c>
      <c r="BD93" s="157" t="str">
        <v/>
      </c>
      <c r="BE93" s="157" t="str">
        <v/>
      </c>
      <c r="BF93" s="157" t="str">
        <v/>
      </c>
      <c r="BG93" s="157" t="str">
        <v/>
      </c>
      <c r="BH93" s="157" t="str">
        <v/>
      </c>
      <c r="BI93" s="174" t="str">
        <v/>
      </c>
      <c r="BJ93" s="157" t="str">
        <v/>
      </c>
      <c r="BK93" s="159" t="str">
        <v/>
      </c>
      <c r="BL93" s="160" t="str">
        <v/>
      </c>
      <c r="BM93" s="160" t="str">
        <v/>
      </c>
      <c r="BN93" s="160" t="str">
        <v/>
      </c>
      <c r="BO93" s="160" t="str">
        <v/>
      </c>
      <c r="BP93" s="160" t="str">
        <v/>
      </c>
      <c r="BQ93" s="160" t="str">
        <v/>
      </c>
      <c r="BR93" s="160" t="str">
        <v/>
      </c>
      <c r="BS93" s="8" t="str">
        <v/>
      </c>
      <c r="BT93" s="161" t="str">
        <v/>
      </c>
      <c r="BU93" s="156"/>
      <c r="BV93" s="156"/>
    </row>
    <row r="94" spans="1:74">
      <c r="A94" s="163"/>
      <c r="B94" s="163"/>
      <c r="C94" s="158"/>
      <c r="D94" s="154"/>
      <c r="E94" s="153"/>
      <c r="F94" s="154"/>
      <c r="G94" s="153"/>
      <c r="H94" s="154"/>
      <c r="I94" s="153"/>
      <c r="J94" s="154"/>
      <c r="K94" s="153"/>
      <c r="L94" s="154"/>
      <c r="M94" s="157" t="str">
        <v/>
      </c>
      <c r="N94" s="157" t="str">
        <v/>
      </c>
      <c r="O94" s="157" t="str">
        <v/>
      </c>
      <c r="P94" s="157" t="str">
        <v/>
      </c>
      <c r="Q94" s="157" t="str">
        <v/>
      </c>
      <c r="R94" s="157" t="str">
        <v/>
      </c>
      <c r="S94" s="157" t="str">
        <v/>
      </c>
      <c r="T94" s="157" t="str">
        <v/>
      </c>
      <c r="U94" s="163" t="str">
        <v/>
      </c>
      <c r="V94" s="157" t="str">
        <v/>
      </c>
      <c r="W94" s="158"/>
      <c r="X94" s="154"/>
      <c r="Y94" s="153"/>
      <c r="Z94" s="154"/>
      <c r="AA94" s="153"/>
      <c r="AB94" s="154"/>
      <c r="AC94" s="153"/>
      <c r="AD94" s="154"/>
      <c r="AE94" s="153"/>
      <c r="AF94" s="154"/>
      <c r="AG94" s="157" t="str">
        <v/>
      </c>
      <c r="AH94" s="157" t="str">
        <v/>
      </c>
      <c r="AI94" s="157" t="str">
        <v/>
      </c>
      <c r="AJ94" s="157" t="str">
        <v/>
      </c>
      <c r="AK94" s="157" t="str">
        <v/>
      </c>
      <c r="AL94" s="157" t="str">
        <v/>
      </c>
      <c r="AM94" s="157" t="str">
        <v/>
      </c>
      <c r="AN94" s="157" t="str">
        <v/>
      </c>
      <c r="AO94" s="174" t="str">
        <v/>
      </c>
      <c r="AP94" s="157" t="str">
        <v/>
      </c>
      <c r="AQ94" s="158"/>
      <c r="AR94" s="154"/>
      <c r="AS94" s="153"/>
      <c r="AT94" s="154"/>
      <c r="AU94" s="153"/>
      <c r="AV94" s="154"/>
      <c r="AW94" s="153"/>
      <c r="AX94" s="154"/>
      <c r="AY94" s="153"/>
      <c r="AZ94" s="154"/>
      <c r="BA94" s="157" t="str">
        <v/>
      </c>
      <c r="BB94" s="157" t="str">
        <v/>
      </c>
      <c r="BC94" s="157" t="str">
        <v/>
      </c>
      <c r="BD94" s="157" t="str">
        <v/>
      </c>
      <c r="BE94" s="157" t="str">
        <v/>
      </c>
      <c r="BF94" s="157" t="str">
        <v/>
      </c>
      <c r="BG94" s="157" t="str">
        <v/>
      </c>
      <c r="BH94" s="157" t="str">
        <v/>
      </c>
      <c r="BI94" s="174" t="str">
        <v/>
      </c>
      <c r="BJ94" s="157" t="str">
        <v/>
      </c>
      <c r="BK94" s="159" t="str">
        <v/>
      </c>
      <c r="BL94" s="160" t="str">
        <v/>
      </c>
      <c r="BM94" s="160" t="str">
        <v/>
      </c>
      <c r="BN94" s="160" t="str">
        <v/>
      </c>
      <c r="BO94" s="160" t="str">
        <v/>
      </c>
      <c r="BP94" s="160" t="str">
        <v/>
      </c>
      <c r="BQ94" s="160" t="str">
        <v/>
      </c>
      <c r="BR94" s="160" t="str">
        <v/>
      </c>
      <c r="BS94" s="8" t="str">
        <v/>
      </c>
      <c r="BT94" s="161" t="str">
        <v/>
      </c>
      <c r="BU94" s="156"/>
      <c r="BV94" s="156"/>
    </row>
    <row r="95" spans="1:74">
      <c r="A95" s="163"/>
      <c r="B95" s="163"/>
      <c r="C95" s="158"/>
      <c r="D95" s="154"/>
      <c r="E95" s="153"/>
      <c r="F95" s="154"/>
      <c r="G95" s="153"/>
      <c r="H95" s="154"/>
      <c r="I95" s="153"/>
      <c r="J95" s="154"/>
      <c r="K95" s="153"/>
      <c r="L95" s="154"/>
      <c r="M95" s="157" t="str">
        <v/>
      </c>
      <c r="N95" s="157" t="str">
        <v/>
      </c>
      <c r="O95" s="157" t="str">
        <v/>
      </c>
      <c r="P95" s="157" t="str">
        <v/>
      </c>
      <c r="Q95" s="157" t="str">
        <v/>
      </c>
      <c r="R95" s="157" t="str">
        <v/>
      </c>
      <c r="S95" s="157" t="str">
        <v/>
      </c>
      <c r="T95" s="157" t="str">
        <v/>
      </c>
      <c r="U95" s="163" t="str">
        <v/>
      </c>
      <c r="V95" s="157" t="str">
        <v/>
      </c>
      <c r="W95" s="158"/>
      <c r="X95" s="154"/>
      <c r="Y95" s="153"/>
      <c r="Z95" s="154"/>
      <c r="AA95" s="153"/>
      <c r="AB95" s="154"/>
      <c r="AC95" s="153"/>
      <c r="AD95" s="154"/>
      <c r="AE95" s="153"/>
      <c r="AF95" s="154"/>
      <c r="AG95" s="157" t="str">
        <v/>
      </c>
      <c r="AH95" s="157" t="str">
        <v/>
      </c>
      <c r="AI95" s="157" t="str">
        <v/>
      </c>
      <c r="AJ95" s="157" t="str">
        <v/>
      </c>
      <c r="AK95" s="157" t="str">
        <v/>
      </c>
      <c r="AL95" s="157" t="str">
        <v/>
      </c>
      <c r="AM95" s="157" t="str">
        <v/>
      </c>
      <c r="AN95" s="157" t="str">
        <v/>
      </c>
      <c r="AO95" s="174" t="str">
        <v/>
      </c>
      <c r="AP95" s="157" t="str">
        <v/>
      </c>
      <c r="AQ95" s="158"/>
      <c r="AR95" s="154"/>
      <c r="AS95" s="153"/>
      <c r="AT95" s="154"/>
      <c r="AU95" s="153"/>
      <c r="AV95" s="154"/>
      <c r="AW95" s="153"/>
      <c r="AX95" s="154"/>
      <c r="AY95" s="153"/>
      <c r="AZ95" s="154"/>
      <c r="BA95" s="157" t="str">
        <v/>
      </c>
      <c r="BB95" s="157" t="str">
        <v/>
      </c>
      <c r="BC95" s="157" t="str">
        <v/>
      </c>
      <c r="BD95" s="157" t="str">
        <v/>
      </c>
      <c r="BE95" s="157" t="str">
        <v/>
      </c>
      <c r="BF95" s="157" t="str">
        <v/>
      </c>
      <c r="BG95" s="157" t="str">
        <v/>
      </c>
      <c r="BH95" s="157" t="str">
        <v/>
      </c>
      <c r="BI95" s="174" t="str">
        <v/>
      </c>
      <c r="BJ95" s="157" t="str">
        <v/>
      </c>
      <c r="BK95" s="159" t="str">
        <v/>
      </c>
      <c r="BL95" s="160" t="str">
        <v/>
      </c>
      <c r="BM95" s="160" t="str">
        <v/>
      </c>
      <c r="BN95" s="160" t="str">
        <v/>
      </c>
      <c r="BO95" s="160" t="str">
        <v/>
      </c>
      <c r="BP95" s="160" t="str">
        <v/>
      </c>
      <c r="BQ95" s="160" t="str">
        <v/>
      </c>
      <c r="BR95" s="160" t="str">
        <v/>
      </c>
      <c r="BS95" s="8" t="str">
        <v/>
      </c>
      <c r="BT95" s="161" t="str">
        <v/>
      </c>
      <c r="BU95" s="156"/>
      <c r="BV95" s="156"/>
    </row>
    <row r="96" spans="1:74">
      <c r="A96" s="163"/>
      <c r="B96" s="163"/>
      <c r="C96" s="158"/>
      <c r="D96" s="154"/>
      <c r="E96" s="153"/>
      <c r="F96" s="154"/>
      <c r="G96" s="153"/>
      <c r="H96" s="154"/>
      <c r="I96" s="153"/>
      <c r="J96" s="154"/>
      <c r="K96" s="153"/>
      <c r="L96" s="154"/>
      <c r="M96" s="157" t="str">
        <v/>
      </c>
      <c r="N96" s="157" t="str">
        <v/>
      </c>
      <c r="O96" s="157" t="str">
        <v/>
      </c>
      <c r="P96" s="157" t="str">
        <v/>
      </c>
      <c r="Q96" s="157" t="str">
        <v/>
      </c>
      <c r="R96" s="157" t="str">
        <v/>
      </c>
      <c r="S96" s="157" t="str">
        <v/>
      </c>
      <c r="T96" s="157" t="str">
        <v/>
      </c>
      <c r="U96" s="163" t="str">
        <v/>
      </c>
      <c r="V96" s="157" t="str">
        <v/>
      </c>
      <c r="W96" s="158"/>
      <c r="X96" s="154"/>
      <c r="Y96" s="153"/>
      <c r="Z96" s="154"/>
      <c r="AA96" s="153"/>
      <c r="AB96" s="154"/>
      <c r="AC96" s="153"/>
      <c r="AD96" s="154"/>
      <c r="AE96" s="153"/>
      <c r="AF96" s="154"/>
      <c r="AG96" s="157" t="str">
        <v/>
      </c>
      <c r="AH96" s="157" t="str">
        <v/>
      </c>
      <c r="AI96" s="157" t="str">
        <v/>
      </c>
      <c r="AJ96" s="157" t="str">
        <v/>
      </c>
      <c r="AK96" s="157" t="str">
        <v/>
      </c>
      <c r="AL96" s="157" t="str">
        <v/>
      </c>
      <c r="AM96" s="157" t="str">
        <v/>
      </c>
      <c r="AN96" s="157" t="str">
        <v/>
      </c>
      <c r="AO96" s="174" t="str">
        <v/>
      </c>
      <c r="AP96" s="157" t="str">
        <v/>
      </c>
      <c r="AQ96" s="158"/>
      <c r="AR96" s="154"/>
      <c r="AS96" s="153"/>
      <c r="AT96" s="154"/>
      <c r="AU96" s="153"/>
      <c r="AV96" s="154"/>
      <c r="AW96" s="153"/>
      <c r="AX96" s="154"/>
      <c r="AY96" s="153"/>
      <c r="AZ96" s="154"/>
      <c r="BA96" s="157" t="str">
        <v/>
      </c>
      <c r="BB96" s="157" t="str">
        <v/>
      </c>
      <c r="BC96" s="157" t="str">
        <v/>
      </c>
      <c r="BD96" s="157" t="str">
        <v/>
      </c>
      <c r="BE96" s="157" t="str">
        <v/>
      </c>
      <c r="BF96" s="157" t="str">
        <v/>
      </c>
      <c r="BG96" s="157" t="str">
        <v/>
      </c>
      <c r="BH96" s="157" t="str">
        <v/>
      </c>
      <c r="BI96" s="174" t="str">
        <v/>
      </c>
      <c r="BJ96" s="157" t="str">
        <v/>
      </c>
      <c r="BK96" s="159" t="str">
        <v/>
      </c>
      <c r="BL96" s="160" t="str">
        <v/>
      </c>
      <c r="BM96" s="160" t="str">
        <v/>
      </c>
      <c r="BN96" s="160" t="str">
        <v/>
      </c>
      <c r="BO96" s="160" t="str">
        <v/>
      </c>
      <c r="BP96" s="160" t="str">
        <v/>
      </c>
      <c r="BQ96" s="160" t="str">
        <v/>
      </c>
      <c r="BR96" s="160" t="str">
        <v/>
      </c>
      <c r="BS96" s="8" t="str">
        <v/>
      </c>
      <c r="BT96" s="161" t="str">
        <v/>
      </c>
      <c r="BU96" s="156"/>
      <c r="BV96" s="156"/>
    </row>
    <row r="97" spans="1:74">
      <c r="A97" s="163"/>
      <c r="B97" s="163"/>
      <c r="C97" s="158"/>
      <c r="D97" s="154"/>
      <c r="E97" s="153"/>
      <c r="F97" s="154"/>
      <c r="G97" s="153"/>
      <c r="H97" s="154"/>
      <c r="I97" s="153"/>
      <c r="J97" s="154"/>
      <c r="K97" s="153"/>
      <c r="L97" s="154"/>
      <c r="M97" s="157" t="str">
        <v/>
      </c>
      <c r="N97" s="157" t="str">
        <v/>
      </c>
      <c r="O97" s="157" t="str">
        <v/>
      </c>
      <c r="P97" s="157" t="str">
        <v/>
      </c>
      <c r="Q97" s="157" t="str">
        <v/>
      </c>
      <c r="R97" s="157" t="str">
        <v/>
      </c>
      <c r="S97" s="157" t="str">
        <v/>
      </c>
      <c r="T97" s="157" t="str">
        <v/>
      </c>
      <c r="U97" s="163" t="str">
        <v/>
      </c>
      <c r="V97" s="157" t="str">
        <v/>
      </c>
      <c r="W97" s="158"/>
      <c r="X97" s="154"/>
      <c r="Y97" s="153"/>
      <c r="Z97" s="154"/>
      <c r="AA97" s="153"/>
      <c r="AB97" s="154"/>
      <c r="AC97" s="153"/>
      <c r="AD97" s="154"/>
      <c r="AE97" s="153"/>
      <c r="AF97" s="154"/>
      <c r="AG97" s="157" t="str">
        <v/>
      </c>
      <c r="AH97" s="157" t="str">
        <v/>
      </c>
      <c r="AI97" s="157" t="str">
        <v/>
      </c>
      <c r="AJ97" s="157" t="str">
        <v/>
      </c>
      <c r="AK97" s="157" t="str">
        <v/>
      </c>
      <c r="AL97" s="157" t="str">
        <v/>
      </c>
      <c r="AM97" s="157" t="str">
        <v/>
      </c>
      <c r="AN97" s="157" t="str">
        <v/>
      </c>
      <c r="AO97" s="174" t="str">
        <v/>
      </c>
      <c r="AP97" s="157" t="str">
        <v/>
      </c>
      <c r="AQ97" s="158"/>
      <c r="AR97" s="154"/>
      <c r="AS97" s="153"/>
      <c r="AT97" s="154"/>
      <c r="AU97" s="153"/>
      <c r="AV97" s="154"/>
      <c r="AW97" s="153"/>
      <c r="AX97" s="154"/>
      <c r="AY97" s="153"/>
      <c r="AZ97" s="154"/>
      <c r="BA97" s="157" t="str">
        <v/>
      </c>
      <c r="BB97" s="157" t="str">
        <v/>
      </c>
      <c r="BC97" s="157" t="str">
        <v/>
      </c>
      <c r="BD97" s="157" t="str">
        <v/>
      </c>
      <c r="BE97" s="157" t="str">
        <v/>
      </c>
      <c r="BF97" s="157" t="str">
        <v/>
      </c>
      <c r="BG97" s="157" t="str">
        <v/>
      </c>
      <c r="BH97" s="157" t="str">
        <v/>
      </c>
      <c r="BI97" s="174" t="str">
        <v/>
      </c>
      <c r="BJ97" s="157" t="str">
        <v/>
      </c>
      <c r="BK97" s="159" t="str">
        <v/>
      </c>
      <c r="BL97" s="160" t="str">
        <v/>
      </c>
      <c r="BM97" s="160" t="str">
        <v/>
      </c>
      <c r="BN97" s="160" t="str">
        <v/>
      </c>
      <c r="BO97" s="160" t="str">
        <v/>
      </c>
      <c r="BP97" s="160" t="str">
        <v/>
      </c>
      <c r="BQ97" s="160" t="str">
        <v/>
      </c>
      <c r="BR97" s="160" t="str">
        <v/>
      </c>
      <c r="BS97" s="8" t="str">
        <v/>
      </c>
      <c r="BT97" s="161" t="str">
        <v/>
      </c>
      <c r="BU97" s="156"/>
      <c r="BV97" s="156"/>
    </row>
    <row r="98" spans="1:74">
      <c r="A98" s="163"/>
      <c r="B98" s="163"/>
      <c r="C98" s="158"/>
      <c r="D98" s="154"/>
      <c r="E98" s="153"/>
      <c r="F98" s="154"/>
      <c r="G98" s="153"/>
      <c r="H98" s="154"/>
      <c r="I98" s="153"/>
      <c r="J98" s="154"/>
      <c r="K98" s="153"/>
      <c r="L98" s="154"/>
      <c r="M98" s="157" t="str">
        <v/>
      </c>
      <c r="N98" s="157" t="str">
        <v/>
      </c>
      <c r="O98" s="157" t="str">
        <v/>
      </c>
      <c r="P98" s="157" t="str">
        <v/>
      </c>
      <c r="Q98" s="157" t="str">
        <v/>
      </c>
      <c r="R98" s="157" t="str">
        <v/>
      </c>
      <c r="S98" s="157" t="str">
        <v/>
      </c>
      <c r="T98" s="157" t="str">
        <v/>
      </c>
      <c r="U98" s="163" t="str">
        <v/>
      </c>
      <c r="V98" s="157" t="str">
        <v/>
      </c>
      <c r="W98" s="158"/>
      <c r="X98" s="154"/>
      <c r="Y98" s="153"/>
      <c r="Z98" s="154"/>
      <c r="AA98" s="153"/>
      <c r="AB98" s="154"/>
      <c r="AC98" s="153"/>
      <c r="AD98" s="154"/>
      <c r="AE98" s="153"/>
      <c r="AF98" s="154"/>
      <c r="AG98" s="157" t="str">
        <v/>
      </c>
      <c r="AH98" s="157" t="str">
        <v/>
      </c>
      <c r="AI98" s="157" t="str">
        <v/>
      </c>
      <c r="AJ98" s="157" t="str">
        <v/>
      </c>
      <c r="AK98" s="157" t="str">
        <v/>
      </c>
      <c r="AL98" s="157" t="str">
        <v/>
      </c>
      <c r="AM98" s="157" t="str">
        <v/>
      </c>
      <c r="AN98" s="157" t="str">
        <v/>
      </c>
      <c r="AO98" s="174" t="str">
        <v/>
      </c>
      <c r="AP98" s="157" t="str">
        <v/>
      </c>
      <c r="AQ98" s="158"/>
      <c r="AR98" s="154"/>
      <c r="AS98" s="153"/>
      <c r="AT98" s="154"/>
      <c r="AU98" s="153"/>
      <c r="AV98" s="154"/>
      <c r="AW98" s="153"/>
      <c r="AX98" s="154"/>
      <c r="AY98" s="153"/>
      <c r="AZ98" s="154"/>
      <c r="BA98" s="157" t="str">
        <v/>
      </c>
      <c r="BB98" s="157" t="str">
        <v/>
      </c>
      <c r="BC98" s="157" t="str">
        <v/>
      </c>
      <c r="BD98" s="157" t="str">
        <v/>
      </c>
      <c r="BE98" s="157" t="str">
        <v/>
      </c>
      <c r="BF98" s="157" t="str">
        <v/>
      </c>
      <c r="BG98" s="157" t="str">
        <v/>
      </c>
      <c r="BH98" s="157" t="str">
        <v/>
      </c>
      <c r="BI98" s="174" t="str">
        <v/>
      </c>
      <c r="BJ98" s="157" t="str">
        <v/>
      </c>
      <c r="BK98" s="159" t="str">
        <v/>
      </c>
      <c r="BL98" s="160" t="str">
        <v/>
      </c>
      <c r="BM98" s="160" t="str">
        <v/>
      </c>
      <c r="BN98" s="160" t="str">
        <v/>
      </c>
      <c r="BO98" s="160" t="str">
        <v/>
      </c>
      <c r="BP98" s="160" t="str">
        <v/>
      </c>
      <c r="BQ98" s="160" t="str">
        <v/>
      </c>
      <c r="BR98" s="160" t="str">
        <v/>
      </c>
      <c r="BS98" s="8" t="str">
        <v/>
      </c>
      <c r="BT98" s="161" t="str">
        <v/>
      </c>
      <c r="BU98" s="156"/>
      <c r="BV98" s="156"/>
    </row>
    <row r="99" spans="1:74">
      <c r="A99" s="163"/>
      <c r="B99" s="163"/>
      <c r="C99" s="158"/>
      <c r="D99" s="154"/>
      <c r="E99" s="153"/>
      <c r="F99" s="154"/>
      <c r="G99" s="153"/>
      <c r="H99" s="154"/>
      <c r="I99" s="153"/>
      <c r="J99" s="154"/>
      <c r="K99" s="153"/>
      <c r="L99" s="154"/>
      <c r="M99" s="157" t="str">
        <v/>
      </c>
      <c r="N99" s="157" t="str">
        <v/>
      </c>
      <c r="O99" s="157" t="str">
        <v/>
      </c>
      <c r="P99" s="157" t="str">
        <v/>
      </c>
      <c r="Q99" s="157" t="str">
        <v/>
      </c>
      <c r="R99" s="157" t="str">
        <v/>
      </c>
      <c r="S99" s="157" t="str">
        <v/>
      </c>
      <c r="T99" s="157" t="str">
        <v/>
      </c>
      <c r="U99" s="163" t="str">
        <v/>
      </c>
      <c r="V99" s="157" t="str">
        <v/>
      </c>
      <c r="W99" s="158"/>
      <c r="X99" s="154"/>
      <c r="Y99" s="153"/>
      <c r="Z99" s="154"/>
      <c r="AA99" s="153"/>
      <c r="AB99" s="154"/>
      <c r="AC99" s="153"/>
      <c r="AD99" s="154"/>
      <c r="AE99" s="153"/>
      <c r="AF99" s="154"/>
      <c r="AG99" s="157" t="str">
        <v/>
      </c>
      <c r="AH99" s="157" t="str">
        <v/>
      </c>
      <c r="AI99" s="157" t="str">
        <v/>
      </c>
      <c r="AJ99" s="157" t="str">
        <v/>
      </c>
      <c r="AK99" s="157" t="str">
        <v/>
      </c>
      <c r="AL99" s="157" t="str">
        <v/>
      </c>
      <c r="AM99" s="157" t="str">
        <v/>
      </c>
      <c r="AN99" s="157" t="str">
        <v/>
      </c>
      <c r="AO99" s="174" t="str">
        <v/>
      </c>
      <c r="AP99" s="157" t="str">
        <v/>
      </c>
      <c r="AQ99" s="158"/>
      <c r="AR99" s="154"/>
      <c r="AS99" s="153"/>
      <c r="AT99" s="154"/>
      <c r="AU99" s="153"/>
      <c r="AV99" s="154"/>
      <c r="AW99" s="153"/>
      <c r="AX99" s="154"/>
      <c r="AY99" s="153"/>
      <c r="AZ99" s="154"/>
      <c r="BA99" s="157" t="str">
        <v/>
      </c>
      <c r="BB99" s="157" t="str">
        <v/>
      </c>
      <c r="BC99" s="157" t="str">
        <v/>
      </c>
      <c r="BD99" s="157" t="str">
        <v/>
      </c>
      <c r="BE99" s="157" t="str">
        <v/>
      </c>
      <c r="BF99" s="157" t="str">
        <v/>
      </c>
      <c r="BG99" s="157" t="str">
        <v/>
      </c>
      <c r="BH99" s="157" t="str">
        <v/>
      </c>
      <c r="BI99" s="174" t="str">
        <v/>
      </c>
      <c r="BJ99" s="157" t="str">
        <v/>
      </c>
      <c r="BK99" s="159" t="str">
        <v/>
      </c>
      <c r="BL99" s="160" t="str">
        <v/>
      </c>
      <c r="BM99" s="160" t="str">
        <v/>
      </c>
      <c r="BN99" s="160" t="str">
        <v/>
      </c>
      <c r="BO99" s="160" t="str">
        <v/>
      </c>
      <c r="BP99" s="160" t="str">
        <v/>
      </c>
      <c r="BQ99" s="160" t="str">
        <v/>
      </c>
      <c r="BR99" s="160" t="str">
        <v/>
      </c>
      <c r="BS99" s="8" t="str">
        <v/>
      </c>
      <c r="BT99" s="161" t="str">
        <v/>
      </c>
      <c r="BU99" s="156"/>
      <c r="BV99" s="156"/>
    </row>
    <row r="100" spans="1:74">
      <c r="A100" s="163"/>
      <c r="B100" s="163"/>
      <c r="C100" s="158"/>
      <c r="D100" s="154"/>
      <c r="E100" s="153"/>
      <c r="F100" s="154"/>
      <c r="G100" s="153"/>
      <c r="H100" s="154"/>
      <c r="I100" s="153"/>
      <c r="J100" s="154"/>
      <c r="K100" s="153"/>
      <c r="L100" s="154"/>
      <c r="M100" s="157" t="str">
        <v/>
      </c>
      <c r="N100" s="157" t="str">
        <v/>
      </c>
      <c r="O100" s="157" t="str">
        <v/>
      </c>
      <c r="P100" s="157" t="str">
        <v/>
      </c>
      <c r="Q100" s="157" t="str">
        <v/>
      </c>
      <c r="R100" s="157" t="str">
        <v/>
      </c>
      <c r="S100" s="157" t="str">
        <v/>
      </c>
      <c r="T100" s="157" t="str">
        <v/>
      </c>
      <c r="U100" s="163" t="str">
        <v/>
      </c>
      <c r="V100" s="157" t="str">
        <v/>
      </c>
      <c r="W100" s="158"/>
      <c r="X100" s="154"/>
      <c r="Y100" s="153"/>
      <c r="Z100" s="154"/>
      <c r="AA100" s="153"/>
      <c r="AB100" s="154"/>
      <c r="AC100" s="153"/>
      <c r="AD100" s="154"/>
      <c r="AE100" s="153"/>
      <c r="AF100" s="154"/>
      <c r="AG100" s="157" t="str">
        <v/>
      </c>
      <c r="AH100" s="157" t="str">
        <v/>
      </c>
      <c r="AI100" s="157" t="str">
        <v/>
      </c>
      <c r="AJ100" s="157" t="str">
        <v/>
      </c>
      <c r="AK100" s="157" t="str">
        <v/>
      </c>
      <c r="AL100" s="157" t="str">
        <v/>
      </c>
      <c r="AM100" s="157" t="str">
        <v/>
      </c>
      <c r="AN100" s="157" t="str">
        <v/>
      </c>
      <c r="AO100" s="174" t="str">
        <v/>
      </c>
      <c r="AP100" s="157" t="str">
        <v/>
      </c>
      <c r="AQ100" s="158"/>
      <c r="AR100" s="154"/>
      <c r="AS100" s="153"/>
      <c r="AT100" s="154"/>
      <c r="AU100" s="153"/>
      <c r="AV100" s="154"/>
      <c r="AW100" s="153"/>
      <c r="AX100" s="154"/>
      <c r="AY100" s="153"/>
      <c r="AZ100" s="154"/>
      <c r="BA100" s="157" t="str">
        <v/>
      </c>
      <c r="BB100" s="157" t="str">
        <v/>
      </c>
      <c r="BC100" s="157" t="str">
        <v/>
      </c>
      <c r="BD100" s="157" t="str">
        <v/>
      </c>
      <c r="BE100" s="157" t="str">
        <v/>
      </c>
      <c r="BF100" s="157" t="str">
        <v/>
      </c>
      <c r="BG100" s="157" t="str">
        <v/>
      </c>
      <c r="BH100" s="157" t="str">
        <v/>
      </c>
      <c r="BI100" s="174" t="str">
        <v/>
      </c>
      <c r="BJ100" s="157" t="str">
        <v/>
      </c>
      <c r="BK100" s="159" t="str">
        <v/>
      </c>
      <c r="BL100" s="160" t="str">
        <v/>
      </c>
      <c r="BM100" s="160" t="str">
        <v/>
      </c>
      <c r="BN100" s="160" t="str">
        <v/>
      </c>
      <c r="BO100" s="160" t="str">
        <v/>
      </c>
      <c r="BP100" s="160" t="str">
        <v/>
      </c>
      <c r="BQ100" s="160" t="str">
        <v/>
      </c>
      <c r="BR100" s="160" t="str">
        <v/>
      </c>
      <c r="BS100" s="8" t="str">
        <v/>
      </c>
      <c r="BT100" s="161" t="str">
        <v/>
      </c>
      <c r="BU100" s="156"/>
      <c r="BV100" s="15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xr:uid="{00000000-0002-0000-0400-000000000000}">
          <x14:formula1>
            <xm:f>Alimentacion_data!$B$2:$B$200</xm:f>
          </x14:formula1>
          <xm:sqref>C3:C100 E3:E100 G3:G100 I3:I100 K3:K100 W3:W100 Y3:Y100 AA3:AA100 AC3:AC100 AE3:AE100 AQ3:AQ100 AS3:AS100 AU3:AU100 AW3:AW100 AY3:AY100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Objetivos_calc</vt:lpstr>
      <vt:lpstr>Actividad_data</vt:lpstr>
      <vt:lpstr>Actividad_calc</vt:lpstr>
      <vt:lpstr>Alimentacion_data</vt:lpstr>
      <vt:lpstr>Alimentacion_calc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0</cp:lastModifiedBy>
  <dcterms:modified xsi:type="dcterms:W3CDTF">2026-02-24T23:03:50Z</dcterms:modified>
</cp:coreProperties>
</file>