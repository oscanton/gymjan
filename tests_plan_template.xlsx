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nocimientos\Programación\Proyectos\gymjan\"/>
    </mc:Choice>
  </mc:AlternateContent>
  <xr:revisionPtr revIDLastSave="0" documentId="13_ncr:1_{78C60264-15C2-4724-84E5-17144F2C033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bjetivos_calc" sheetId="1" r:id="rId1"/>
    <sheet name="Actividad_data" sheetId="2" r:id="rId2"/>
    <sheet name="Actividad_calc" sheetId="3" r:id="rId3"/>
    <sheet name="Alimentacion_data" sheetId="4" r:id="rId4"/>
    <sheet name="Alimentacion_calc" sheetId="5" r:id="rId5"/>
    <sheet name="Alimentacion_score_data" sheetId="6" r:id="rId6"/>
  </sheets>
  <definedNames>
    <definedName name="_xlnm._FilterDatabase" localSheetId="1" hidden="1">Actividad_data!$A$1:$I$100</definedName>
    <definedName name="_xlnm._FilterDatabase" localSheetId="3" hidden="1">Alimentacion_data!$A$1:$N$500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3" i="1" l="1" a="1"/>
  <c r="AO3" i="1" s="1"/>
  <c r="AN3" i="1" a="1"/>
  <c r="AN3" i="1" s="1"/>
  <c r="AM3" i="1" a="1"/>
  <c r="AM3" i="1" s="1"/>
  <c r="AL3" i="1" a="1"/>
  <c r="AL3" i="1" s="1"/>
  <c r="AK3" i="1" a="1"/>
  <c r="AK3" i="1" s="1"/>
  <c r="AF3" i="1" a="1"/>
  <c r="AF3" i="1" s="1"/>
  <c r="AE3" i="1" a="1"/>
  <c r="AE3" i="1" s="1"/>
  <c r="AD3" i="1" a="1"/>
  <c r="AD4" i="1" s="1"/>
  <c r="I3" i="3" a="1"/>
  <c r="I3" i="3" s="1"/>
  <c r="BT3" i="3" a="1"/>
  <c r="BT100" i="3" s="1"/>
  <c r="BM3" i="3" a="1"/>
  <c r="BM100" i="3" s="1"/>
  <c r="BF3" i="3" a="1"/>
  <c r="BF100" i="3" s="1"/>
  <c r="AY3" i="3" a="1"/>
  <c r="AY100" i="3" s="1"/>
  <c r="AR3" i="3" a="1"/>
  <c r="AR100" i="3" s="1"/>
  <c r="AK3" i="3" a="1"/>
  <c r="AK100" i="3" s="1"/>
  <c r="AD3" i="3" a="1"/>
  <c r="AD100" i="3" s="1"/>
  <c r="W3" i="3" a="1"/>
  <c r="W100" i="3" s="1"/>
  <c r="P3" i="3" a="1"/>
  <c r="P100" i="3" s="1"/>
  <c r="BR3" i="5" a="1"/>
  <c r="BR3" i="5" s="1"/>
  <c r="BT3" i="5" a="1"/>
  <c r="BT3" i="5" s="1"/>
  <c r="BQ3" i="5" a="1"/>
  <c r="BQ3" i="5" s="1"/>
  <c r="BP3" i="5" a="1"/>
  <c r="BP3" i="5" s="1"/>
  <c r="BO3" i="5" a="1"/>
  <c r="BO3" i="5" s="1"/>
  <c r="BN3" i="5" a="1"/>
  <c r="BN3" i="5" s="1"/>
  <c r="BM3" i="5" a="1"/>
  <c r="BM3" i="5" s="1"/>
  <c r="BL3" i="5" a="1"/>
  <c r="BL3" i="5" s="1"/>
  <c r="BK3" i="5" a="1"/>
  <c r="BK3" i="5" s="1"/>
  <c r="BI3" i="5" a="1"/>
  <c r="BI3" i="5" s="1"/>
  <c r="AO3" i="5" a="1"/>
  <c r="AO3" i="5" s="1"/>
  <c r="U3" i="5" a="1"/>
  <c r="U3" i="5" s="1"/>
  <c r="BD3" i="1" a="1"/>
  <c r="BD3" i="1" s="1"/>
  <c r="BZ3" i="1" s="1" a="1"/>
  <c r="BZ3" i="1" s="1"/>
  <c r="CI3" i="1" s="1" a="1"/>
  <c r="CI3" i="1" s="1"/>
  <c r="BH3" i="1" a="1"/>
  <c r="BH3" i="1" s="1"/>
  <c r="CD3" i="1" s="1" a="1"/>
  <c r="CD3" i="1" s="1"/>
  <c r="CM3" i="1" s="1" a="1"/>
  <c r="CM3" i="1" s="1"/>
  <c r="S3" i="1" a="1"/>
  <c r="S3" i="1" s="1"/>
  <c r="O3" i="1" a="1"/>
  <c r="O3" i="1" s="1"/>
  <c r="H3" i="1" a="1"/>
  <c r="H3" i="1" s="1"/>
  <c r="J3" i="1" s="1" a="1"/>
  <c r="J3" i="1" s="1"/>
  <c r="K3" i="1" s="1" a="1"/>
  <c r="K3" i="1" s="1"/>
  <c r="G3" i="1" a="1"/>
  <c r="G3" i="1" s="1"/>
  <c r="AD9" i="1" l="1"/>
  <c r="AD75" i="1"/>
  <c r="AD39" i="1"/>
  <c r="AD3" i="1"/>
  <c r="AD98" i="1"/>
  <c r="AD74" i="1"/>
  <c r="AD38" i="1"/>
  <c r="AD73" i="1"/>
  <c r="AD37" i="1"/>
  <c r="AD13" i="1"/>
  <c r="AD84" i="1"/>
  <c r="AD48" i="1"/>
  <c r="AD83" i="1"/>
  <c r="AD47" i="1"/>
  <c r="AD11" i="1"/>
  <c r="AD94" i="1"/>
  <c r="AD46" i="1"/>
  <c r="AD68" i="1"/>
  <c r="AD44" i="1"/>
  <c r="AD32" i="1"/>
  <c r="AD20" i="1"/>
  <c r="AD8" i="1"/>
  <c r="AD99" i="1"/>
  <c r="AD51" i="1"/>
  <c r="AD15" i="1"/>
  <c r="AD86" i="1"/>
  <c r="AD26" i="1"/>
  <c r="AD85" i="1"/>
  <c r="AD25" i="1"/>
  <c r="AD96" i="1"/>
  <c r="AD36" i="1"/>
  <c r="AD71" i="1"/>
  <c r="AD35" i="1"/>
  <c r="AD82" i="1"/>
  <c r="AD34" i="1"/>
  <c r="AD69" i="1"/>
  <c r="AD33" i="1"/>
  <c r="AD92" i="1"/>
  <c r="AD56" i="1"/>
  <c r="AD79" i="1"/>
  <c r="AD67" i="1"/>
  <c r="AD55" i="1"/>
  <c r="AD43" i="1"/>
  <c r="AD7" i="1"/>
  <c r="AD90" i="1"/>
  <c r="AD78" i="1"/>
  <c r="AD66" i="1"/>
  <c r="AD54" i="1"/>
  <c r="AD42" i="1"/>
  <c r="AD30" i="1"/>
  <c r="AD18" i="1"/>
  <c r="AD6" i="1"/>
  <c r="AD63" i="1"/>
  <c r="AD50" i="1"/>
  <c r="AD49" i="1"/>
  <c r="AD72" i="1"/>
  <c r="AD12" i="1"/>
  <c r="AD59" i="1"/>
  <c r="AD58" i="1"/>
  <c r="AD10" i="1"/>
  <c r="AD93" i="1"/>
  <c r="AD45" i="1"/>
  <c r="AD31" i="1"/>
  <c r="AD89" i="1"/>
  <c r="AD77" i="1"/>
  <c r="AD65" i="1"/>
  <c r="AD53" i="1"/>
  <c r="AD41" i="1"/>
  <c r="AD29" i="1"/>
  <c r="AD17" i="1"/>
  <c r="AD5" i="1"/>
  <c r="AD87" i="1"/>
  <c r="AD27" i="1"/>
  <c r="AD62" i="1"/>
  <c r="AD14" i="1"/>
  <c r="AD97" i="1"/>
  <c r="AD61" i="1"/>
  <c r="AD60" i="1"/>
  <c r="AD24" i="1"/>
  <c r="AD95" i="1"/>
  <c r="AD23" i="1"/>
  <c r="AD70" i="1"/>
  <c r="AD22" i="1"/>
  <c r="AD81" i="1"/>
  <c r="AD57" i="1"/>
  <c r="AD21" i="1"/>
  <c r="AD80" i="1"/>
  <c r="AD91" i="1"/>
  <c r="AD19" i="1"/>
  <c r="AD100" i="1"/>
  <c r="AD88" i="1"/>
  <c r="AD76" i="1"/>
  <c r="AD64" i="1"/>
  <c r="AD52" i="1"/>
  <c r="AD40" i="1"/>
  <c r="AD28" i="1"/>
  <c r="AD16" i="1"/>
  <c r="I98" i="3"/>
  <c r="I86" i="3"/>
  <c r="I38" i="3"/>
  <c r="I85" i="3"/>
  <c r="I49" i="3"/>
  <c r="I84" i="3"/>
  <c r="I12" i="3"/>
  <c r="I59" i="3"/>
  <c r="I46" i="3"/>
  <c r="I7" i="3"/>
  <c r="I37" i="3"/>
  <c r="I56" i="3"/>
  <c r="I14" i="3"/>
  <c r="I97" i="3"/>
  <c r="I61" i="3"/>
  <c r="I72" i="3"/>
  <c r="I24" i="3"/>
  <c r="I83" i="3"/>
  <c r="I35" i="3"/>
  <c r="I70" i="3"/>
  <c r="I57" i="3"/>
  <c r="I21" i="3"/>
  <c r="I44" i="3"/>
  <c r="I5" i="3"/>
  <c r="I74" i="3"/>
  <c r="I62" i="3"/>
  <c r="I26" i="3"/>
  <c r="I73" i="3"/>
  <c r="I13" i="3"/>
  <c r="I96" i="3"/>
  <c r="I60" i="3"/>
  <c r="I36" i="3"/>
  <c r="I95" i="3"/>
  <c r="I11" i="3"/>
  <c r="I82" i="3"/>
  <c r="I58" i="3"/>
  <c r="I34" i="3"/>
  <c r="I10" i="3"/>
  <c r="I81" i="3"/>
  <c r="I33" i="3"/>
  <c r="I92" i="3"/>
  <c r="I68" i="3"/>
  <c r="I32" i="3"/>
  <c r="I8" i="3"/>
  <c r="I91" i="3"/>
  <c r="I67" i="3"/>
  <c r="I55" i="3"/>
  <c r="I43" i="3"/>
  <c r="I19" i="3"/>
  <c r="I78" i="3"/>
  <c r="I54" i="3"/>
  <c r="I18" i="3"/>
  <c r="I89" i="3"/>
  <c r="I77" i="3"/>
  <c r="I53" i="3"/>
  <c r="I41" i="3"/>
  <c r="I29" i="3"/>
  <c r="I100" i="3"/>
  <c r="I88" i="3"/>
  <c r="I76" i="3"/>
  <c r="I64" i="3"/>
  <c r="I52" i="3"/>
  <c r="I40" i="3"/>
  <c r="I28" i="3"/>
  <c r="I16" i="3"/>
  <c r="I4" i="3"/>
  <c r="I50" i="3"/>
  <c r="I25" i="3"/>
  <c r="I48" i="3"/>
  <c r="I71" i="3"/>
  <c r="I47" i="3"/>
  <c r="I23" i="3"/>
  <c r="I94" i="3"/>
  <c r="I22" i="3"/>
  <c r="I93" i="3"/>
  <c r="I69" i="3"/>
  <c r="I45" i="3"/>
  <c r="I9" i="3"/>
  <c r="I80" i="3"/>
  <c r="I20" i="3"/>
  <c r="I79" i="3"/>
  <c r="I31" i="3"/>
  <c r="I90" i="3"/>
  <c r="I66" i="3"/>
  <c r="I42" i="3"/>
  <c r="I30" i="3"/>
  <c r="I6" i="3"/>
  <c r="I65" i="3"/>
  <c r="I17" i="3"/>
  <c r="I99" i="3"/>
  <c r="I87" i="3"/>
  <c r="I75" i="3"/>
  <c r="I63" i="3"/>
  <c r="I51" i="3"/>
  <c r="I39" i="3"/>
  <c r="I27" i="3"/>
  <c r="I15" i="3"/>
  <c r="W79" i="3"/>
  <c r="W80" i="3"/>
  <c r="W17" i="3"/>
  <c r="W18" i="3"/>
  <c r="W31" i="3"/>
  <c r="AY89" i="3"/>
  <c r="W41" i="3"/>
  <c r="W91" i="3"/>
  <c r="W6" i="3"/>
  <c r="W42" i="3"/>
  <c r="W7" i="3"/>
  <c r="W54" i="3"/>
  <c r="W55" i="3"/>
  <c r="AY29" i="3"/>
  <c r="AY41" i="3"/>
  <c r="W65" i="3"/>
  <c r="AY42" i="3"/>
  <c r="W66" i="3"/>
  <c r="AY65" i="3"/>
  <c r="W78" i="3"/>
  <c r="AY77" i="3"/>
  <c r="W43" i="3"/>
  <c r="W89" i="3"/>
  <c r="AY53" i="3"/>
  <c r="W5" i="3"/>
  <c r="W53" i="3"/>
  <c r="W90" i="3"/>
  <c r="AY54" i="3"/>
  <c r="BF53" i="3"/>
  <c r="W19" i="3"/>
  <c r="W67" i="3"/>
  <c r="W29" i="3"/>
  <c r="W68" i="3"/>
  <c r="AY5" i="3"/>
  <c r="BF77" i="3"/>
  <c r="W30" i="3"/>
  <c r="W77" i="3"/>
  <c r="AY17" i="3"/>
  <c r="BF89" i="3"/>
  <c r="BT17" i="3"/>
  <c r="BT77" i="3"/>
  <c r="BT18" i="3"/>
  <c r="BT19" i="3"/>
  <c r="BT80" i="3"/>
  <c r="BT83" i="3"/>
  <c r="BT53" i="3"/>
  <c r="BT54" i="3"/>
  <c r="BT31" i="3"/>
  <c r="BT79" i="3"/>
  <c r="BT32" i="3"/>
  <c r="BT9" i="3"/>
  <c r="BT21" i="3"/>
  <c r="BT33" i="3"/>
  <c r="BT45" i="3"/>
  <c r="BT57" i="3"/>
  <c r="BT69" i="3"/>
  <c r="BT93" i="3"/>
  <c r="BT10" i="3"/>
  <c r="BT22" i="3"/>
  <c r="BT34" i="3"/>
  <c r="BT46" i="3"/>
  <c r="BT58" i="3"/>
  <c r="BT70" i="3"/>
  <c r="BT82" i="3"/>
  <c r="BT94" i="3"/>
  <c r="BT11" i="3"/>
  <c r="BT23" i="3"/>
  <c r="BT35" i="3"/>
  <c r="BT47" i="3"/>
  <c r="BT59" i="3"/>
  <c r="BT71" i="3"/>
  <c r="BT95" i="3"/>
  <c r="BT12" i="3"/>
  <c r="BT24" i="3"/>
  <c r="BT36" i="3"/>
  <c r="BT48" i="3"/>
  <c r="BT60" i="3"/>
  <c r="BT72" i="3"/>
  <c r="BT84" i="3"/>
  <c r="BT96" i="3"/>
  <c r="BT14" i="3"/>
  <c r="BT26" i="3"/>
  <c r="BT38" i="3"/>
  <c r="BT50" i="3"/>
  <c r="BT62" i="3"/>
  <c r="BT74" i="3"/>
  <c r="BT86" i="3"/>
  <c r="BT98" i="3"/>
  <c r="BT41" i="3"/>
  <c r="BT89" i="3"/>
  <c r="BT30" i="3"/>
  <c r="BT66" i="3"/>
  <c r="BT90" i="3"/>
  <c r="BT7" i="3"/>
  <c r="BT43" i="3"/>
  <c r="BT67" i="3"/>
  <c r="BT91" i="3"/>
  <c r="BT81" i="3"/>
  <c r="BT49" i="3"/>
  <c r="BT97" i="3"/>
  <c r="BT3" i="3"/>
  <c r="BT15" i="3"/>
  <c r="BT27" i="3"/>
  <c r="BT39" i="3"/>
  <c r="BT51" i="3"/>
  <c r="BT63" i="3"/>
  <c r="BT75" i="3"/>
  <c r="BT87" i="3"/>
  <c r="BT99" i="3"/>
  <c r="BT5" i="3"/>
  <c r="BT29" i="3"/>
  <c r="BT65" i="3"/>
  <c r="BT6" i="3"/>
  <c r="BT42" i="3"/>
  <c r="BT78" i="3"/>
  <c r="BT55" i="3"/>
  <c r="BT8" i="3"/>
  <c r="BT20" i="3"/>
  <c r="BT44" i="3"/>
  <c r="BT56" i="3"/>
  <c r="BT68" i="3"/>
  <c r="BT92" i="3"/>
  <c r="BT13" i="3"/>
  <c r="BT25" i="3"/>
  <c r="BT37" i="3"/>
  <c r="BT61" i="3"/>
  <c r="BT73" i="3"/>
  <c r="BT85" i="3"/>
  <c r="BT4" i="3"/>
  <c r="BT16" i="3"/>
  <c r="BT28" i="3"/>
  <c r="BT40" i="3"/>
  <c r="BT52" i="3"/>
  <c r="BT64" i="3"/>
  <c r="BT76" i="3"/>
  <c r="BT88" i="3"/>
  <c r="BM42" i="3"/>
  <c r="BM90" i="3"/>
  <c r="BM93" i="3"/>
  <c r="BM29" i="3"/>
  <c r="BM18" i="3"/>
  <c r="BM19" i="3"/>
  <c r="BM67" i="3"/>
  <c r="BM8" i="3"/>
  <c r="BM56" i="3"/>
  <c r="BM33" i="3"/>
  <c r="BM57" i="3"/>
  <c r="BM81" i="3"/>
  <c r="BM34" i="3"/>
  <c r="BM46" i="3"/>
  <c r="BM70" i="3"/>
  <c r="BM82" i="3"/>
  <c r="BM94" i="3"/>
  <c r="BM11" i="3"/>
  <c r="BM35" i="3"/>
  <c r="BM59" i="3"/>
  <c r="BM83" i="3"/>
  <c r="BM12" i="3"/>
  <c r="BM24" i="3"/>
  <c r="BM36" i="3"/>
  <c r="BM48" i="3"/>
  <c r="BM60" i="3"/>
  <c r="BM72" i="3"/>
  <c r="BM84" i="3"/>
  <c r="BM96" i="3"/>
  <c r="BM89" i="3"/>
  <c r="BM30" i="3"/>
  <c r="BM66" i="3"/>
  <c r="BM7" i="3"/>
  <c r="BM55" i="3"/>
  <c r="BM80" i="3"/>
  <c r="BM9" i="3"/>
  <c r="BM97" i="3"/>
  <c r="BM5" i="3"/>
  <c r="BM17" i="3"/>
  <c r="BM41" i="3"/>
  <c r="BM53" i="3"/>
  <c r="BM65" i="3"/>
  <c r="BM77" i="3"/>
  <c r="BM6" i="3"/>
  <c r="BM54" i="3"/>
  <c r="BM78" i="3"/>
  <c r="BM31" i="3"/>
  <c r="BM43" i="3"/>
  <c r="BM79" i="3"/>
  <c r="BM91" i="3"/>
  <c r="BM20" i="3"/>
  <c r="BM32" i="3"/>
  <c r="BM44" i="3"/>
  <c r="BM68" i="3"/>
  <c r="BM92" i="3"/>
  <c r="BM21" i="3"/>
  <c r="BM45" i="3"/>
  <c r="BM69" i="3"/>
  <c r="BM10" i="3"/>
  <c r="BM22" i="3"/>
  <c r="BM58" i="3"/>
  <c r="BM23" i="3"/>
  <c r="BM47" i="3"/>
  <c r="BM71" i="3"/>
  <c r="BM95" i="3"/>
  <c r="BM13" i="3"/>
  <c r="BM25" i="3"/>
  <c r="BM37" i="3"/>
  <c r="BM49" i="3"/>
  <c r="BM61" i="3"/>
  <c r="BM73" i="3"/>
  <c r="BM85" i="3"/>
  <c r="BM14" i="3"/>
  <c r="BM38" i="3"/>
  <c r="BM62" i="3"/>
  <c r="BM74" i="3"/>
  <c r="BM98" i="3"/>
  <c r="BM3" i="3"/>
  <c r="BM15" i="3"/>
  <c r="BM27" i="3"/>
  <c r="BM39" i="3"/>
  <c r="BM51" i="3"/>
  <c r="BM63" i="3"/>
  <c r="BM75" i="3"/>
  <c r="BM87" i="3"/>
  <c r="BM99" i="3"/>
  <c r="BM26" i="3"/>
  <c r="BM50" i="3"/>
  <c r="BM86" i="3"/>
  <c r="BM4" i="3"/>
  <c r="BM16" i="3"/>
  <c r="BM28" i="3"/>
  <c r="BM40" i="3"/>
  <c r="BM52" i="3"/>
  <c r="BM64" i="3"/>
  <c r="BM76" i="3"/>
  <c r="BM88" i="3"/>
  <c r="BF6" i="3"/>
  <c r="BF90" i="3"/>
  <c r="BF93" i="3"/>
  <c r="BF18" i="3"/>
  <c r="BF78" i="3"/>
  <c r="BF19" i="3"/>
  <c r="BF67" i="3"/>
  <c r="BF20" i="3"/>
  <c r="BF56" i="3"/>
  <c r="BF22" i="3"/>
  <c r="BF34" i="3"/>
  <c r="BF46" i="3"/>
  <c r="BF58" i="3"/>
  <c r="BF70" i="3"/>
  <c r="BF82" i="3"/>
  <c r="BF94" i="3"/>
  <c r="BF29" i="3"/>
  <c r="BF60" i="3"/>
  <c r="BF5" i="3"/>
  <c r="BF17" i="3"/>
  <c r="BF65" i="3"/>
  <c r="BF30" i="3"/>
  <c r="BF66" i="3"/>
  <c r="BF43" i="3"/>
  <c r="BF91" i="3"/>
  <c r="BF44" i="3"/>
  <c r="BF80" i="3"/>
  <c r="BF9" i="3"/>
  <c r="BF57" i="3"/>
  <c r="BF11" i="3"/>
  <c r="BF47" i="3"/>
  <c r="BF71" i="3"/>
  <c r="BF12" i="3"/>
  <c r="BF48" i="3"/>
  <c r="BF96" i="3"/>
  <c r="BF13" i="3"/>
  <c r="BF25" i="3"/>
  <c r="BF37" i="3"/>
  <c r="BF49" i="3"/>
  <c r="BF61" i="3"/>
  <c r="BF73" i="3"/>
  <c r="BF85" i="3"/>
  <c r="BF97" i="3"/>
  <c r="BF14" i="3"/>
  <c r="BF26" i="3"/>
  <c r="BF38" i="3"/>
  <c r="BF50" i="3"/>
  <c r="BF62" i="3"/>
  <c r="BF74" i="3"/>
  <c r="BF86" i="3"/>
  <c r="BF98" i="3"/>
  <c r="BF41" i="3"/>
  <c r="BF42" i="3"/>
  <c r="BF7" i="3"/>
  <c r="BF55" i="3"/>
  <c r="BF8" i="3"/>
  <c r="BF92" i="3"/>
  <c r="BF21" i="3"/>
  <c r="BF33" i="3"/>
  <c r="BF81" i="3"/>
  <c r="BF23" i="3"/>
  <c r="BF59" i="3"/>
  <c r="BF83" i="3"/>
  <c r="BF24" i="3"/>
  <c r="BF72" i="3"/>
  <c r="BF3" i="3"/>
  <c r="BF15" i="3"/>
  <c r="BF27" i="3"/>
  <c r="BF39" i="3"/>
  <c r="BF51" i="3"/>
  <c r="BF63" i="3"/>
  <c r="BF75" i="3"/>
  <c r="BF87" i="3"/>
  <c r="BF99" i="3"/>
  <c r="BF54" i="3"/>
  <c r="BF31" i="3"/>
  <c r="BF79" i="3"/>
  <c r="BF32" i="3"/>
  <c r="BF68" i="3"/>
  <c r="BF45" i="3"/>
  <c r="BF69" i="3"/>
  <c r="BF10" i="3"/>
  <c r="BF35" i="3"/>
  <c r="BF95" i="3"/>
  <c r="BF36" i="3"/>
  <c r="BF84" i="3"/>
  <c r="BF4" i="3"/>
  <c r="BF16" i="3"/>
  <c r="BF28" i="3"/>
  <c r="BF40" i="3"/>
  <c r="BF52" i="3"/>
  <c r="BF64" i="3"/>
  <c r="BF76" i="3"/>
  <c r="BF88" i="3"/>
  <c r="AY18" i="3"/>
  <c r="AY30" i="3"/>
  <c r="AY31" i="3"/>
  <c r="AY96" i="3"/>
  <c r="AY90" i="3"/>
  <c r="AY7" i="3"/>
  <c r="AY43" i="3"/>
  <c r="AY55" i="3"/>
  <c r="AY79" i="3"/>
  <c r="AY91" i="3"/>
  <c r="AY32" i="3"/>
  <c r="AY56" i="3"/>
  <c r="AY92" i="3"/>
  <c r="AY9" i="3"/>
  <c r="AY45" i="3"/>
  <c r="AY69" i="3"/>
  <c r="AY22" i="3"/>
  <c r="AY58" i="3"/>
  <c r="AY82" i="3"/>
  <c r="AY35" i="3"/>
  <c r="AY71" i="3"/>
  <c r="AY36" i="3"/>
  <c r="AY48" i="3"/>
  <c r="AY60" i="3"/>
  <c r="AY72" i="3"/>
  <c r="AY84" i="3"/>
  <c r="AY13" i="3"/>
  <c r="AY25" i="3"/>
  <c r="AY37" i="3"/>
  <c r="AY49" i="3"/>
  <c r="AY61" i="3"/>
  <c r="AY73" i="3"/>
  <c r="AY85" i="3"/>
  <c r="AY97" i="3"/>
  <c r="AY14" i="3"/>
  <c r="AY26" i="3"/>
  <c r="AY38" i="3"/>
  <c r="AY50" i="3"/>
  <c r="AY62" i="3"/>
  <c r="AY74" i="3"/>
  <c r="AY86" i="3"/>
  <c r="AY98" i="3"/>
  <c r="AY6" i="3"/>
  <c r="AY78" i="3"/>
  <c r="AY19" i="3"/>
  <c r="AY8" i="3"/>
  <c r="AY44" i="3"/>
  <c r="AY68" i="3"/>
  <c r="AY21" i="3"/>
  <c r="AY57" i="3"/>
  <c r="AY81" i="3"/>
  <c r="AY10" i="3"/>
  <c r="AY34" i="3"/>
  <c r="AY70" i="3"/>
  <c r="AY23" i="3"/>
  <c r="AY47" i="3"/>
  <c r="AY59" i="3"/>
  <c r="AY95" i="3"/>
  <c r="AY24" i="3"/>
  <c r="AY3" i="3"/>
  <c r="AY15" i="3"/>
  <c r="AY27" i="3"/>
  <c r="AY39" i="3"/>
  <c r="AY51" i="3"/>
  <c r="AY63" i="3"/>
  <c r="AY75" i="3"/>
  <c r="AY87" i="3"/>
  <c r="AY99" i="3"/>
  <c r="AY66" i="3"/>
  <c r="AY67" i="3"/>
  <c r="AY20" i="3"/>
  <c r="AY80" i="3"/>
  <c r="AY33" i="3"/>
  <c r="AY93" i="3"/>
  <c r="AY46" i="3"/>
  <c r="AY94" i="3"/>
  <c r="AY11" i="3"/>
  <c r="AY83" i="3"/>
  <c r="AY12" i="3"/>
  <c r="AY4" i="3"/>
  <c r="AY16" i="3"/>
  <c r="AY28" i="3"/>
  <c r="AY40" i="3"/>
  <c r="AY52" i="3"/>
  <c r="AY64" i="3"/>
  <c r="AY76" i="3"/>
  <c r="AY88" i="3"/>
  <c r="AR18" i="3"/>
  <c r="AR17" i="3"/>
  <c r="AR89" i="3"/>
  <c r="AR6" i="3"/>
  <c r="AR66" i="3"/>
  <c r="AR19" i="3"/>
  <c r="AR79" i="3"/>
  <c r="AR32" i="3"/>
  <c r="AR68" i="3"/>
  <c r="AR45" i="3"/>
  <c r="AR93" i="3"/>
  <c r="AR46" i="3"/>
  <c r="AR23" i="3"/>
  <c r="AR59" i="3"/>
  <c r="AR95" i="3"/>
  <c r="AR29" i="3"/>
  <c r="AR77" i="3"/>
  <c r="AR78" i="3"/>
  <c r="AR55" i="3"/>
  <c r="AR8" i="3"/>
  <c r="AR44" i="3"/>
  <c r="AR92" i="3"/>
  <c r="AR9" i="3"/>
  <c r="AR33" i="3"/>
  <c r="AR69" i="3"/>
  <c r="AR82" i="3"/>
  <c r="AR12" i="3"/>
  <c r="AR24" i="3"/>
  <c r="AR36" i="3"/>
  <c r="AR48" i="3"/>
  <c r="AR60" i="3"/>
  <c r="AR72" i="3"/>
  <c r="AR84" i="3"/>
  <c r="AR96" i="3"/>
  <c r="AR53" i="3"/>
  <c r="AR42" i="3"/>
  <c r="AR7" i="3"/>
  <c r="AR67" i="3"/>
  <c r="AR80" i="3"/>
  <c r="AR58" i="3"/>
  <c r="AR25" i="3"/>
  <c r="AR61" i="3"/>
  <c r="AR73" i="3"/>
  <c r="AR97" i="3"/>
  <c r="AR5" i="3"/>
  <c r="AR54" i="3"/>
  <c r="AR31" i="3"/>
  <c r="AR74" i="3"/>
  <c r="AR41" i="3"/>
  <c r="AR65" i="3"/>
  <c r="AR30" i="3"/>
  <c r="AR90" i="3"/>
  <c r="AR43" i="3"/>
  <c r="AR91" i="3"/>
  <c r="AR20" i="3"/>
  <c r="AR56" i="3"/>
  <c r="AR21" i="3"/>
  <c r="AR57" i="3"/>
  <c r="AR81" i="3"/>
  <c r="AR10" i="3"/>
  <c r="AR22" i="3"/>
  <c r="AR34" i="3"/>
  <c r="AR70" i="3"/>
  <c r="AR94" i="3"/>
  <c r="AR11" i="3"/>
  <c r="AR35" i="3"/>
  <c r="AR47" i="3"/>
  <c r="AR71" i="3"/>
  <c r="AR83" i="3"/>
  <c r="AR13" i="3"/>
  <c r="AR37" i="3"/>
  <c r="AR49" i="3"/>
  <c r="AR85" i="3"/>
  <c r="AR14" i="3"/>
  <c r="AR50" i="3"/>
  <c r="AR98" i="3"/>
  <c r="AR3" i="3"/>
  <c r="AR15" i="3"/>
  <c r="AR27" i="3"/>
  <c r="AR39" i="3"/>
  <c r="AR51" i="3"/>
  <c r="AR63" i="3"/>
  <c r="AR75" i="3"/>
  <c r="AR87" i="3"/>
  <c r="AR99" i="3"/>
  <c r="AR26" i="3"/>
  <c r="AR38" i="3"/>
  <c r="AR62" i="3"/>
  <c r="AR86" i="3"/>
  <c r="AR4" i="3"/>
  <c r="AR16" i="3"/>
  <c r="AR28" i="3"/>
  <c r="AR40" i="3"/>
  <c r="AR52" i="3"/>
  <c r="AR64" i="3"/>
  <c r="AR76" i="3"/>
  <c r="AR88" i="3"/>
  <c r="AK34" i="3"/>
  <c r="AK17" i="3"/>
  <c r="AK65" i="3"/>
  <c r="AK30" i="3"/>
  <c r="AK66" i="3"/>
  <c r="AK43" i="3"/>
  <c r="AK91" i="3"/>
  <c r="AK32" i="3"/>
  <c r="AK92" i="3"/>
  <c r="AK69" i="3"/>
  <c r="AK10" i="3"/>
  <c r="AK58" i="3"/>
  <c r="AK94" i="3"/>
  <c r="AK11" i="3"/>
  <c r="AK23" i="3"/>
  <c r="AK35" i="3"/>
  <c r="AK47" i="3"/>
  <c r="AK59" i="3"/>
  <c r="AK71" i="3"/>
  <c r="AK83" i="3"/>
  <c r="AK95" i="3"/>
  <c r="AK5" i="3"/>
  <c r="AK53" i="3"/>
  <c r="AK19" i="3"/>
  <c r="AK67" i="3"/>
  <c r="AK20" i="3"/>
  <c r="AK56" i="3"/>
  <c r="AK9" i="3"/>
  <c r="AK45" i="3"/>
  <c r="AK81" i="3"/>
  <c r="AK22" i="3"/>
  <c r="AK82" i="3"/>
  <c r="AK12" i="3"/>
  <c r="AK24" i="3"/>
  <c r="AK36" i="3"/>
  <c r="AK48" i="3"/>
  <c r="AK60" i="3"/>
  <c r="AK72" i="3"/>
  <c r="AK84" i="3"/>
  <c r="AK96" i="3"/>
  <c r="AK29" i="3"/>
  <c r="AK77" i="3"/>
  <c r="AK18" i="3"/>
  <c r="AK42" i="3"/>
  <c r="AK78" i="3"/>
  <c r="AK7" i="3"/>
  <c r="AK55" i="3"/>
  <c r="AK8" i="3"/>
  <c r="AK68" i="3"/>
  <c r="AK21" i="3"/>
  <c r="AK57" i="3"/>
  <c r="AK46" i="3"/>
  <c r="AK70" i="3"/>
  <c r="AK13" i="3"/>
  <c r="AK25" i="3"/>
  <c r="AK37" i="3"/>
  <c r="AK49" i="3"/>
  <c r="AK61" i="3"/>
  <c r="AK73" i="3"/>
  <c r="AK85" i="3"/>
  <c r="AK97" i="3"/>
  <c r="AK14" i="3"/>
  <c r="AK26" i="3"/>
  <c r="AK38" i="3"/>
  <c r="AK50" i="3"/>
  <c r="AK62" i="3"/>
  <c r="AK74" i="3"/>
  <c r="AK86" i="3"/>
  <c r="AK98" i="3"/>
  <c r="AK41" i="3"/>
  <c r="AK89" i="3"/>
  <c r="AK6" i="3"/>
  <c r="AK54" i="3"/>
  <c r="AK90" i="3"/>
  <c r="AK31" i="3"/>
  <c r="AK79" i="3"/>
  <c r="AK44" i="3"/>
  <c r="AK80" i="3"/>
  <c r="AK33" i="3"/>
  <c r="AK93" i="3"/>
  <c r="AK3" i="3"/>
  <c r="AK15" i="3"/>
  <c r="AK27" i="3"/>
  <c r="AK39" i="3"/>
  <c r="AK51" i="3"/>
  <c r="AK63" i="3"/>
  <c r="AK75" i="3"/>
  <c r="AK87" i="3"/>
  <c r="AK99" i="3"/>
  <c r="AK4" i="3"/>
  <c r="AK16" i="3"/>
  <c r="AK28" i="3"/>
  <c r="AK40" i="3"/>
  <c r="AK52" i="3"/>
  <c r="AK64" i="3"/>
  <c r="AK76" i="3"/>
  <c r="AK88" i="3"/>
  <c r="AD5" i="3"/>
  <c r="AD41" i="3"/>
  <c r="AD65" i="3"/>
  <c r="AD89" i="3"/>
  <c r="AD18" i="3"/>
  <c r="AD54" i="3"/>
  <c r="AD78" i="3"/>
  <c r="AD7" i="3"/>
  <c r="AD43" i="3"/>
  <c r="AD91" i="3"/>
  <c r="AD8" i="3"/>
  <c r="AD44" i="3"/>
  <c r="AD92" i="3"/>
  <c r="AD69" i="3"/>
  <c r="AD22" i="3"/>
  <c r="AD46" i="3"/>
  <c r="AD58" i="3"/>
  <c r="AD70" i="3"/>
  <c r="AD82" i="3"/>
  <c r="AD94" i="3"/>
  <c r="AD29" i="3"/>
  <c r="AD6" i="3"/>
  <c r="AD30" i="3"/>
  <c r="AD66" i="3"/>
  <c r="AD19" i="3"/>
  <c r="AD55" i="3"/>
  <c r="AD79" i="3"/>
  <c r="AD20" i="3"/>
  <c r="AD56" i="3"/>
  <c r="AD80" i="3"/>
  <c r="AD21" i="3"/>
  <c r="AD33" i="3"/>
  <c r="AD57" i="3"/>
  <c r="AD81" i="3"/>
  <c r="AD10" i="3"/>
  <c r="AD11" i="3"/>
  <c r="AD23" i="3"/>
  <c r="AD35" i="3"/>
  <c r="AD47" i="3"/>
  <c r="AD59" i="3"/>
  <c r="AD71" i="3"/>
  <c r="AD83" i="3"/>
  <c r="AD95" i="3"/>
  <c r="AD17" i="3"/>
  <c r="AD53" i="3"/>
  <c r="AD77" i="3"/>
  <c r="AD42" i="3"/>
  <c r="AD90" i="3"/>
  <c r="AD31" i="3"/>
  <c r="AD67" i="3"/>
  <c r="AD32" i="3"/>
  <c r="AD68" i="3"/>
  <c r="AD9" i="3"/>
  <c r="AD45" i="3"/>
  <c r="AD93" i="3"/>
  <c r="AD34" i="3"/>
  <c r="AD12" i="3"/>
  <c r="AD24" i="3"/>
  <c r="AD36" i="3"/>
  <c r="AD48" i="3"/>
  <c r="AD60" i="3"/>
  <c r="AD72" i="3"/>
  <c r="AD84" i="3"/>
  <c r="AD96" i="3"/>
  <c r="AD13" i="3"/>
  <c r="AD25" i="3"/>
  <c r="AD37" i="3"/>
  <c r="AD49" i="3"/>
  <c r="AD61" i="3"/>
  <c r="AD73" i="3"/>
  <c r="AD85" i="3"/>
  <c r="AD97" i="3"/>
  <c r="AD14" i="3"/>
  <c r="AD26" i="3"/>
  <c r="AD38" i="3"/>
  <c r="AD50" i="3"/>
  <c r="AD62" i="3"/>
  <c r="AD74" i="3"/>
  <c r="AD86" i="3"/>
  <c r="AD98" i="3"/>
  <c r="AD3" i="3"/>
  <c r="AD15" i="3"/>
  <c r="AD27" i="3"/>
  <c r="AD39" i="3"/>
  <c r="AD51" i="3"/>
  <c r="AD63" i="3"/>
  <c r="AD75" i="3"/>
  <c r="AD87" i="3"/>
  <c r="AD99" i="3"/>
  <c r="AD4" i="3"/>
  <c r="AD16" i="3"/>
  <c r="AD28" i="3"/>
  <c r="AD40" i="3"/>
  <c r="AD52" i="3"/>
  <c r="AD64" i="3"/>
  <c r="AD76" i="3"/>
  <c r="AD88" i="3"/>
  <c r="W8" i="3"/>
  <c r="W32" i="3"/>
  <c r="W70" i="3"/>
  <c r="W95" i="3"/>
  <c r="W44" i="3"/>
  <c r="W93" i="3"/>
  <c r="W24" i="3"/>
  <c r="W48" i="3"/>
  <c r="W72" i="3"/>
  <c r="W96" i="3"/>
  <c r="W92" i="3"/>
  <c r="W21" i="3"/>
  <c r="W33" i="3"/>
  <c r="W57" i="3"/>
  <c r="W10" i="3"/>
  <c r="W46" i="3"/>
  <c r="W94" i="3"/>
  <c r="W11" i="3"/>
  <c r="W23" i="3"/>
  <c r="W47" i="3"/>
  <c r="W71" i="3"/>
  <c r="W12" i="3"/>
  <c r="W84" i="3"/>
  <c r="W13" i="3"/>
  <c r="W25" i="3"/>
  <c r="W37" i="3"/>
  <c r="W49" i="3"/>
  <c r="W61" i="3"/>
  <c r="W73" i="3"/>
  <c r="W85" i="3"/>
  <c r="W97" i="3"/>
  <c r="W14" i="3"/>
  <c r="W26" i="3"/>
  <c r="W38" i="3"/>
  <c r="W50" i="3"/>
  <c r="W62" i="3"/>
  <c r="W74" i="3"/>
  <c r="W86" i="3"/>
  <c r="W98" i="3"/>
  <c r="W9" i="3"/>
  <c r="W45" i="3"/>
  <c r="W69" i="3"/>
  <c r="W22" i="3"/>
  <c r="W58" i="3"/>
  <c r="W82" i="3"/>
  <c r="W59" i="3"/>
  <c r="W15" i="3"/>
  <c r="W39" i="3"/>
  <c r="W51" i="3"/>
  <c r="W63" i="3"/>
  <c r="W75" i="3"/>
  <c r="W99" i="3"/>
  <c r="W20" i="3"/>
  <c r="W56" i="3"/>
  <c r="W81" i="3"/>
  <c r="W34" i="3"/>
  <c r="W35" i="3"/>
  <c r="W83" i="3"/>
  <c r="W36" i="3"/>
  <c r="W60" i="3"/>
  <c r="W3" i="3"/>
  <c r="W27" i="3"/>
  <c r="W87" i="3"/>
  <c r="W4" i="3"/>
  <c r="W16" i="3"/>
  <c r="W28" i="3"/>
  <c r="W40" i="3"/>
  <c r="W52" i="3"/>
  <c r="W64" i="3"/>
  <c r="W76" i="3"/>
  <c r="W88" i="3"/>
  <c r="P29" i="3"/>
  <c r="P84" i="3"/>
  <c r="P6" i="3"/>
  <c r="P42" i="3"/>
  <c r="P90" i="3"/>
  <c r="P31" i="3"/>
  <c r="P79" i="3"/>
  <c r="P32" i="3"/>
  <c r="P80" i="3"/>
  <c r="P21" i="3"/>
  <c r="P69" i="3"/>
  <c r="P23" i="3"/>
  <c r="P71" i="3"/>
  <c r="P12" i="3"/>
  <c r="P24" i="3"/>
  <c r="P48" i="3"/>
  <c r="P72" i="3"/>
  <c r="P96" i="3"/>
  <c r="P13" i="3"/>
  <c r="P25" i="3"/>
  <c r="P37" i="3"/>
  <c r="P49" i="3"/>
  <c r="P61" i="3"/>
  <c r="P73" i="3"/>
  <c r="P85" i="3"/>
  <c r="P97" i="3"/>
  <c r="P14" i="3"/>
  <c r="P26" i="3"/>
  <c r="P38" i="3"/>
  <c r="P50" i="3"/>
  <c r="P62" i="3"/>
  <c r="P74" i="3"/>
  <c r="P86" i="3"/>
  <c r="P98" i="3"/>
  <c r="P5" i="3"/>
  <c r="P17" i="3"/>
  <c r="P41" i="3"/>
  <c r="P65" i="3"/>
  <c r="P77" i="3"/>
  <c r="P18" i="3"/>
  <c r="P54" i="3"/>
  <c r="P78" i="3"/>
  <c r="P7" i="3"/>
  <c r="P19" i="3"/>
  <c r="P55" i="3"/>
  <c r="P67" i="3"/>
  <c r="P91" i="3"/>
  <c r="P20" i="3"/>
  <c r="P44" i="3"/>
  <c r="P68" i="3"/>
  <c r="P92" i="3"/>
  <c r="P9" i="3"/>
  <c r="P33" i="3"/>
  <c r="P45" i="3"/>
  <c r="P57" i="3"/>
  <c r="P93" i="3"/>
  <c r="P10" i="3"/>
  <c r="P22" i="3"/>
  <c r="P34" i="3"/>
  <c r="P46" i="3"/>
  <c r="P58" i="3"/>
  <c r="P82" i="3"/>
  <c r="P94" i="3"/>
  <c r="P11" i="3"/>
  <c r="P47" i="3"/>
  <c r="P59" i="3"/>
  <c r="P95" i="3"/>
  <c r="P36" i="3"/>
  <c r="P3" i="3"/>
  <c r="P15" i="3"/>
  <c r="P27" i="3"/>
  <c r="P39" i="3"/>
  <c r="P51" i="3"/>
  <c r="P63" i="3"/>
  <c r="P75" i="3"/>
  <c r="P87" i="3"/>
  <c r="P99" i="3"/>
  <c r="P53" i="3"/>
  <c r="P89" i="3"/>
  <c r="P30" i="3"/>
  <c r="P66" i="3"/>
  <c r="P43" i="3"/>
  <c r="P8" i="3"/>
  <c r="P56" i="3"/>
  <c r="P81" i="3"/>
  <c r="P70" i="3"/>
  <c r="P35" i="3"/>
  <c r="P83" i="3"/>
  <c r="P60" i="3"/>
  <c r="P4" i="3"/>
  <c r="P16" i="3"/>
  <c r="P28" i="3"/>
  <c r="P40" i="3"/>
  <c r="P52" i="3"/>
  <c r="P64" i="3"/>
  <c r="P76" i="3"/>
  <c r="P88" i="3"/>
  <c r="BS3" i="5" a="1"/>
  <c r="BS3" i="5" s="1"/>
  <c r="AC3" i="1" a="1"/>
  <c r="AC3" i="1" s="1"/>
  <c r="L3" i="1" a="1"/>
  <c r="L3" i="1" s="1"/>
  <c r="M3" i="1" a="1"/>
  <c r="M3" i="1" s="1"/>
  <c r="BH3" i="5" a="1"/>
  <c r="BH3" i="5" s="1"/>
  <c r="BG3" i="5" a="1"/>
  <c r="BG3" i="5" s="1"/>
  <c r="BF3" i="5" a="1"/>
  <c r="BF3" i="5" s="1"/>
  <c r="BE3" i="5" a="1"/>
  <c r="BE3" i="5" s="1"/>
  <c r="BD3" i="5" a="1"/>
  <c r="BD3" i="5" s="1"/>
  <c r="BC3" i="5" a="1"/>
  <c r="BC3" i="5" s="1"/>
  <c r="BB3" i="5" a="1"/>
  <c r="BB3" i="5" s="1"/>
  <c r="BA3" i="5" a="1"/>
  <c r="BA3" i="5" s="1"/>
  <c r="BJ3" i="5" s="1" a="1"/>
  <c r="BJ3" i="5" s="1"/>
  <c r="AN3" i="5" a="1"/>
  <c r="AN3" i="5" s="1"/>
  <c r="AM3" i="5" a="1"/>
  <c r="AM3" i="5" s="1"/>
  <c r="AL3" i="5" a="1"/>
  <c r="AL3" i="5" s="1"/>
  <c r="AK3" i="5" a="1"/>
  <c r="AK3" i="5" s="1"/>
  <c r="AJ3" i="5" a="1"/>
  <c r="AJ3" i="5" s="1"/>
  <c r="AI3" i="5" a="1"/>
  <c r="AI3" i="5" s="1"/>
  <c r="AH3" i="5" a="1"/>
  <c r="AH3" i="5" s="1"/>
  <c r="AG3" i="5" a="1"/>
  <c r="AG3" i="5" s="1"/>
  <c r="AP3" i="5" s="1" a="1"/>
  <c r="AP3" i="5" s="1"/>
  <c r="T3" i="5" a="1"/>
  <c r="T3" i="5" s="1"/>
  <c r="S3" i="5" a="1"/>
  <c r="S3" i="5" s="1"/>
  <c r="R3" i="5" a="1"/>
  <c r="R3" i="5" s="1"/>
  <c r="Q3" i="5" a="1"/>
  <c r="Q3" i="5" s="1"/>
  <c r="P3" i="5" a="1"/>
  <c r="P3" i="5" s="1"/>
  <c r="O3" i="5" a="1"/>
  <c r="O3" i="5" s="1"/>
  <c r="N3" i="5" a="1"/>
  <c r="N3" i="5" s="1"/>
  <c r="M3" i="5" a="1"/>
  <c r="M3" i="5" s="1"/>
  <c r="V3" i="5" s="1" a="1"/>
  <c r="V3" i="5" s="1"/>
  <c r="BU3" i="3" a="1"/>
  <c r="N3" i="1" l="1" a="1"/>
  <c r="N3" i="1" s="1"/>
  <c r="P3" i="1" s="1" a="1"/>
  <c r="P3" i="1" s="1"/>
  <c r="BP3" i="1" a="1"/>
  <c r="BP3" i="1" s="1"/>
  <c r="BR3" i="1" a="1"/>
  <c r="BR3" i="1" s="1"/>
  <c r="BS3" i="1" a="1"/>
  <c r="BS3" i="1" s="1"/>
  <c r="BQ3" i="1" a="1"/>
  <c r="BQ3" i="1" s="1"/>
  <c r="BM3" i="1" a="1"/>
  <c r="BM3" i="1" s="1"/>
  <c r="BN3" i="1" a="1"/>
  <c r="BN3" i="1" s="1"/>
  <c r="BO3" i="1" a="1"/>
  <c r="BO3" i="1" s="1"/>
  <c r="AI3" i="1" a="1"/>
  <c r="AI3" i="1" s="1"/>
  <c r="AH3" i="1" a="1"/>
  <c r="AH3" i="1" s="1"/>
  <c r="AG3" i="1" a="1"/>
  <c r="AG3" i="1" s="1"/>
  <c r="BU80" i="3"/>
  <c r="BU16" i="3"/>
  <c r="BU76" i="3"/>
  <c r="BU95" i="3"/>
  <c r="BU19" i="3"/>
  <c r="BU39" i="3"/>
  <c r="BU59" i="3"/>
  <c r="BU78" i="3"/>
  <c r="BU98" i="3"/>
  <c r="BU21" i="3"/>
  <c r="BU40" i="3"/>
  <c r="BU61" i="3"/>
  <c r="BU79" i="3"/>
  <c r="BU100" i="3"/>
  <c r="BU23" i="3"/>
  <c r="BU41" i="3"/>
  <c r="BU62" i="3"/>
  <c r="BU94" i="3"/>
  <c r="BU82" i="3"/>
  <c r="BU70" i="3"/>
  <c r="BU58" i="3"/>
  <c r="BU46" i="3"/>
  <c r="BU34" i="3"/>
  <c r="BU22" i="3"/>
  <c r="BU10" i="3"/>
  <c r="BU99" i="3"/>
  <c r="BU86" i="3"/>
  <c r="BU73" i="3"/>
  <c r="BU60" i="3"/>
  <c r="BU47" i="3"/>
  <c r="BU33" i="3"/>
  <c r="BU20" i="3"/>
  <c r="BU97" i="3"/>
  <c r="BU84" i="3"/>
  <c r="BU71" i="3"/>
  <c r="BU57" i="3"/>
  <c r="BU44" i="3"/>
  <c r="BU31" i="3"/>
  <c r="BU18" i="3"/>
  <c r="BU96" i="3"/>
  <c r="BU83" i="3"/>
  <c r="BU69" i="3"/>
  <c r="BU56" i="3"/>
  <c r="BU43" i="3"/>
  <c r="BU30" i="3"/>
  <c r="BU17" i="3"/>
  <c r="BU90" i="3"/>
  <c r="BU77" i="3"/>
  <c r="BU64" i="3"/>
  <c r="BU51" i="3"/>
  <c r="BU38" i="3"/>
  <c r="BU25" i="3"/>
  <c r="BU12" i="3"/>
  <c r="BU24" i="3"/>
  <c r="BU42" i="3"/>
  <c r="BU63" i="3"/>
  <c r="BU81" i="3"/>
  <c r="BU26" i="3"/>
  <c r="BU45" i="3"/>
  <c r="BU65" i="3"/>
  <c r="BU85" i="3"/>
  <c r="BU27" i="3"/>
  <c r="BU48" i="3"/>
  <c r="BU66" i="3"/>
  <c r="BU87" i="3"/>
  <c r="BU9" i="3"/>
  <c r="BU28" i="3"/>
  <c r="BU49" i="3"/>
  <c r="BU67" i="3"/>
  <c r="BU88" i="3"/>
  <c r="BU11" i="3"/>
  <c r="BU29" i="3"/>
  <c r="BU50" i="3"/>
  <c r="BU68" i="3"/>
  <c r="BU89" i="3"/>
  <c r="BU13" i="3"/>
  <c r="BU32" i="3"/>
  <c r="BU52" i="3"/>
  <c r="BU72" i="3"/>
  <c r="BU91" i="3"/>
  <c r="BU14" i="3"/>
  <c r="BU35" i="3"/>
  <c r="BU53" i="3"/>
  <c r="BU74" i="3"/>
  <c r="BU92" i="3"/>
  <c r="BU15" i="3"/>
  <c r="BU36" i="3"/>
  <c r="BU54" i="3"/>
  <c r="BU75" i="3"/>
  <c r="BU93" i="3"/>
  <c r="Q3" i="1" l="1" a="1"/>
  <c r="Q3" i="1" s="1"/>
  <c r="R3" i="1" a="1"/>
  <c r="R3" i="1" s="1"/>
  <c r="AJ3" i="1" a="1"/>
  <c r="AJ3" i="1" s="1"/>
  <c r="BU5" i="3"/>
  <c r="BL3" i="1" a="1"/>
  <c r="BL3" i="1" s="1"/>
  <c r="BT3" i="1" a="1"/>
  <c r="BT3" i="1" s="1"/>
  <c r="BU3" i="3"/>
  <c r="BV3" i="3" s="1"/>
  <c r="BU4" i="3"/>
  <c r="BV4" i="3" s="1"/>
  <c r="BU8" i="3"/>
  <c r="BV8" i="3" s="1"/>
  <c r="BU55" i="3"/>
  <c r="BU37" i="3"/>
  <c r="BU7" i="3"/>
  <c r="BV7" i="3" s="1"/>
  <c r="BU6" i="3"/>
  <c r="AS3" i="1" l="1" a="1"/>
  <c r="AS3" i="1" s="1"/>
  <c r="BV5" i="3"/>
  <c r="AT3" i="1" a="1"/>
  <c r="AT3" i="1" s="1"/>
  <c r="BV6" i="3"/>
  <c r="AV3" i="1" l="1" a="1"/>
  <c r="AV3" i="1" s="1"/>
  <c r="AY3" i="1" s="1" a="1"/>
  <c r="AY3" i="1" s="1"/>
  <c r="AW3" i="1" l="1" a="1"/>
  <c r="AW3" i="1" s="1"/>
  <c r="AZ3" i="1" s="1" a="1"/>
  <c r="AZ3" i="1" s="1"/>
  <c r="BW3" i="1" s="1" a="1"/>
  <c r="BW3" i="1" s="1"/>
  <c r="CF3" i="1" s="1" a="1"/>
  <c r="CF3" i="1" s="1"/>
  <c r="AX3" i="1" a="1"/>
  <c r="AX3" i="1" s="1"/>
  <c r="BA3" i="1" s="1" a="1"/>
  <c r="BA3" i="1" s="1"/>
  <c r="BX3" i="1" s="1" a="1"/>
  <c r="BX3" i="1" s="1"/>
  <c r="CG3" i="1" s="1" a="1"/>
  <c r="CG3" i="1" s="1"/>
  <c r="BB3" i="1" a="1"/>
  <c r="BB3" i="1" s="1"/>
  <c r="BY3" i="1" s="1" a="1"/>
  <c r="BY3" i="1" s="1"/>
  <c r="CH3" i="1" s="1" a="1"/>
  <c r="CH3" i="1" s="1"/>
  <c r="BC3" i="1" l="1" a="1"/>
  <c r="BC3" i="1" s="1"/>
  <c r="BV3" i="1" s="1" a="1"/>
  <c r="BV3" i="1" s="1"/>
  <c r="CE3" i="1" s="1" a="1"/>
  <c r="CE3" i="1" s="1"/>
  <c r="BG3" i="1" l="1" a="1"/>
  <c r="BG3" i="1" s="1"/>
  <c r="CC3" i="1" s="1" a="1"/>
  <c r="CC3" i="1" s="1"/>
  <c r="CL3" i="1" s="1" a="1"/>
  <c r="CL3" i="1" s="1"/>
  <c r="BF3" i="1" a="1"/>
  <c r="BF3" i="1" s="1"/>
  <c r="CB3" i="1" s="1" a="1"/>
  <c r="CB3" i="1" s="1"/>
  <c r="CK3" i="1" s="1" a="1"/>
  <c r="CK3" i="1" s="1"/>
  <c r="BE3" i="1" a="1"/>
  <c r="BE3" i="1" s="1"/>
  <c r="CA3" i="1" s="1" a="1"/>
  <c r="CA3" i="1" s="1"/>
  <c r="CJ3" i="1" s="1" a="1"/>
  <c r="CJ3" i="1" s="1"/>
  <c r="CN3" i="1" l="1" a="1"/>
  <c r="CN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<sst xmlns="http://schemas.openxmlformats.org/spreadsheetml/2006/main" count="1704" uniqueCount="922">
  <si>
    <t>DATOS PERSONALES</t>
  </si>
  <si>
    <t>RESULTADOS BASE</t>
  </si>
  <si>
    <t>AJUSTES USUARIO</t>
  </si>
  <si>
    <t>RESULTADO AJUSTADO</t>
  </si>
  <si>
    <t>CONSUMO ACTIVIDAD</t>
  </si>
  <si>
    <t>OBJETIVOS DIARIOS</t>
  </si>
  <si>
    <t>APORTE ALIMENTACION</t>
  </si>
  <si>
    <t>case_id</t>
  </si>
  <si>
    <t>sex</t>
  </si>
  <si>
    <t>age</t>
  </si>
  <si>
    <t>height_cm</t>
  </si>
  <si>
    <t>weight_kg</t>
  </si>
  <si>
    <t>BMI</t>
  </si>
  <si>
    <t>base_energy</t>
  </si>
  <si>
    <t>base_prote</t>
  </si>
  <si>
    <t>base_carboh</t>
  </si>
  <si>
    <t>base_fats</t>
  </si>
  <si>
    <t>base_calculated_energy</t>
  </si>
  <si>
    <t>base_salt</t>
  </si>
  <si>
    <t>base_fiber</t>
  </si>
  <si>
    <t>base_sugar</t>
  </si>
  <si>
    <t>base_satfats</t>
  </si>
  <si>
    <t>base_processed</t>
  </si>
  <si>
    <t>tuning_energy</t>
  </si>
  <si>
    <t>tuning_prote</t>
  </si>
  <si>
    <t>tuning_carboh</t>
  </si>
  <si>
    <t>tuning_fats</t>
  </si>
  <si>
    <t>tuning_salt</t>
  </si>
  <si>
    <t>tuning_fiber</t>
  </si>
  <si>
    <t>tuning_sugar</t>
  </si>
  <si>
    <t>tuning_satfats</t>
  </si>
  <si>
    <t>tuning_processed</t>
  </si>
  <si>
    <t>tuned_calculated_energy</t>
  </si>
  <si>
    <t>tuned_calculated_prote</t>
  </si>
  <si>
    <t>tuned_calculated_carboh</t>
  </si>
  <si>
    <t>tuned_calculated_fats</t>
  </si>
  <si>
    <t>tuned_prote</t>
  </si>
  <si>
    <t>tuned_carboh</t>
  </si>
  <si>
    <t>tuned_fats</t>
  </si>
  <si>
    <t>tuned_energy</t>
  </si>
  <si>
    <t>tuned_salt</t>
  </si>
  <si>
    <t>tuned_fiber</t>
  </si>
  <si>
    <t>tuned_sugar</t>
  </si>
  <si>
    <t>tuned_satfats</t>
  </si>
  <si>
    <t>tuned_processed</t>
  </si>
  <si>
    <t>steps_activity</t>
  </si>
  <si>
    <t>gym_activity</t>
  </si>
  <si>
    <t>steps_total_energy</t>
  </si>
  <si>
    <t>gym_total_energy</t>
  </si>
  <si>
    <t>daily_calculated_energy</t>
  </si>
  <si>
    <t>daily_calculated_prote</t>
  </si>
  <si>
    <t>daily_calculated_carboh</t>
  </si>
  <si>
    <t>daily_calculated_fats</t>
  </si>
  <si>
    <t>daily_prote</t>
  </si>
  <si>
    <t>daily_carboh</t>
  </si>
  <si>
    <t>daily_fats</t>
  </si>
  <si>
    <t>daily_energy</t>
  </si>
  <si>
    <t>daily_salt</t>
  </si>
  <si>
    <t>daily_fiber</t>
  </si>
  <si>
    <t>daily_sugar</t>
  </si>
  <si>
    <t>daily_satfats</t>
  </si>
  <si>
    <t>daily_processed</t>
  </si>
  <si>
    <t>menu_id</t>
  </si>
  <si>
    <t>day_week</t>
  </si>
  <si>
    <t>food_total_energy</t>
  </si>
  <si>
    <t>food_total_prote</t>
  </si>
  <si>
    <t>food_total_carboh</t>
  </si>
  <si>
    <t>food_total_fats</t>
  </si>
  <si>
    <t>food_total_satfats</t>
  </si>
  <si>
    <t>food_total_fiber</t>
  </si>
  <si>
    <t>food_total_sugar</t>
  </si>
  <si>
    <t>food_total_salt</t>
  </si>
  <si>
    <t>food_total_processed</t>
  </si>
  <si>
    <t>TC01</t>
  </si>
  <si>
    <t>hombre</t>
  </si>
  <si>
    <t>Pasos</t>
  </si>
  <si>
    <t>fuerza_a</t>
  </si>
  <si>
    <t>menu</t>
  </si>
  <si>
    <t>TC02</t>
  </si>
  <si>
    <t>fuerza_b</t>
  </si>
  <si>
    <t>TC03</t>
  </si>
  <si>
    <t>mujer</t>
  </si>
  <si>
    <t>-0,10</t>
  </si>
  <si>
    <t>fuerza_c</t>
  </si>
  <si>
    <t>TC04</t>
  </si>
  <si>
    <t>descanso</t>
  </si>
  <si>
    <t>TC05</t>
  </si>
  <si>
    <t>menu_1</t>
  </si>
  <si>
    <t>name</t>
  </si>
  <si>
    <t>unit</t>
  </si>
  <si>
    <t>met</t>
  </si>
  <si>
    <t>Flexiones</t>
  </si>
  <si>
    <t>Press banca</t>
  </si>
  <si>
    <t>Press inclinado</t>
  </si>
  <si>
    <t>Aperturas con mancuernas</t>
  </si>
  <si>
    <t>Fondos en paralelas</t>
  </si>
  <si>
    <t>Dominadas</t>
  </si>
  <si>
    <t>Jalon al pecho</t>
  </si>
  <si>
    <t>Remo con barra</t>
  </si>
  <si>
    <t>Remo con mancuerna</t>
  </si>
  <si>
    <t>Face pull</t>
  </si>
  <si>
    <t>Press militar</t>
  </si>
  <si>
    <t>Elevaciones laterales</t>
  </si>
  <si>
    <t>Curl biceps</t>
  </si>
  <si>
    <t>Curl martillo</t>
  </si>
  <si>
    <t>Extension triceps</t>
  </si>
  <si>
    <t>Sentadilla</t>
  </si>
  <si>
    <t>Sentadilla goblet</t>
  </si>
  <si>
    <t>Peso muerto</t>
  </si>
  <si>
    <t>Peso muerto rumano</t>
  </si>
  <si>
    <t>Zancadas</t>
  </si>
  <si>
    <t>Prensa de piernas</t>
  </si>
  <si>
    <t>Hip thrust</t>
  </si>
  <si>
    <t>Elevacion de gemelos</t>
  </si>
  <si>
    <t>Step-up</t>
  </si>
  <si>
    <t>Plancha</t>
  </si>
  <si>
    <t>Plancha lateral</t>
  </si>
  <si>
    <t>Crunch</t>
  </si>
  <si>
    <t>Elevaciones de piernas</t>
  </si>
  <si>
    <t>Russian twist</t>
  </si>
  <si>
    <t>Burpees</t>
  </si>
  <si>
    <t>Thrusters</t>
  </si>
  <si>
    <t>Clean and press</t>
  </si>
  <si>
    <t>Kettlebell swing</t>
  </si>
  <si>
    <t>Caminar</t>
  </si>
  <si>
    <t>Correr</t>
  </si>
  <si>
    <t>HIIT</t>
  </si>
  <si>
    <t>Saltar cuerda</t>
  </si>
  <si>
    <t>Jumping jacks</t>
  </si>
  <si>
    <t>Mountain climbers</t>
  </si>
  <si>
    <t>Bicicleta carretera</t>
  </si>
  <si>
    <t>Bicicleta montana</t>
  </si>
  <si>
    <t>Spinning</t>
  </si>
  <si>
    <t>Eliptica</t>
  </si>
  <si>
    <t>Escaladora</t>
  </si>
  <si>
    <t>Trekking</t>
  </si>
  <si>
    <t>Patinar</t>
  </si>
  <si>
    <t>Remo ergometro</t>
  </si>
  <si>
    <t>Boxeo en saco</t>
  </si>
  <si>
    <t>Natacion</t>
  </si>
  <si>
    <t>Estiramientos</t>
  </si>
  <si>
    <t>Yoga suave</t>
  </si>
  <si>
    <t>Movilidad articular</t>
  </si>
  <si>
    <t>EJERCICIO_1</t>
  </si>
  <si>
    <t>EJERCICIO_2</t>
  </si>
  <si>
    <t>EJERCICIO_3</t>
  </si>
  <si>
    <t>EJERCICIO_4</t>
  </si>
  <si>
    <t>EJERCICIO_5</t>
  </si>
  <si>
    <t>EJERCICIO_6</t>
  </si>
  <si>
    <t>EJERCICIO_7</t>
  </si>
  <si>
    <t>EJERCICIO_8</t>
  </si>
  <si>
    <t>EJERCICIO_9</t>
  </si>
  <si>
    <t>EJERCICIO_10</t>
  </si>
  <si>
    <t>activity_id</t>
  </si>
  <si>
    <t>activity_name_1</t>
  </si>
  <si>
    <t>energy_perkg_1</t>
  </si>
  <si>
    <t>activity_name_2</t>
  </si>
  <si>
    <t>series_time_2</t>
  </si>
  <si>
    <t>rep_2</t>
  </si>
  <si>
    <t>weight_2</t>
  </si>
  <si>
    <t>activity_name_3</t>
  </si>
  <si>
    <t>series_time_3</t>
  </si>
  <si>
    <t>rep_3</t>
  </si>
  <si>
    <t>weight_3</t>
  </si>
  <si>
    <t>activity_name_4</t>
  </si>
  <si>
    <t>series_time_4</t>
  </si>
  <si>
    <t>rep_4</t>
  </si>
  <si>
    <t>weight_4</t>
  </si>
  <si>
    <t>activity_name_5</t>
  </si>
  <si>
    <t>series_time_5</t>
  </si>
  <si>
    <t>rep_5</t>
  </si>
  <si>
    <t>weight_5</t>
  </si>
  <si>
    <t>activity_name_6</t>
  </si>
  <si>
    <t>series_time_6</t>
  </si>
  <si>
    <t>rep_6</t>
  </si>
  <si>
    <t>weight_6</t>
  </si>
  <si>
    <t>activity_name_7</t>
  </si>
  <si>
    <t>series_time_7</t>
  </si>
  <si>
    <t>rep_7</t>
  </si>
  <si>
    <t>weight_7</t>
  </si>
  <si>
    <t>activity_name_8</t>
  </si>
  <si>
    <t>series_time_8</t>
  </si>
  <si>
    <t>rep_8</t>
  </si>
  <si>
    <t>weight_8</t>
  </si>
  <si>
    <t>activity_name_9</t>
  </si>
  <si>
    <t>series_time_9</t>
  </si>
  <si>
    <t>rep_9</t>
  </si>
  <si>
    <t>weight_9</t>
  </si>
  <si>
    <t>activity_name_10</t>
  </si>
  <si>
    <t>series_time_10</t>
  </si>
  <si>
    <t>weight_10</t>
  </si>
  <si>
    <t>activity_total_energy_per_kg</t>
  </si>
  <si>
    <t>pasos</t>
  </si>
  <si>
    <t>id</t>
  </si>
  <si>
    <t>category</t>
  </si>
  <si>
    <t>kcal</t>
  </si>
  <si>
    <t>protein</t>
  </si>
  <si>
    <t>carbs</t>
  </si>
  <si>
    <t>fat</t>
  </si>
  <si>
    <t>fiber</t>
  </si>
  <si>
    <t>sugar</t>
  </si>
  <si>
    <t>sodium</t>
  </si>
  <si>
    <t>processed</t>
  </si>
  <si>
    <t>acelga</t>
  </si>
  <si>
    <t>Acelga</t>
  </si>
  <si>
    <t>🥔 Verduras y hortalizas</t>
  </si>
  <si>
    <t>g</t>
  </si>
  <si>
    <t>ajo</t>
  </si>
  <si>
    <t>Ajo</t>
  </si>
  <si>
    <t>alcachofa</t>
  </si>
  <si>
    <t>Alcachofa</t>
  </si>
  <si>
    <t>apio</t>
  </si>
  <si>
    <t>Apio</t>
  </si>
  <si>
    <t>berenjena</t>
  </si>
  <si>
    <t>Berenjena</t>
  </si>
  <si>
    <t>brocoli</t>
  </si>
  <si>
    <t>Brócoli</t>
  </si>
  <si>
    <t>calabacin</t>
  </si>
  <si>
    <t>Calabacín</t>
  </si>
  <si>
    <t>calabaza</t>
  </si>
  <si>
    <t>Calabaza</t>
  </si>
  <si>
    <t>cebolla</t>
  </si>
  <si>
    <t>Cebolla</t>
  </si>
  <si>
    <t>champinones</t>
  </si>
  <si>
    <t>Champiñones</t>
  </si>
  <si>
    <t>col</t>
  </si>
  <si>
    <t>Col</t>
  </si>
  <si>
    <t>col_rizada</t>
  </si>
  <si>
    <t>Col rizada (kale)</t>
  </si>
  <si>
    <t>coles_bruselas</t>
  </si>
  <si>
    <t>Coles de Bruselas</t>
  </si>
  <si>
    <t>coliflor</t>
  </si>
  <si>
    <t>Coliflor</t>
  </si>
  <si>
    <t>endibia</t>
  </si>
  <si>
    <t>Endibia</t>
  </si>
  <si>
    <t>esparragos</t>
  </si>
  <si>
    <t>Espárragos</t>
  </si>
  <si>
    <t>espinacas</t>
  </si>
  <si>
    <t>Espinacas</t>
  </si>
  <si>
    <t>guisantes</t>
  </si>
  <si>
    <t>Guisantes</t>
  </si>
  <si>
    <t>judias_verdes</t>
  </si>
  <si>
    <t>Judías verdes</t>
  </si>
  <si>
    <t>lechuga</t>
  </si>
  <si>
    <t>Lechuga</t>
  </si>
  <si>
    <t>maiz</t>
  </si>
  <si>
    <t>Maíz</t>
  </si>
  <si>
    <t>pepino</t>
  </si>
  <si>
    <t>Pepino</t>
  </si>
  <si>
    <t>pimiento</t>
  </si>
  <si>
    <t>Pimiento</t>
  </si>
  <si>
    <t>puerro</t>
  </si>
  <si>
    <t>Puerro</t>
  </si>
  <si>
    <t>rabano</t>
  </si>
  <si>
    <t>Rábano</t>
  </si>
  <si>
    <t>remolacha</t>
  </si>
  <si>
    <t>Remolacha cocida</t>
  </si>
  <si>
    <t>tomate</t>
  </si>
  <si>
    <t>Tomate</t>
  </si>
  <si>
    <t>zanahoria</t>
  </si>
  <si>
    <t>Zanahoria</t>
  </si>
  <si>
    <t>aguacate</t>
  </si>
  <si>
    <t>Aguacate</t>
  </si>
  <si>
    <t>🍎 Fruta</t>
  </si>
  <si>
    <t>albaricoque</t>
  </si>
  <si>
    <t>Albaricoque</t>
  </si>
  <si>
    <t>arandanos</t>
  </si>
  <si>
    <t>Arándanos</t>
  </si>
  <si>
    <t>ciruela</t>
  </si>
  <si>
    <t>Ciruela</t>
  </si>
  <si>
    <t>fresas</t>
  </si>
  <si>
    <t>Fresas</t>
  </si>
  <si>
    <t>frutos_rojos</t>
  </si>
  <si>
    <t>Frutos rojos</t>
  </si>
  <si>
    <t>granada</t>
  </si>
  <si>
    <t>Granada</t>
  </si>
  <si>
    <t>kiwi</t>
  </si>
  <si>
    <t>Kiwi</t>
  </si>
  <si>
    <t>limon</t>
  </si>
  <si>
    <t>Limón</t>
  </si>
  <si>
    <t>mandarina</t>
  </si>
  <si>
    <t>Mandarina</t>
  </si>
  <si>
    <t>manzana</t>
  </si>
  <si>
    <t>Manzana</t>
  </si>
  <si>
    <t>mango</t>
  </si>
  <si>
    <t>Mango</t>
  </si>
  <si>
    <t>melon</t>
  </si>
  <si>
    <t>Melón</t>
  </si>
  <si>
    <t>melocoton</t>
  </si>
  <si>
    <t>Melocotón</t>
  </si>
  <si>
    <t>naranja</t>
  </si>
  <si>
    <t>Naranja</t>
  </si>
  <si>
    <t>pera</t>
  </si>
  <si>
    <t>Pera</t>
  </si>
  <si>
    <t>pina</t>
  </si>
  <si>
    <t>Piña</t>
  </si>
  <si>
    <t>platano</t>
  </si>
  <si>
    <t>Plátano</t>
  </si>
  <si>
    <t>pomelo</t>
  </si>
  <si>
    <t>Pomelo</t>
  </si>
  <si>
    <t>sandia</t>
  </si>
  <si>
    <t>Sandía</t>
  </si>
  <si>
    <t>uvas</t>
  </si>
  <si>
    <t>Uvas</t>
  </si>
  <si>
    <t>alubias</t>
  </si>
  <si>
    <t>Alubias cocidas</t>
  </si>
  <si>
    <t>🍚 Cereales, legumbres y tubérculos</t>
  </si>
  <si>
    <t>edamame</t>
  </si>
  <si>
    <t>Edamame</t>
  </si>
  <si>
    <t>garbanzos</t>
  </si>
  <si>
    <t>Garbanzos cocidos</t>
  </si>
  <si>
    <t>hummus</t>
  </si>
  <si>
    <t>Hummus</t>
  </si>
  <si>
    <t>lentejas</t>
  </si>
  <si>
    <t>Lentejas cocidas</t>
  </si>
  <si>
    <t>arroz</t>
  </si>
  <si>
    <t>Arroz cocido</t>
  </si>
  <si>
    <t>arroz_integral</t>
  </si>
  <si>
    <t>Arroz integral cocido</t>
  </si>
  <si>
    <t>avena</t>
  </si>
  <si>
    <t>Avena</t>
  </si>
  <si>
    <t>batata</t>
  </si>
  <si>
    <t>Batata</t>
  </si>
  <si>
    <t>cuscus</t>
  </si>
  <si>
    <t>Cuscús cocido</t>
  </si>
  <si>
    <t>pan</t>
  </si>
  <si>
    <t>Pan</t>
  </si>
  <si>
    <t>pan_centeno</t>
  </si>
  <si>
    <t>Pan de centeno</t>
  </si>
  <si>
    <t>pan_integral</t>
  </si>
  <si>
    <t>Pan integral</t>
  </si>
  <si>
    <t>pasta_integral</t>
  </si>
  <si>
    <t>Pasta integral cocida</t>
  </si>
  <si>
    <t>patata</t>
  </si>
  <si>
    <t>Patata cocida</t>
  </si>
  <si>
    <t>quinoa</t>
  </si>
  <si>
    <t>Quinoa cocida</t>
  </si>
  <si>
    <t>atun</t>
  </si>
  <si>
    <t>Atún</t>
  </si>
  <si>
    <t>🥩 Proteínas</t>
  </si>
  <si>
    <t>atun_lata_natural</t>
  </si>
  <si>
    <t>Atún al natural (lata)</t>
  </si>
  <si>
    <t>bacalao</t>
  </si>
  <si>
    <t>Bacalao</t>
  </si>
  <si>
    <t>bonito</t>
  </si>
  <si>
    <t>Bonito</t>
  </si>
  <si>
    <t>calamar</t>
  </si>
  <si>
    <t>Calamar</t>
  </si>
  <si>
    <t>conejo</t>
  </si>
  <si>
    <t>Conejo</t>
  </si>
  <si>
    <t>cordero</t>
  </si>
  <si>
    <t>Cordero</t>
  </si>
  <si>
    <t>carne_magra</t>
  </si>
  <si>
    <t>Carne magra</t>
  </si>
  <si>
    <t>claras_huevo</t>
  </si>
  <si>
    <t>Claras de huevo</t>
  </si>
  <si>
    <t>gambas</t>
  </si>
  <si>
    <t>Gambas</t>
  </si>
  <si>
    <t>hamburguesa_magra</t>
  </si>
  <si>
    <t>Hamburguesa magra</t>
  </si>
  <si>
    <t>huevo</t>
  </si>
  <si>
    <t>Huevo</t>
  </si>
  <si>
    <t>ud</t>
  </si>
  <si>
    <t>lomo_cerdo</t>
  </si>
  <si>
    <t>Lomo de cerdo</t>
  </si>
  <si>
    <t>mejillones</t>
  </si>
  <si>
    <t>Mejillones</t>
  </si>
  <si>
    <t>merluza</t>
  </si>
  <si>
    <t>Merluza</t>
  </si>
  <si>
    <t>pavo</t>
  </si>
  <si>
    <t>Pavo</t>
  </si>
  <si>
    <t>pechuga_pollo</t>
  </si>
  <si>
    <t>Pechuga de pollo</t>
  </si>
  <si>
    <t>pechuga_pavo</t>
  </si>
  <si>
    <t>Pechuga de pavo</t>
  </si>
  <si>
    <t>pescado_azul</t>
  </si>
  <si>
    <t>Pescado azul</t>
  </si>
  <si>
    <t>pescado_blanco</t>
  </si>
  <si>
    <t>Pescado blanco</t>
  </si>
  <si>
    <t>pollo</t>
  </si>
  <si>
    <t>Pollo</t>
  </si>
  <si>
    <t>pulpo</t>
  </si>
  <si>
    <t>Pulpo</t>
  </si>
  <si>
    <t>salmon</t>
  </si>
  <si>
    <t>Salmón</t>
  </si>
  <si>
    <t>sardinas</t>
  </si>
  <si>
    <t>Sardinas</t>
  </si>
  <si>
    <t>tempeh</t>
  </si>
  <si>
    <t>Tempeh</t>
  </si>
  <si>
    <t>ternera</t>
  </si>
  <si>
    <t>Ternera</t>
  </si>
  <si>
    <t>tofu</t>
  </si>
  <si>
    <t>Tofu</t>
  </si>
  <si>
    <t>kefir</t>
  </si>
  <si>
    <t>Kéfir</t>
  </si>
  <si>
    <t>🥛 Lácteos</t>
  </si>
  <si>
    <t>mozzarella</t>
  </si>
  <si>
    <t>Mozzarella</t>
  </si>
  <si>
    <t>queso_emmental</t>
  </si>
  <si>
    <t>Queso emmental</t>
  </si>
  <si>
    <t>queso_fresco</t>
  </si>
  <si>
    <t>Queso fresco</t>
  </si>
  <si>
    <t>yogur_griego</t>
  </si>
  <si>
    <t>Yogur griego</t>
  </si>
  <si>
    <t>yogur_natural</t>
  </si>
  <si>
    <t>Yogur natural</t>
  </si>
  <si>
    <t>aceite_oliva</t>
  </si>
  <si>
    <t>Aceite de oliva</t>
  </si>
  <si>
    <t>🥑 Grasas, frutos secos y semillas</t>
  </si>
  <si>
    <t>aceitunas</t>
  </si>
  <si>
    <t>Aceitunas</t>
  </si>
  <si>
    <t>almendras</t>
  </si>
  <si>
    <t>Almendras</t>
  </si>
  <si>
    <t>cacahuetes</t>
  </si>
  <si>
    <t>Cacahuetes</t>
  </si>
  <si>
    <t>frutos_secos</t>
  </si>
  <si>
    <t>Frutos secos</t>
  </si>
  <si>
    <t>mantequilla</t>
  </si>
  <si>
    <t>Mantequilla</t>
  </si>
  <si>
    <t>nueces</t>
  </si>
  <si>
    <t>Nueces</t>
  </si>
  <si>
    <t>semillas_chia</t>
  </si>
  <si>
    <t>Semillas de chía</t>
  </si>
  <si>
    <t>canela</t>
  </si>
  <si>
    <t>Canela</t>
  </si>
  <si>
    <t>🧂 Condimentos y especias</t>
  </si>
  <si>
    <t>comino</t>
  </si>
  <si>
    <t>Comino</t>
  </si>
  <si>
    <t>curry</t>
  </si>
  <si>
    <t>Curry en polvo</t>
  </si>
  <si>
    <t>mostaza</t>
  </si>
  <si>
    <t>Mostaza</t>
  </si>
  <si>
    <t>oregano</t>
  </si>
  <si>
    <t>Orégano</t>
  </si>
  <si>
    <t>pimenton</t>
  </si>
  <si>
    <t>Pimentón</t>
  </si>
  <si>
    <t>pimienta_negra</t>
  </si>
  <si>
    <t>Pimienta negra</t>
  </si>
  <si>
    <t>sal</t>
  </si>
  <si>
    <t>Sal</t>
  </si>
  <si>
    <t>vinagre</t>
  </si>
  <si>
    <t>Vinagre</t>
  </si>
  <si>
    <t>vinagre_balsamico</t>
  </si>
  <si>
    <t>Vinagre balsámico</t>
  </si>
  <si>
    <t>miel</t>
  </si>
  <si>
    <t>Miel</t>
  </si>
  <si>
    <t>cafe</t>
  </si>
  <si>
    <t>Café</t>
  </si>
  <si>
    <t>☕ Bebidas</t>
  </si>
  <si>
    <t>infusion</t>
  </si>
  <si>
    <t>Infusión</t>
  </si>
  <si>
    <t>ensalada</t>
  </si>
  <si>
    <t>Ensalada mix</t>
  </si>
  <si>
    <t>fruta</t>
  </si>
  <si>
    <t>Fruta variada</t>
  </si>
  <si>
    <t>verduras</t>
  </si>
  <si>
    <t>Verduras mix</t>
  </si>
  <si>
    <t>jamon_iberico</t>
  </si>
  <si>
    <t>Jamón ibérico</t>
  </si>
  <si>
    <t>jamon_york</t>
  </si>
  <si>
    <t>Jamón york</t>
  </si>
  <si>
    <t>patatas_fritas</t>
  </si>
  <si>
    <t>Patatas fritas</t>
  </si>
  <si>
    <t>📦 Otros / Procesados</t>
  </si>
  <si>
    <t>pepinillos_encurtidos</t>
  </si>
  <si>
    <t>Pepinillos encurtidos</t>
  </si>
  <si>
    <t>salmon_ahumado</t>
  </si>
  <si>
    <t>Salmón ahumado</t>
  </si>
  <si>
    <t>surimi</t>
  </si>
  <si>
    <t>Surimi (cangrejo)</t>
  </si>
  <si>
    <t>💊 Suplementos</t>
  </si>
  <si>
    <t>DESAYUNO</t>
  </si>
  <si>
    <t>COMIDA</t>
  </si>
  <si>
    <t>CENA</t>
  </si>
  <si>
    <t>TOTALES</t>
  </si>
  <si>
    <t>breakfast_name_1</t>
  </si>
  <si>
    <t>breakfast_quantity_1</t>
  </si>
  <si>
    <t>breakfast_name_2</t>
  </si>
  <si>
    <t>breakfast_quantity_2</t>
  </si>
  <si>
    <t>breakfast_name_3</t>
  </si>
  <si>
    <t>breakfast_quantity_3</t>
  </si>
  <si>
    <t>breakfast_name_4</t>
  </si>
  <si>
    <t>breakfast_quantity_4</t>
  </si>
  <si>
    <t>breakfast_name_5</t>
  </si>
  <si>
    <t>breakfast_quantity_5</t>
  </si>
  <si>
    <t>breakfast_energy</t>
  </si>
  <si>
    <t>breakfast_prote</t>
  </si>
  <si>
    <t>breakfast_carboh</t>
  </si>
  <si>
    <t>breakfast_fats</t>
  </si>
  <si>
    <t>breakfast_satfats</t>
  </si>
  <si>
    <t>breakfast_fiber</t>
  </si>
  <si>
    <t>breakfast_sugar</t>
  </si>
  <si>
    <t>breakfast_salt</t>
  </si>
  <si>
    <t>lunch_name_1</t>
  </si>
  <si>
    <t>lunch_quantity_1</t>
  </si>
  <si>
    <t>lunch_name_2</t>
  </si>
  <si>
    <t>lunch_quantity_2</t>
  </si>
  <si>
    <t>lunch_name_3</t>
  </si>
  <si>
    <t>lunch_quantity_3</t>
  </si>
  <si>
    <t>lunch_name_4</t>
  </si>
  <si>
    <t>lunch_quantity_4</t>
  </si>
  <si>
    <t>lunch_name_5</t>
  </si>
  <si>
    <t>lunch_quantity_5</t>
  </si>
  <si>
    <t>lunch_energy</t>
  </si>
  <si>
    <t>lunch_prote</t>
  </si>
  <si>
    <t>lunch_carboh</t>
  </si>
  <si>
    <t>lunch_fats</t>
  </si>
  <si>
    <t>lunch_satfats</t>
  </si>
  <si>
    <t>lunch_fiber</t>
  </si>
  <si>
    <t>lunch_sugar</t>
  </si>
  <si>
    <t>lunch_salt</t>
  </si>
  <si>
    <t>dinner_name_1</t>
  </si>
  <si>
    <t>dinner_quantity_1</t>
  </si>
  <si>
    <t>dinner_name_2</t>
  </si>
  <si>
    <t>dinner_quantity_2</t>
  </si>
  <si>
    <t>dinner_name_3</t>
  </si>
  <si>
    <t>dinner_quantity_3</t>
  </si>
  <si>
    <t>dinner_name_4</t>
  </si>
  <si>
    <t>dinner_quantity_4</t>
  </si>
  <si>
    <t>dinner_name_5</t>
  </si>
  <si>
    <t>dinner_quantity_5</t>
  </si>
  <si>
    <t>dinner_energy</t>
  </si>
  <si>
    <t>dinner_prote</t>
  </si>
  <si>
    <t>dinner_carboh</t>
  </si>
  <si>
    <t>dinner_fats</t>
  </si>
  <si>
    <t>dinner_satfats</t>
  </si>
  <si>
    <t>dinner_fiber</t>
  </si>
  <si>
    <t>dinner_sugar</t>
  </si>
  <si>
    <t>dinner_salt</t>
  </si>
  <si>
    <t>foot_total_energy</t>
  </si>
  <si>
    <t>recuperacion</t>
  </si>
  <si>
    <t>Lunes</t>
  </si>
  <si>
    <t>Martes</t>
  </si>
  <si>
    <t>Miércoles</t>
  </si>
  <si>
    <t>Jueves</t>
  </si>
  <si>
    <t>Viernes</t>
  </si>
  <si>
    <t>Sábado</t>
  </si>
  <si>
    <t>Domingo</t>
  </si>
  <si>
    <t>breakfast_processed_ratio</t>
  </si>
  <si>
    <t>breakfast_processed_ratio_energy</t>
  </si>
  <si>
    <t>lunch_processed_ratio_energy</t>
  </si>
  <si>
    <t>lunch_processed_ratio</t>
  </si>
  <si>
    <t>dinner_processed_ratio_energy</t>
  </si>
  <si>
    <t>dinner_processed_ratio</t>
  </si>
  <si>
    <t>food_total_processed_ratio_energy</t>
  </si>
  <si>
    <t>food_total_processed_ratio</t>
  </si>
  <si>
    <t>nutrition_unit</t>
  </si>
  <si>
    <t>saturated_fat</t>
  </si>
  <si>
    <t>100g</t>
  </si>
  <si>
    <t>pan_molde_integral</t>
  </si>
  <si>
    <t>Pan de molde integral</t>
  </si>
  <si>
    <t>tortilla_trigo</t>
  </si>
  <si>
    <t>Tortilla de trigo</t>
  </si>
  <si>
    <t>warp_integral</t>
  </si>
  <si>
    <t>Wrap integral</t>
  </si>
  <si>
    <t>atun_lata_aceite</t>
  </si>
  <si>
    <t>Atún en aceite (lata)</t>
  </si>
  <si>
    <t>leche_entera</t>
  </si>
  <si>
    <t>Leche entera</t>
  </si>
  <si>
    <t>leche_semidesnatada</t>
  </si>
  <si>
    <t>Leche semidesnatada</t>
  </si>
  <si>
    <t>leche_desnatada</t>
  </si>
  <si>
    <t>Leche desnatada</t>
  </si>
  <si>
    <t>queso_lonchas</t>
  </si>
  <si>
    <t>Queso en lonchas</t>
  </si>
  <si>
    <t>queso_lonchas_light</t>
  </si>
  <si>
    <t>Queso en lonchas light</t>
  </si>
  <si>
    <t>perejil</t>
  </si>
  <si>
    <t>Perejil</t>
  </si>
  <si>
    <t>azucar</t>
  </si>
  <si>
    <t>Azúcar</t>
  </si>
  <si>
    <t>edulcorante_estevia</t>
  </si>
  <si>
    <t>Edulcorante (estevia)</t>
  </si>
  <si>
    <t>ketchup</t>
  </si>
  <si>
    <t>Ketchup</t>
  </si>
  <si>
    <t>mayonesa</t>
  </si>
  <si>
    <t>Mayonesa</t>
  </si>
  <si>
    <t>salsa_soja</t>
  </si>
  <si>
    <t>Salsa de soja</t>
  </si>
  <si>
    <t>cerveza_330</t>
  </si>
  <si>
    <t>1 cerveza (330ml)</t>
  </si>
  <si>
    <t>vino_150</t>
  </si>
  <si>
    <t>1 vino (150ml)</t>
  </si>
  <si>
    <t>coca_cola_330</t>
  </si>
  <si>
    <t>1 coca-cola (330ml)</t>
  </si>
  <si>
    <t>bolero_sobre_9g</t>
  </si>
  <si>
    <t>Bolero (1 sobre de 9g)</t>
  </si>
  <si>
    <t>refresco_330</t>
  </si>
  <si>
    <t>1 refresco (330ml)</t>
  </si>
  <si>
    <t>refresco_light_330</t>
  </si>
  <si>
    <t>Refresco light (330ml)</t>
  </si>
  <si>
    <t>batido_250</t>
  </si>
  <si>
    <t>1 batido (250ml)</t>
  </si>
  <si>
    <t>zumo_natural_250</t>
  </si>
  <si>
    <t>Zumo natural (250ml)</t>
  </si>
  <si>
    <t>zumo_procesado_250</t>
  </si>
  <si>
    <t>Zumo procesado (250ml)</t>
  </si>
  <si>
    <t>agua_coco_250</t>
  </si>
  <si>
    <t>Agua de coco (250ml)</t>
  </si>
  <si>
    <t>bebida_energetica_250</t>
  </si>
  <si>
    <t>Bebida energética (250ml)</t>
  </si>
  <si>
    <t>te</t>
  </si>
  <si>
    <t>Té</t>
  </si>
  <si>
    <t>tonica_330</t>
  </si>
  <si>
    <t>Tónica (330ml)</t>
  </si>
  <si>
    <t>fiambre_pavo</t>
  </si>
  <si>
    <t>Fiambre de pavo</t>
  </si>
  <si>
    <t>chorizo</t>
  </si>
  <si>
    <t>Chorizo</t>
  </si>
  <si>
    <t>salchichon</t>
  </si>
  <si>
    <t>Salchichón</t>
  </si>
  <si>
    <t>bacon</t>
  </si>
  <si>
    <t>Bacon</t>
  </si>
  <si>
    <t>salchichas</t>
  </si>
  <si>
    <t>Salchichas</t>
  </si>
  <si>
    <t>creatina_monohidrato</t>
  </si>
  <si>
    <t>Creatina monohidrato</t>
  </si>
  <si>
    <t>proteina</t>
  </si>
  <si>
    <t>Proteína</t>
  </si>
  <si>
    <t>proteina_aislada</t>
  </si>
  <si>
    <t>Proteína aislada</t>
  </si>
  <si>
    <t>proteina_caseina</t>
  </si>
  <si>
    <t>Proteína caseína</t>
  </si>
  <si>
    <t>score</t>
  </si>
  <si>
    <t>daily_dif_energy</t>
  </si>
  <si>
    <t>daily_dif_prote</t>
  </si>
  <si>
    <t>daily_dif_carboh</t>
  </si>
  <si>
    <t>daily_dif_fats</t>
  </si>
  <si>
    <t>daily_dif_salt</t>
  </si>
  <si>
    <t>daily_dif_fiber</t>
  </si>
  <si>
    <t>daily_dif_sugar</t>
  </si>
  <si>
    <t>daily_dif_satfats</t>
  </si>
  <si>
    <t>daily_dif_processed</t>
  </si>
  <si>
    <t>energy</t>
  </si>
  <si>
    <t>prote</t>
  </si>
  <si>
    <t>carboh</t>
  </si>
  <si>
    <t>fats</t>
  </si>
  <si>
    <t>salt</t>
  </si>
  <si>
    <t>satfats</t>
  </si>
  <si>
    <t>deficiency_coef_penalty</t>
  </si>
  <si>
    <t>excess_coef_penalty</t>
  </si>
  <si>
    <t>concept</t>
  </si>
  <si>
    <t>standard_penalty</t>
  </si>
  <si>
    <t>(punto medio)</t>
  </si>
  <si>
    <t>(curvatura)</t>
  </si>
  <si>
    <t>NUTRITIONAL SCORE</t>
  </si>
  <si>
    <t>nutrition_score_penalty_prote</t>
  </si>
  <si>
    <t>nutrition_score_penalty_carboh</t>
  </si>
  <si>
    <t>nutrition_score_penalty_fats</t>
  </si>
  <si>
    <t>nutrition_score_penalty_salt</t>
  </si>
  <si>
    <t>nutrition_score_penalty_fiber</t>
  </si>
  <si>
    <t>nutrition_score_penalty_sugar</t>
  </si>
  <si>
    <t>nutrition_score_penalty_satfats</t>
  </si>
  <si>
    <t>nutrition_score_penalty_processed</t>
  </si>
  <si>
    <t>nutrition_score_penalty_energy</t>
  </si>
  <si>
    <t>nutrition_score</t>
  </si>
  <si>
    <t>rep_time_2</t>
  </si>
  <si>
    <t>rest_time_2</t>
  </si>
  <si>
    <t>rep_time_3</t>
  </si>
  <si>
    <t>rest_time_4</t>
  </si>
  <si>
    <t>rep_time_4</t>
  </si>
  <si>
    <t>rep_time_5</t>
  </si>
  <si>
    <t>rest_time_5</t>
  </si>
  <si>
    <t>rep_time_6</t>
  </si>
  <si>
    <t>rest_time_6</t>
  </si>
  <si>
    <t>rep_time_7</t>
  </si>
  <si>
    <t>rest_time_7</t>
  </si>
  <si>
    <t>rep_time_8</t>
  </si>
  <si>
    <t>rest_time_8</t>
  </si>
  <si>
    <t>rep_time_9</t>
  </si>
  <si>
    <t>rest_time_9</t>
  </si>
  <si>
    <t>rep_time_10</t>
  </si>
  <si>
    <t>rest_time_10</t>
  </si>
  <si>
    <t>rep_10</t>
  </si>
  <si>
    <t>cadenceBase</t>
  </si>
  <si>
    <t>description</t>
  </si>
  <si>
    <t>equipment</t>
  </si>
  <si>
    <t>focus</t>
  </si>
  <si>
    <t>muscles</t>
  </si>
  <si>
    <t>relativeLoad</t>
  </si>
  <si>
    <t>technique</t>
  </si>
  <si>
    <t>type</t>
  </si>
  <si>
    <t>flexiones</t>
  </si>
  <si>
    <t>Empuje horizontal con control del core.</t>
  </si>
  <si>
    <t>ninguno</t>
  </si>
  <si>
    <t>tren_superior</t>
  </si>
  <si>
    <t>pecho, triceps, hombro</t>
  </si>
  <si>
    <t>El movimiento se realiza apoyando manos bajo el pecho, cuerpo en linea recta desde cabeza a talones, flexionando codos para bajar hasta que el pecho se acerque al suelo, manteniendo el core activo y la cadera estable, y empujando de nuevo hasta extender los brazos sin bloquear.</t>
  </si>
  <si>
    <t>fuerza</t>
  </si>
  <si>
    <t>press_banca</t>
  </si>
  <si>
    <t>Basico de empuje para fuerza e hipertrofia.</t>
  </si>
  <si>
    <t>banco, barra</t>
  </si>
  <si>
    <t>El movimiento se realiza acostado en banco, con escápulas retraídas y pies firmes en el suelo; se baja la barra de forma controlada hasta el pecho medio, manteniendo los codos en un ángulo cómodo, y se empuja hacia arriba en línea recta sin perder la estabilidad del tronco.</t>
  </si>
  <si>
    <t>press_inclinado</t>
  </si>
  <si>
    <t>Enfasis en porcion superior del pectoral.</t>
  </si>
  <si>
    <t>banco inclinado, mancuernas o barra</t>
  </si>
  <si>
    <t>pecho superior, hombro, triceps</t>
  </si>
  <si>
    <t>El movimiento se realiza en banco inclinado (30-45 grados), bajando la carga de forma controlada hasta la parte alta del pecho y empujando hacia arriba sin bloquear los codos, manteniendo el tronco estable y las escápulas activas.</t>
  </si>
  <si>
    <t>aperturas_mancuernas</t>
  </si>
  <si>
    <t>Aislamiento del pectoral con rango amplio.</t>
  </si>
  <si>
    <t>mancuernas, banco</t>
  </si>
  <si>
    <t>pecho</t>
  </si>
  <si>
    <t>El movimiento se realiza con codos ligeramente flexionados, abriendo los brazos en arco hasta sentir estiramiento del pectoral, manteniendo la tensión sin rebotar, y cerrando de nuevo arriba sin chocar las mancuernas.</t>
  </si>
  <si>
    <t>fondos_paralelas</t>
  </si>
  <si>
    <t>Empuje vertical con alto reclutamiento.</t>
  </si>
  <si>
    <t>paralelas</t>
  </si>
  <si>
    <t>El movimiento se realiza sujetando las paralelas con el cuerpo suspendido, inclinando ligeramente el tronco, flexionando codos para descender de forma controlada hasta un rango cómodo y empujando para extender sin balanceos.</t>
  </si>
  <si>
    <t>dominadas</t>
  </si>
  <si>
    <t>Traccion vertical con carga corporal.</t>
  </si>
  <si>
    <t>barra dominadas</t>
  </si>
  <si>
    <t>espalda, biceps, core</t>
  </si>
  <si>
    <t>El movimiento se realiza colgado de la barra, activando las escápulas primero, elevando el cuerpo hasta que el pecho se acerque a la barra, y descendiendo controlado hasta extensión completa sin dejar que los hombros se colapsen.</t>
  </si>
  <si>
    <t>jalon_pecho</t>
  </si>
  <si>
    <t>Alternativa a dominadas con carga regulable.</t>
  </si>
  <si>
    <t>polea</t>
  </si>
  <si>
    <t>espalda, biceps</t>
  </si>
  <si>
    <t>El movimiento se realiza sentado con el tronco estable, tirando de la barra hacia la parte alta del pecho con codos hacia abajo y atrás, y retornando la carga lentamente sin perder la postura.</t>
  </si>
  <si>
    <t>remo_barra</t>
  </si>
  <si>
    <t>Traccion horizontal para densidad de espalda.</t>
  </si>
  <si>
    <t>barra</t>
  </si>
  <si>
    <t>El movimiento se realiza en bisagra de cadera con espalda neutra, llevando la barra hacia el ombligo con codos cerca del cuerpo, y bajando controlado sin encorvar ni balancear.</t>
  </si>
  <si>
    <t>remo_mancuernas</t>
  </si>
  <si>
    <t>Trabajo unilateral para equilibrio y control.</t>
  </si>
  <si>
    <t>mancuerna, banco</t>
  </si>
  <si>
    <t>El movimiento se realiza apoyando una mano en el banco, con la espalda recta, llevando la mancuerna hacia la cadera con el codo pegado y bajando lentamente sin rotar el tronco.</t>
  </si>
  <si>
    <t>face_pull</t>
  </si>
  <si>
    <t>Salud del hombro y postura.</t>
  </si>
  <si>
    <t>polea, cuerda</t>
  </si>
  <si>
    <t>deltoide posterior, espalda alta</t>
  </si>
  <si>
    <t>El movimiento se realiza tirando de la cuerda hacia la cara, con codos altos y separados, llevando las manos a la altura de las orejas y contrayendo la espalda alta antes de volver controlado.</t>
  </si>
  <si>
    <t>press_militar</t>
  </si>
  <si>
    <t>Empuje vertical de pie.</t>
  </si>
  <si>
    <t>barra o mancuernas</t>
  </si>
  <si>
    <t>hombro, triceps, core</t>
  </si>
  <si>
    <t>El movimiento se realiza de pie, con glúteos y abdomen activos, empujando la barra desde el pecho hacia arriba en línea recta, evitando arquear la zona lumbar, y bajando de forma controlada.</t>
  </si>
  <si>
    <t>elevaciones_laterales</t>
  </si>
  <si>
    <t>Aislamiento de hombro para amplitud.</t>
  </si>
  <si>
    <t>mancuernas</t>
  </si>
  <si>
    <t>deltoide lateral</t>
  </si>
  <si>
    <t>El movimiento se realiza con codos semidoblados, elevando los brazos hasta la altura del hombro sin balanceo, y descendiendo lentamente manteniendo la tensión.</t>
  </si>
  <si>
    <t>curl_biceps</t>
  </si>
  <si>
    <t>Aislamiento de flexores del codo.</t>
  </si>
  <si>
    <t>mancuernas o barra</t>
  </si>
  <si>
    <t>biceps</t>
  </si>
  <si>
    <t>El movimiento se realiza con codos pegados al torso, flexionando hasta llevar el peso hacia el hombro sin impulso, y bajando de forma lenta y completa.</t>
  </si>
  <si>
    <t>curl_martillo</t>
  </si>
  <si>
    <t>Enfasis en antebrazo y braquial.</t>
  </si>
  <si>
    <t>biceps, braquiorradial</t>
  </si>
  <si>
    <t>El movimiento se realiza con agarre neutro, codos estables, subiendo y bajando en recorrido completo sin balancear el tronco.</t>
  </si>
  <si>
    <t>extension_triceps</t>
  </si>
  <si>
    <t>Aislamiento del triceps.</t>
  </si>
  <si>
    <t>polea o mancuerna</t>
  </si>
  <si>
    <t>triceps</t>
  </si>
  <si>
    <t>El movimiento se realiza con codos fijos, extendiendo el antebrazo hasta completar la extensión sin mover el hombro, y regresando controlado.</t>
  </si>
  <si>
    <t>sentadilla</t>
  </si>
  <si>
    <t>Basico de fuerza para piernas.</t>
  </si>
  <si>
    <t>tren_inferior</t>
  </si>
  <si>
    <t>cuadriceps, gluteo, core</t>
  </si>
  <si>
    <t>El movimiento se realiza flexionando rodillas y cadera para hacer bajar el cuerpo hacia el suelo sin perder la verticalidad, manteniendo la espalda neutra, y volviendo luego a la posición erguida empujando con los pies.</t>
  </si>
  <si>
    <t>sentadilla_goblet</t>
  </si>
  <si>
    <t>Variante segura para tecnica.</t>
  </si>
  <si>
    <t>mancuerna o kettlebell</t>
  </si>
  <si>
    <t>El movimiento se realiza sujetando la carga al pecho, con codos hacia abajo, descendiendo en sentadilla profunda sin perder la postura y subiendo de forma controlada.</t>
  </si>
  <si>
    <t>peso_muerto</t>
  </si>
  <si>
    <t>Patron de bisagra de cadera.</t>
  </si>
  <si>
    <t>isquios, gluteo, espalda</t>
  </si>
  <si>
    <t>El movimiento se realiza con la barra pegada al cuerpo, espalda neutra y cadera atrás; se empuja el suelo con los pies y se extiende la cadera hasta quedar erguido, bajando luego con control.</t>
  </si>
  <si>
    <t>peso_muerto_rumano</t>
  </si>
  <si>
    <t>Enfasis en isquios sin tocar el suelo.</t>
  </si>
  <si>
    <t>isquios, gluteo</t>
  </si>
  <si>
    <t>El movimiento se realiza con rodillas semidobladas, llevando la cadera hacia atrás, bajando la carga hasta sentir estiramiento en isquios, y subiendo manteniendo la espalda neutra.</t>
  </si>
  <si>
    <t>zancadas</t>
  </si>
  <si>
    <t>Trabajo unilateral y estabilidad.</t>
  </si>
  <si>
    <t>ninguno o mancuernas</t>
  </si>
  <si>
    <t>El movimiento se realiza dando un paso largo, flexionando ambas rodillas hasta acercar la rodilla trasera al suelo, con el torso erguido, y empujando para volver a la posición inicial.</t>
  </si>
  <si>
    <t>prensa_piernas</t>
  </si>
  <si>
    <t>Carga alta con soporte de espalda.</t>
  </si>
  <si>
    <t>maquina</t>
  </si>
  <si>
    <t>cuadriceps, gluteo</t>
  </si>
  <si>
    <t>El movimiento se realiza con la espalda apoyada, pies estables en la plataforma, bajando la carga de forma controlada sin despegar la pelvis, y extendiendo las piernas sin bloquear rodillas.</t>
  </si>
  <si>
    <t>hip_thrust</t>
  </si>
  <si>
    <t>Maxima activacion de gluteo.</t>
  </si>
  <si>
    <t>gluteo</t>
  </si>
  <si>
    <t>El movimiento se realiza con la espalda alta apoyada en banco, empujando con talones, extendiendo la cadera hasta alinear rodillas, cadera y hombros, y bajando controlado.</t>
  </si>
  <si>
    <t>elevacion_gemelos</t>
  </si>
  <si>
    <t>Aislamiento de pantorrilla.</t>
  </si>
  <si>
    <t>maquina o mancuernas</t>
  </si>
  <si>
    <t>gemelos</t>
  </si>
  <si>
    <t>El movimiento se realiza elevando los talones hasta máxima contracción, manteniendo una breve pausa arriba, y descendiendo lentamente hasta estirar.</t>
  </si>
  <si>
    <t>step_up</t>
  </si>
  <si>
    <t>Subidas con control y estabilidad.</t>
  </si>
  <si>
    <t>caja o banco</t>
  </si>
  <si>
    <t>El movimiento se realiza apoyando un pie en la caja, subiendo el cuerpo con esa pierna sin impulso de la otra, y bajando lentamente manteniendo el equilibrio.</t>
  </si>
  <si>
    <t>plancha</t>
  </si>
  <si>
    <t>Isometria para estabilidad central.</t>
  </si>
  <si>
    <t>core</t>
  </si>
  <si>
    <t>abdominales, lumbar</t>
  </si>
  <si>
    <t>El movimiento se realiza en apoyo de antebrazos, con el cuerpo en línea recta, abdomen y glúteos activos, evitando que la cadera caiga o se eleve.</t>
  </si>
  <si>
    <t>plancha_lateral</t>
  </si>
  <si>
    <t>Estabilidad lateral del tronco.</t>
  </si>
  <si>
    <t>oblicuos, core</t>
  </si>
  <si>
    <t>El movimiento se realiza apoyando el antebrazo en el suelo, con el cuerpo alineado de pies a cabeza, cadera elevada y abdomen activo.</t>
  </si>
  <si>
    <t>crunch</t>
  </si>
  <si>
    <t>Flexion de tronco controlada.</t>
  </si>
  <si>
    <t>abdominales</t>
  </si>
  <si>
    <t>El movimiento se realiza tumbado, con rodillas flexionadas, elevando la parte alta del tronco pocos centímetros sin tirar del cuello, y bajando controlado.</t>
  </si>
  <si>
    <t>elevaciones_piernas</t>
  </si>
  <si>
    <t>Enfasis en abdomen inferior.</t>
  </si>
  <si>
    <t>ninguno o barra</t>
  </si>
  <si>
    <t>abdominales inferiores</t>
  </si>
  <si>
    <t>El movimiento se realiza con la zona lumbar pegada al suelo, elevando las piernas juntas sin balanceo y bajando lentamente sin arquear la espalda.</t>
  </si>
  <si>
    <t>russian_twist</t>
  </si>
  <si>
    <t>Rotacion controlada del tronco.</t>
  </si>
  <si>
    <t>ninguno o peso</t>
  </si>
  <si>
    <t>oblicuos</t>
  </si>
  <si>
    <t>El movimiento se realiza sentado con el tronco ligeramente inclinado, girando el torso de lado a lado de forma controlada sin encorvar la espalda.</t>
  </si>
  <si>
    <t>burpees</t>
  </si>
  <si>
    <t>Explosivo, eleva pulso y fuerza total.</t>
  </si>
  <si>
    <t>full_body</t>
  </si>
  <si>
    <t>cuerpo completo</t>
  </si>
  <si>
    <t>El movimiento se realiza pasando de pie a plancha con apoyo de manos, realizando una flexión, volviendo con los pies hacia las manos y finalizando con un salto vertical.</t>
  </si>
  <si>
    <t>thrusters</t>
  </si>
  <si>
    <t>Sentadilla + press en un movimiento.</t>
  </si>
  <si>
    <t>piernas, hombro, core</t>
  </si>
  <si>
    <t>El movimiento se realiza bajando en sentadilla y, al subir, se continúa el impulso para hacer un press por encima de la cabeza sin pausas intermedias.</t>
  </si>
  <si>
    <t>clean_press</t>
  </si>
  <si>
    <t>Levantamiento tecnico de potencia.</t>
  </si>
  <si>
    <t>barra o kettlebell</t>
  </si>
  <si>
    <t>piernas, espalda, hombro</t>
  </si>
  <si>
    <t>El movimiento se realiza impulsando la carga desde el suelo con piernas, recibiéndola en posición de rack sobre los hombros, y presionando por encima de la cabeza con control.</t>
  </si>
  <si>
    <t>kettlebell_swing</t>
  </si>
  <si>
    <t>Bisagra de cadera con ritmo.</t>
  </si>
  <si>
    <t>kettlebell</t>
  </si>
  <si>
    <t>gluteo, isquios, core</t>
  </si>
  <si>
    <t>El movimiento se realiza con bisagra de cadera, espalda neutra, llevando la pesa atrás y proyectándola al frente con la potencia de glúteos, sin tirar con los brazos.</t>
  </si>
  <si>
    <t>caminar</t>
  </si>
  <si>
    <t>Actividad base de baja intensidad.</t>
  </si>
  <si>
    <t>piernas, core</t>
  </si>
  <si>
    <t>El movimiento se realiza con paso constante, postura erguida, brazos relajados y apoyo suave del pie.</t>
  </si>
  <si>
    <t>cardio</t>
  </si>
  <si>
    <t>correr</t>
  </si>
  <si>
    <t>Cardio continuo de impacto moderado.</t>
  </si>
  <si>
    <t>El movimiento se realiza con zancada corta, apoyo medio pie, cadencia estable y tronco ligeramente inclinado hacia delante.</t>
  </si>
  <si>
    <t>hiit</t>
  </si>
  <si>
    <t>Intervalos cortos de alta intensidad.</t>
  </si>
  <si>
    <t>variable</t>
  </si>
  <si>
    <t>El trabajo se realiza alternando intervalos de esfuerzo muy alto con descansos activos o completos, cuidando la técnica en cada ejercicio.</t>
  </si>
  <si>
    <t>saltar_cuerda</t>
  </si>
  <si>
    <t>Cardio coordinativo y rapido.</t>
  </si>
  <si>
    <t>cuerda</t>
  </si>
  <si>
    <t>El movimiento se realiza con saltos bajos y rápidos, girando la cuerda con las muñecas, manteniendo codos cerca del cuerpo y postura relajada.</t>
  </si>
  <si>
    <t>jumping_jacks</t>
  </si>
  <si>
    <t>Calentamiento dinamico y cardio suave.</t>
  </si>
  <si>
    <t>El movimiento se realiza abriendo y cerrando piernas mientras los brazos suben y bajan, aterrizando suave y controlado.</t>
  </si>
  <si>
    <t>mountain_climbers</t>
  </si>
  <si>
    <t>Cardio en suelo con foco en core.</t>
  </si>
  <si>
    <t>core, hombro, piernas</t>
  </si>
  <si>
    <t>El movimiento se realiza en posición de plancha, llevando rodillas alternas al pecho con ritmo, manteniendo hombros sobre manos y cadera estable.</t>
  </si>
  <si>
    <t>bicicleta_carretera</t>
  </si>
  <si>
    <t>Cardio continuo en ruta.</t>
  </si>
  <si>
    <t>bicicleta</t>
  </si>
  <si>
    <t>piernas</t>
  </si>
  <si>
    <t>El movimiento se realiza con cadencia estable, postura relajada, core activo y ajustes de marcha según el terreno.</t>
  </si>
  <si>
    <t>bicicleta_montana</t>
  </si>
  <si>
    <t>Mayor demanda por desnivel y terreno.</t>
  </si>
  <si>
    <t>El movimiento se realiza anticipando el terreno, usando cambios adecuados y distribuyendo el peso para mantener tracción.</t>
  </si>
  <si>
    <t>spinning</t>
  </si>
  <si>
    <t>Intervalos en bici estatica.</t>
  </si>
  <si>
    <t>bicicleta estatica</t>
  </si>
  <si>
    <t>El trabajo se realiza manteniendo cadencia, ajustando resistencia según intervalos y evitando balancear el tronco.</t>
  </si>
  <si>
    <t>eliptica</t>
  </si>
  <si>
    <t>Cardio bajo impacto.</t>
  </si>
  <si>
    <t>maquina eliptica</t>
  </si>
  <si>
    <t>El movimiento se realiza con zancada fluida, sin bloquear rodillas y manteniendo el tronco estable.</t>
  </si>
  <si>
    <t>escaladora</t>
  </si>
  <si>
    <t>Simula subir escaleras.</t>
  </si>
  <si>
    <t>maquina escaladora</t>
  </si>
  <si>
    <t>piernas, gluteo</t>
  </si>
  <si>
    <t>El movimiento se realiza con paso completo, apoyando todo el pie y sin apoyarse en exceso en los brazos.</t>
  </si>
  <si>
    <t>trekking</t>
  </si>
  <si>
    <t>Caminata en terreno irregular.</t>
  </si>
  <si>
    <t>El movimiento se realiza con paso firme y regular, cuidando la postura y usando bastones si hay desnivel.</t>
  </si>
  <si>
    <t>patinar</t>
  </si>
  <si>
    <t>Cardio coordinativo y divertido.</t>
  </si>
  <si>
    <t>patines</t>
  </si>
  <si>
    <t>El movimiento se realiza empujando de forma lateral, con rodillas flexionadas, core activo y mirada al frente.</t>
  </si>
  <si>
    <t>remo_ergometro</t>
  </si>
  <si>
    <t>Cardio completo con tecnica.</t>
  </si>
  <si>
    <t>remo indoor</t>
  </si>
  <si>
    <t>espalda, piernas, core</t>
  </si>
  <si>
    <t>El movimiento se realiza con la secuencia piernas-tronco-brazos en la tracción, y brazos-tronco-piernas en el retorno, manteniendo ritmo constante.</t>
  </si>
  <si>
    <t>boxeo_saco</t>
  </si>
  <si>
    <t>Intervalos de golpeo y movilidad.</t>
  </si>
  <si>
    <t>saco</t>
  </si>
  <si>
    <t>hombro, brazos, core</t>
  </si>
  <si>
    <t>El trabajo se realiza con guardia alta, rotando la cadera en cada golpe y respirando con el impacto.</t>
  </si>
  <si>
    <t>natacion</t>
  </si>
  <si>
    <t>Cardio sin impacto con gran demanda.</t>
  </si>
  <si>
    <t>piscina</t>
  </si>
  <si>
    <t>espalda, hombro, core</t>
  </si>
  <si>
    <t>El movimiento se realiza con brazada larga, patada constante y respiración lateral o frontal según el estilo.</t>
  </si>
  <si>
    <t>estiramientos</t>
  </si>
  <si>
    <t>Mejora rango de movimiento y recuperacion.</t>
  </si>
  <si>
    <t>movilidad</t>
  </si>
  <si>
    <t>movilidad general</t>
  </si>
  <si>
    <t>El trabajo se realiza manteniendo cada postura 20-40 segundos sin rebotes, respirando de forma relajada.</t>
  </si>
  <si>
    <t>yoga_suave</t>
  </si>
  <si>
    <t>Respiracion y control postural.</t>
  </si>
  <si>
    <t>esterilla</t>
  </si>
  <si>
    <t>movilidad, core</t>
  </si>
  <si>
    <t>El trabajo se realiza con respiración lenta, transiciones suaves y posturas alineadas sin forzar el rango.</t>
  </si>
  <si>
    <t>movilidad_articular</t>
  </si>
  <si>
    <t>Rutina corta para preparar el cuerpo.</t>
  </si>
  <si>
    <t>articulaciones</t>
  </si>
  <si>
    <t>El trabajo se realiza con movimientos circulares controlados, recorriendo todo el rango articular sin dolor.</t>
  </si>
  <si>
    <t>TC06H</t>
  </si>
  <si>
    <t>restSec</t>
  </si>
  <si>
    <t>sets_1</t>
  </si>
  <si>
    <t>reps_1</t>
  </si>
  <si>
    <t>secPerRep</t>
  </si>
  <si>
    <t>weightKg_1</t>
  </si>
  <si>
    <t>BMR (Miffin)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</si>
</sst>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b/>
      <sz val="11"/>
      <color rgb="FF666666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rgb="FF999999"/>
      <name val="Calibri"/>
      <scheme val="minor"/>
    </font>
    <font>
      <b/>
      <sz val="11"/>
      <color rgb="FF999999"/>
      <name val="Calibri"/>
      <scheme val="minor"/>
    </font>
    <font>
      <b/>
      <sz val="11"/>
      <color rgb="FFFF9900"/>
      <name val="Calibri"/>
      <scheme val="minor"/>
    </font>
    <font>
      <sz val="11"/>
      <color rgb="FF666666"/>
      <name val="Calibri"/>
      <scheme val="minor"/>
    </font>
    <font>
      <sz val="11"/>
      <color rgb="FFF3F3F3"/>
      <name val="Calibri"/>
      <scheme val="minor"/>
    </font>
    <font>
      <sz val="11"/>
      <color theme="1"/>
      <name val="Calibri"/>
      <scheme val="minor"/>
    </font>
    <font>
      <sz val="11"/>
      <color rgb="FFFF9900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Calibri"/>
    </font>
    <font>
      <sz val="11"/>
      <color theme="1"/>
      <name val="Arial"/>
    </font>
    <font>
      <b/>
      <sz val="11"/>
      <color rgb="FF666666"/>
      <name val="Calibri"/>
      <scheme val="minor"/>
    </font>
    <font>
      <sz val="11"/>
      <color rgb="FF999999"/>
      <name val="Calibri"/>
    </font>
    <font>
      <b/>
      <sz val="11"/>
      <color rgb="FFFF9900"/>
      <name val="Calibri"/>
    </font>
    <font>
      <sz val="11"/>
      <color rgb="FFF3F3F3"/>
      <name val="Calibri"/>
    </font>
    <font>
      <sz val="11"/>
      <color rgb="FFFF9900"/>
      <name val="Calibri"/>
    </font>
    <font>
      <sz val="11"/>
      <color rgb="FF000000"/>
      <name val="&quot;Aptos Narrow&quot;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DD7E6B"/>
      <name val="Calibri"/>
      <family val="2"/>
      <scheme val="minor"/>
    </font>
    <font>
      <sz val="11"/>
      <color rgb="FFDD7E6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9FC5E8"/>
      </left>
      <right/>
      <top/>
      <bottom/>
      <diagonal/>
    </border>
    <border>
      <left/>
      <right style="medium">
        <color rgb="FF9FC5E8"/>
      </right>
      <top/>
      <bottom/>
      <diagonal/>
    </border>
    <border>
      <left style="medium">
        <color rgb="FFDD7E6B"/>
      </left>
      <right/>
      <top/>
      <bottom/>
      <diagonal/>
    </border>
    <border>
      <left/>
      <right style="medium">
        <color rgb="FFDD7E6B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999999"/>
      </right>
      <top/>
      <bottom/>
      <diagonal/>
    </border>
    <border>
      <left style="medium">
        <color rgb="FFB6D7A8"/>
      </left>
      <right/>
      <top/>
      <bottom/>
      <diagonal/>
    </border>
    <border>
      <left/>
      <right style="medium">
        <color rgb="FFB6D7A8"/>
      </right>
      <top/>
      <bottom/>
      <diagonal/>
    </border>
    <border>
      <left/>
      <right/>
      <top/>
      <bottom/>
      <diagonal/>
    </border>
    <border>
      <left style="thin">
        <color rgb="FF999999"/>
      </left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FF9900"/>
      </left>
      <right style="medium">
        <color rgb="FFFF9900"/>
      </right>
      <top/>
      <bottom/>
      <diagonal/>
    </border>
    <border>
      <left style="medium">
        <color rgb="FFFF9900"/>
      </left>
      <right/>
      <top/>
      <bottom/>
      <diagonal/>
    </border>
    <border>
      <left/>
      <right style="medium">
        <color rgb="FFFF9900"/>
      </right>
      <top/>
      <bottom/>
      <diagonal/>
    </border>
    <border>
      <left/>
      <right/>
      <top/>
      <bottom style="thin">
        <color rgb="FFB6D7A8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168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3" fillId="0" borderId="2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3" fillId="0" borderId="2" xfId="0" applyFont="1" applyBorder="1" applyAlignment="1"/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right"/>
    </xf>
    <xf numFmtId="0" fontId="5" fillId="0" borderId="0" xfId="0" applyFont="1" applyAlignment="1"/>
    <xf numFmtId="0" fontId="3" fillId="0" borderId="1" xfId="0" applyFont="1" applyBorder="1" applyAlignment="1">
      <alignment horizontal="left"/>
    </xf>
    <xf numFmtId="0" fontId="6" fillId="0" borderId="0" xfId="0" applyFont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5" fillId="0" borderId="1" xfId="0" applyFont="1" applyBorder="1" applyAlignment="1"/>
    <xf numFmtId="0" fontId="4" fillId="0" borderId="8" xfId="0" applyFont="1" applyBorder="1" applyAlignment="1">
      <alignment horizontal="center"/>
    </xf>
    <xf numFmtId="0" fontId="3" fillId="0" borderId="9" xfId="0" applyFont="1" applyBorder="1" applyAlignment="1"/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7" fillId="0" borderId="0" xfId="0" applyFont="1"/>
    <xf numFmtId="0" fontId="8" fillId="2" borderId="1" xfId="0" applyFont="1" applyFill="1" applyBorder="1" applyAlignment="1"/>
    <xf numFmtId="0" fontId="8" fillId="2" borderId="0" xfId="0" applyFont="1" applyFill="1" applyAlignment="1">
      <alignment horizontal="center"/>
    </xf>
    <xf numFmtId="0" fontId="9" fillId="0" borderId="2" xfId="0" applyFont="1" applyBorder="1"/>
    <xf numFmtId="0" fontId="9" fillId="3" borderId="0" xfId="0" applyFont="1" applyFill="1"/>
    <xf numFmtId="0" fontId="4" fillId="3" borderId="0" xfId="0" applyFont="1" applyFill="1"/>
    <xf numFmtId="0" fontId="8" fillId="2" borderId="3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8" fillId="2" borderId="4" xfId="0" applyFont="1" applyFill="1" applyBorder="1" applyAlignment="1">
      <alignment horizontal="right"/>
    </xf>
    <xf numFmtId="0" fontId="9" fillId="3" borderId="1" xfId="0" applyFont="1" applyFill="1" applyBorder="1"/>
    <xf numFmtId="0" fontId="10" fillId="3" borderId="0" xfId="0" applyFont="1" applyFill="1"/>
    <xf numFmtId="0" fontId="8" fillId="4" borderId="5" xfId="0" applyFont="1" applyFill="1" applyBorder="1" applyAlignment="1"/>
    <xf numFmtId="0" fontId="8" fillId="4" borderId="0" xfId="0" applyFont="1" applyFill="1" applyAlignment="1"/>
    <xf numFmtId="0" fontId="8" fillId="4" borderId="6" xfId="0" applyFont="1" applyFill="1" applyBorder="1" applyAlignment="1"/>
    <xf numFmtId="0" fontId="8" fillId="0" borderId="2" xfId="0" applyFont="1" applyBorder="1" applyAlignment="1"/>
    <xf numFmtId="0" fontId="4" fillId="3" borderId="1" xfId="0" applyFont="1" applyFill="1" applyBorder="1"/>
    <xf numFmtId="0" fontId="4" fillId="3" borderId="8" xfId="0" applyFont="1" applyFill="1" applyBorder="1"/>
    <xf numFmtId="0" fontId="11" fillId="5" borderId="9" xfId="0" applyFont="1" applyFill="1" applyBorder="1" applyAlignment="1"/>
    <xf numFmtId="0" fontId="11" fillId="5" borderId="0" xfId="0" applyFont="1" applyFill="1" applyAlignment="1"/>
    <xf numFmtId="0" fontId="11" fillId="5" borderId="0" xfId="0" applyFont="1" applyFill="1"/>
    <xf numFmtId="0" fontId="9" fillId="0" borderId="0" xfId="0" applyFont="1"/>
    <xf numFmtId="0" fontId="4" fillId="0" borderId="0" xfId="0" applyFont="1"/>
    <xf numFmtId="0" fontId="9" fillId="0" borderId="1" xfId="0" applyFont="1" applyBorder="1"/>
    <xf numFmtId="0" fontId="10" fillId="0" borderId="0" xfId="0" applyFont="1"/>
    <xf numFmtId="0" fontId="4" fillId="0" borderId="1" xfId="0" applyFont="1" applyBorder="1"/>
    <xf numFmtId="0" fontId="4" fillId="0" borderId="8" xfId="0" applyFont="1" applyBorder="1"/>
    <xf numFmtId="0" fontId="11" fillId="5" borderId="9" xfId="0" applyFont="1" applyFill="1" applyBorder="1"/>
    <xf numFmtId="0" fontId="11" fillId="5" borderId="10" xfId="0" applyFont="1" applyFill="1" applyBorder="1"/>
    <xf numFmtId="0" fontId="7" fillId="0" borderId="0" xfId="0" applyFont="1" applyAlignment="1"/>
    <xf numFmtId="0" fontId="8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8" fillId="4" borderId="6" xfId="0" applyFont="1" applyFill="1" applyBorder="1"/>
    <xf numFmtId="0" fontId="8" fillId="0" borderId="2" xfId="0" applyFont="1" applyBorder="1"/>
    <xf numFmtId="0" fontId="8" fillId="4" borderId="0" xfId="0" applyFont="1" applyFill="1"/>
    <xf numFmtId="0" fontId="8" fillId="2" borderId="1" xfId="0" applyFont="1" applyFill="1" applyBorder="1"/>
    <xf numFmtId="0" fontId="8" fillId="4" borderId="5" xfId="0" applyFont="1" applyFill="1" applyBorder="1"/>
    <xf numFmtId="0" fontId="12" fillId="0" borderId="0" xfId="0" applyFont="1" applyAlignment="1"/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13" fillId="0" borderId="0" xfId="0" applyFont="1" applyAlignment="1"/>
    <xf numFmtId="0" fontId="13" fillId="0" borderId="0" xfId="0" applyFont="1" applyAlignment="1">
      <alignment horizontal="left"/>
    </xf>
    <xf numFmtId="0" fontId="19" fillId="0" borderId="0" xfId="0" applyFont="1" applyAlignment="1"/>
    <xf numFmtId="0" fontId="19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5" borderId="9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5" borderId="9" xfId="0" applyFont="1" applyFill="1" applyBorder="1" applyAlignment="1">
      <alignment horizontal="left"/>
    </xf>
    <xf numFmtId="0" fontId="10" fillId="0" borderId="1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9" fillId="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9" fillId="0" borderId="0" xfId="0" applyFont="1" applyAlignment="1"/>
    <xf numFmtId="0" fontId="6" fillId="0" borderId="16" xfId="0" applyFont="1" applyBorder="1" applyAlignment="1"/>
    <xf numFmtId="0" fontId="4" fillId="3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3" fillId="0" borderId="17" xfId="0" applyFont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4" fillId="3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4" fillId="0" borderId="19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4" fillId="3" borderId="19" xfId="0" applyFont="1" applyFill="1" applyBorder="1"/>
    <xf numFmtId="0" fontId="4" fillId="0" borderId="19" xfId="0" applyFont="1" applyBorder="1"/>
    <xf numFmtId="0" fontId="0" fillId="0" borderId="19" xfId="0" applyFont="1" applyBorder="1" applyAlignment="1"/>
    <xf numFmtId="0" fontId="21" fillId="0" borderId="0" xfId="0" applyFont="1" applyAlignment="1"/>
    <xf numFmtId="0" fontId="4" fillId="3" borderId="13" xfId="0" applyFont="1" applyFill="1" applyBorder="1"/>
    <xf numFmtId="0" fontId="22" fillId="0" borderId="0" xfId="0" applyFont="1" applyAlignment="1"/>
    <xf numFmtId="0" fontId="23" fillId="0" borderId="0" xfId="0" applyFont="1" applyAlignment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3" fillId="0" borderId="13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5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6" fillId="0" borderId="15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9" fillId="0" borderId="14" xfId="0" applyFont="1" applyBorder="1" applyAlignment="1">
      <alignment wrapText="1"/>
    </xf>
    <xf numFmtId="0" fontId="8" fillId="4" borderId="5" xfId="0" applyFont="1" applyFill="1" applyBorder="1" applyAlignment="1">
      <alignment horizontal="left" wrapText="1"/>
    </xf>
    <xf numFmtId="0" fontId="8" fillId="4" borderId="0" xfId="0" applyFont="1" applyFill="1" applyAlignment="1">
      <alignment horizontal="left" wrapText="1"/>
    </xf>
    <xf numFmtId="0" fontId="8" fillId="4" borderId="6" xfId="0" applyFont="1" applyFill="1" applyBorder="1" applyAlignment="1">
      <alignment horizontal="left" wrapText="1"/>
    </xf>
    <xf numFmtId="0" fontId="8" fillId="4" borderId="13" xfId="0" applyFont="1" applyFill="1" applyBorder="1" applyAlignment="1">
      <alignment horizontal="left" wrapText="1"/>
    </xf>
    <xf numFmtId="0" fontId="17" fillId="4" borderId="5" xfId="0" applyFont="1" applyFill="1" applyBorder="1" applyAlignment="1">
      <alignment horizontal="left" wrapText="1"/>
    </xf>
    <xf numFmtId="0" fontId="17" fillId="4" borderId="0" xfId="0" applyFont="1" applyFill="1" applyAlignment="1">
      <alignment horizontal="left" wrapText="1"/>
    </xf>
    <xf numFmtId="0" fontId="17" fillId="4" borderId="6" xfId="0" applyFont="1" applyFill="1" applyBorder="1" applyAlignment="1">
      <alignment horizontal="left" wrapText="1"/>
    </xf>
    <xf numFmtId="0" fontId="17" fillId="4" borderId="13" xfId="0" applyFont="1" applyFill="1" applyBorder="1" applyAlignment="1">
      <alignment horizontal="left" wrapText="1"/>
    </xf>
    <xf numFmtId="0" fontId="18" fillId="3" borderId="15" xfId="0" applyFont="1" applyFill="1" applyBorder="1" applyAlignment="1">
      <alignment wrapText="1"/>
    </xf>
    <xf numFmtId="0" fontId="9" fillId="0" borderId="0" xfId="0" applyFont="1" applyAlignment="1">
      <alignment horizontal="left" wrapText="1"/>
    </xf>
    <xf numFmtId="0" fontId="18" fillId="0" borderId="15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13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9" fillId="0" borderId="20" xfId="0" applyFont="1" applyBorder="1" applyAlignment="1">
      <alignment wrapText="1"/>
    </xf>
    <xf numFmtId="0" fontId="9" fillId="3" borderId="13" xfId="0" applyFont="1" applyFill="1" applyBorder="1" applyAlignment="1">
      <alignment horizontal="left" wrapText="1"/>
    </xf>
    <xf numFmtId="0" fontId="14" fillId="0" borderId="13" xfId="0" applyFont="1" applyBorder="1" applyAlignment="1">
      <alignment horizontal="right" wrapText="1"/>
    </xf>
    <xf numFmtId="0" fontId="3" fillId="0" borderId="13" xfId="0" applyFont="1" applyBorder="1" applyAlignment="1">
      <alignment horizontal="right" wrapText="1"/>
    </xf>
    <xf numFmtId="0" fontId="14" fillId="0" borderId="13" xfId="0" applyFont="1" applyBorder="1" applyAlignment="1">
      <alignment horizontal="left" wrapText="1"/>
    </xf>
    <xf numFmtId="0" fontId="12" fillId="0" borderId="0" xfId="0" applyNumberFormat="1" applyFont="1" applyAlignment="1">
      <alignment horizontal="right"/>
    </xf>
    <xf numFmtId="0" fontId="12" fillId="0" borderId="0" xfId="0" applyNumberFormat="1" applyFont="1" applyAlignment="1"/>
    <xf numFmtId="0" fontId="12" fillId="0" borderId="0" xfId="0" applyFont="1" applyAlignment="1">
      <alignment horizontal="left"/>
    </xf>
    <xf numFmtId="0" fontId="24" fillId="0" borderId="13" xfId="0" applyFont="1" applyBorder="1" applyAlignment="1">
      <alignment horizontal="right" wrapText="1"/>
    </xf>
    <xf numFmtId="0" fontId="24" fillId="0" borderId="13" xfId="0" applyFont="1" applyBorder="1" applyAlignment="1">
      <alignment horizontal="left" wrapText="1"/>
    </xf>
    <xf numFmtId="0" fontId="25" fillId="0" borderId="13" xfId="0" applyFont="1" applyBorder="1" applyAlignment="1">
      <alignment wrapText="1"/>
    </xf>
    <xf numFmtId="0" fontId="25" fillId="0" borderId="0" xfId="0" applyFont="1" applyAlignment="1">
      <alignment wrapText="1"/>
    </xf>
    <xf numFmtId="0" fontId="20" fillId="0" borderId="1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7E6B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FC5E8"/>
    <outlinePr summaryBelow="0" summaryRight="0"/>
  </sheetPr>
  <dimension ref="A1:CN100"/>
  <sheetViews>
    <sheetView workbookViewId="0">
      <pane xSplit="1" ySplit="2" topLeftCell="AL3" activePane="bottomRight" state="frozen"/>
      <selection pane="topRight" activeCell="B1" sqref="B1"/>
      <selection pane="bottomLeft" activeCell="A3" sqref="A3"/>
      <selection pane="bottomRight" activeCell="AE1" sqref="AE1:AE1048576"/>
    </sheetView>
  </sheetViews>
  <sheetFormatPr defaultColWidth="14.42578125" defaultRowHeight="15" customHeight="1" outlineLevelCol="1"/>
  <cols>
    <col min="6" max="6" width="3" customWidth="1"/>
    <col min="9" max="9" width="3" customWidth="1"/>
    <col min="14" max="14" width="14.42578125" outlineLevel="1"/>
    <col min="29" max="32" width="14.42578125" outlineLevel="1"/>
    <col min="42" max="42" width="3" customWidth="1"/>
    <col min="47" max="47" width="3" customWidth="1"/>
    <col min="48" max="51" width="14.42578125" customWidth="1" outlineLevel="1"/>
    <col min="61" max="61" width="3" customWidth="1"/>
    <col min="73" max="73" width="3" customWidth="1"/>
    <col min="74" max="82" width="14.42578125" customWidth="1" outlineLevel="1"/>
    <col min="83" max="83" width="14.42578125" style="123" customWidth="1" outlineLevel="1"/>
    <col min="84" max="91" width="14.42578125" customWidth="1" outlineLevel="1"/>
    <col min="92" max="92" width="14.42578125" style="130"/>
  </cols>
  <sheetData>
    <row r="1" spans="1:92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7"/>
      <c r="J1" s="8">
        <v>1.2</v>
      </c>
      <c r="K1" s="8">
        <v>0.3</v>
      </c>
      <c r="L1" s="8">
        <v>0.4</v>
      </c>
      <c r="M1" s="8">
        <v>0.3</v>
      </c>
      <c r="N1" s="8"/>
      <c r="O1" s="8">
        <v>5</v>
      </c>
      <c r="P1" s="8">
        <v>14</v>
      </c>
      <c r="Q1" s="8">
        <v>0.1</v>
      </c>
      <c r="R1" s="8">
        <v>0.1</v>
      </c>
      <c r="S1" s="8">
        <v>3.5</v>
      </c>
      <c r="T1" s="9" t="s">
        <v>2</v>
      </c>
      <c r="U1" s="10"/>
      <c r="V1" s="11"/>
      <c r="W1" s="11"/>
      <c r="X1" s="11"/>
      <c r="Y1" s="11"/>
      <c r="Z1" s="11"/>
      <c r="AA1" s="11"/>
      <c r="AB1" s="12"/>
      <c r="AC1" s="13"/>
      <c r="AD1" s="8"/>
      <c r="AE1" s="8"/>
      <c r="AF1" s="8"/>
      <c r="AG1" s="14" t="s">
        <v>3</v>
      </c>
      <c r="AH1" s="8"/>
      <c r="AI1" s="8"/>
      <c r="AJ1" s="15"/>
      <c r="AK1" s="8"/>
      <c r="AL1" s="8"/>
      <c r="AM1" s="8"/>
      <c r="AN1" s="8"/>
      <c r="AO1" s="8"/>
      <c r="AP1" s="7"/>
      <c r="AQ1" s="16" t="s">
        <v>4</v>
      </c>
      <c r="AR1" s="6"/>
      <c r="AS1" s="6"/>
      <c r="AT1" s="17"/>
      <c r="AU1" s="18"/>
      <c r="AV1" s="19"/>
      <c r="AW1" s="8"/>
      <c r="AX1" s="8"/>
      <c r="AY1" s="20"/>
      <c r="AZ1" s="5" t="s">
        <v>5</v>
      </c>
      <c r="BA1" s="6"/>
      <c r="BB1" s="6"/>
      <c r="BC1" s="15"/>
      <c r="BD1" s="8">
        <v>5</v>
      </c>
      <c r="BE1" s="8">
        <v>14</v>
      </c>
      <c r="BF1" s="8">
        <v>0.1</v>
      </c>
      <c r="BG1" s="8">
        <v>0.1</v>
      </c>
      <c r="BH1" s="8">
        <v>3.5</v>
      </c>
      <c r="BI1" s="7"/>
      <c r="BJ1" s="21" t="s">
        <v>6</v>
      </c>
      <c r="BK1" s="6"/>
      <c r="BL1" s="6"/>
      <c r="BM1" s="22"/>
      <c r="BN1" s="22"/>
      <c r="BO1" s="22"/>
      <c r="BQ1" s="22"/>
      <c r="BR1" s="22"/>
      <c r="BS1" s="22"/>
      <c r="BT1" s="23"/>
      <c r="BU1" s="7"/>
      <c r="BV1" s="118" t="s">
        <v>645</v>
      </c>
      <c r="BW1" s="8"/>
      <c r="BX1" s="8"/>
      <c r="BY1" s="8"/>
      <c r="BZ1" s="8"/>
      <c r="CA1" s="8"/>
      <c r="CB1" s="8"/>
      <c r="CC1" s="8"/>
      <c r="CD1" s="8"/>
      <c r="CE1" s="119"/>
      <c r="CF1" s="8"/>
      <c r="CG1" s="8"/>
      <c r="CH1" s="8"/>
      <c r="CI1" s="8"/>
      <c r="CJ1" s="8"/>
      <c r="CK1" s="8"/>
      <c r="CL1" s="8"/>
      <c r="CM1" s="8"/>
    </row>
    <row r="2" spans="1:92">
      <c r="A2" s="24" t="s">
        <v>7</v>
      </c>
      <c r="B2" s="25" t="s">
        <v>8</v>
      </c>
      <c r="C2" s="26" t="s">
        <v>9</v>
      </c>
      <c r="D2" s="26" t="s">
        <v>10</v>
      </c>
      <c r="E2" s="26" t="s">
        <v>11</v>
      </c>
      <c r="F2" s="27"/>
      <c r="G2" s="22" t="s">
        <v>12</v>
      </c>
      <c r="H2" s="22" t="s">
        <v>921</v>
      </c>
      <c r="I2" s="27"/>
      <c r="J2" s="22" t="s">
        <v>13</v>
      </c>
      <c r="K2" s="22" t="s">
        <v>14</v>
      </c>
      <c r="L2" s="22" t="s">
        <v>15</v>
      </c>
      <c r="M2" s="22" t="s">
        <v>16</v>
      </c>
      <c r="N2" s="28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9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22" t="s">
        <v>30</v>
      </c>
      <c r="AB2" s="30" t="s">
        <v>31</v>
      </c>
      <c r="AC2" s="28" t="s">
        <v>32</v>
      </c>
      <c r="AD2" s="28" t="s">
        <v>33</v>
      </c>
      <c r="AE2" s="28" t="s">
        <v>34</v>
      </c>
      <c r="AF2" s="28" t="s">
        <v>35</v>
      </c>
      <c r="AG2" s="31" t="s">
        <v>36</v>
      </c>
      <c r="AH2" s="22" t="s">
        <v>37</v>
      </c>
      <c r="AI2" s="22" t="s">
        <v>38</v>
      </c>
      <c r="AJ2" s="32" t="s">
        <v>39</v>
      </c>
      <c r="AK2" s="22" t="s">
        <v>40</v>
      </c>
      <c r="AL2" s="22" t="s">
        <v>41</v>
      </c>
      <c r="AM2" s="22" t="s">
        <v>42</v>
      </c>
      <c r="AN2" s="22" t="s">
        <v>43</v>
      </c>
      <c r="AO2" s="22" t="s">
        <v>44</v>
      </c>
      <c r="AP2" s="33"/>
      <c r="AQ2" s="34" t="s">
        <v>45</v>
      </c>
      <c r="AR2" s="22" t="s">
        <v>46</v>
      </c>
      <c r="AS2" s="22" t="s">
        <v>47</v>
      </c>
      <c r="AT2" s="35" t="s">
        <v>48</v>
      </c>
      <c r="AU2" s="27"/>
      <c r="AV2" s="36" t="s">
        <v>49</v>
      </c>
      <c r="AW2" s="28" t="s">
        <v>50</v>
      </c>
      <c r="AX2" s="28" t="s">
        <v>51</v>
      </c>
      <c r="AY2" s="37" t="s">
        <v>52</v>
      </c>
      <c r="AZ2" s="22" t="s">
        <v>53</v>
      </c>
      <c r="BA2" s="22" t="s">
        <v>54</v>
      </c>
      <c r="BB2" s="22" t="s">
        <v>55</v>
      </c>
      <c r="BC2" s="32" t="s">
        <v>56</v>
      </c>
      <c r="BD2" s="22" t="s">
        <v>57</v>
      </c>
      <c r="BE2" s="22" t="s">
        <v>58</v>
      </c>
      <c r="BF2" s="22" t="s">
        <v>59</v>
      </c>
      <c r="BG2" s="22" t="s">
        <v>60</v>
      </c>
      <c r="BH2" s="22" t="s">
        <v>61</v>
      </c>
      <c r="BI2" s="27"/>
      <c r="BJ2" s="38" t="s">
        <v>62</v>
      </c>
      <c r="BK2" s="22" t="s">
        <v>63</v>
      </c>
      <c r="BL2" s="22" t="s">
        <v>64</v>
      </c>
      <c r="BM2" s="22" t="s">
        <v>65</v>
      </c>
      <c r="BN2" s="22" t="s">
        <v>66</v>
      </c>
      <c r="BO2" s="22" t="s">
        <v>67</v>
      </c>
      <c r="BP2" s="22" t="s">
        <v>68</v>
      </c>
      <c r="BQ2" s="22" t="s">
        <v>69</v>
      </c>
      <c r="BR2" s="22" t="s">
        <v>70</v>
      </c>
      <c r="BS2" s="22" t="s">
        <v>71</v>
      </c>
      <c r="BT2" s="22" t="s">
        <v>72</v>
      </c>
      <c r="BU2" s="27"/>
      <c r="BV2" s="84" t="s">
        <v>624</v>
      </c>
      <c r="BW2" s="84" t="s">
        <v>625</v>
      </c>
      <c r="BX2" s="84" t="s">
        <v>626</v>
      </c>
      <c r="BY2" s="84" t="s">
        <v>627</v>
      </c>
      <c r="BZ2" s="84" t="s">
        <v>628</v>
      </c>
      <c r="CA2" s="84" t="s">
        <v>629</v>
      </c>
      <c r="CB2" s="84" t="s">
        <v>630</v>
      </c>
      <c r="CC2" s="84" t="s">
        <v>631</v>
      </c>
      <c r="CD2" s="84" t="s">
        <v>632</v>
      </c>
      <c r="CE2" s="120" t="s">
        <v>654</v>
      </c>
      <c r="CF2" s="84" t="s">
        <v>646</v>
      </c>
      <c r="CG2" s="84" t="s">
        <v>647</v>
      </c>
      <c r="CH2" s="84" t="s">
        <v>648</v>
      </c>
      <c r="CI2" s="84" t="s">
        <v>649</v>
      </c>
      <c r="CJ2" s="84" t="s">
        <v>650</v>
      </c>
      <c r="CK2" s="84" t="s">
        <v>651</v>
      </c>
      <c r="CL2" s="84" t="s">
        <v>652</v>
      </c>
      <c r="CM2" s="84" t="s">
        <v>653</v>
      </c>
      <c r="CN2" s="131" t="s">
        <v>655</v>
      </c>
    </row>
    <row r="3" spans="1:92">
      <c r="A3" s="39" t="s">
        <v>73</v>
      </c>
      <c r="B3" s="40" t="s">
        <v>74</v>
      </c>
      <c r="C3" s="41">
        <v>30</v>
      </c>
      <c r="D3" s="41">
        <v>175</v>
      </c>
      <c r="E3" s="41">
        <v>75</v>
      </c>
      <c r="F3" s="42"/>
      <c r="G3" s="43" cm="1">
        <f t="array" ref="G3:G100">IF(ISBLANK($A3:$A100),"", ROUND(E3:E100 / ((D3:D100 / 100) ^2),1))</f>
        <v>24.5</v>
      </c>
      <c r="H3" s="43" cm="1">
        <f t="array" ref="H3:H100">IF(ISBLANK($A3:$A100),"", ROUND(10*E3:E100 + 6.25*D3:D100 - 5*C3:C100 + IF(B3:B100="hombre", 5, -161),0))</f>
        <v>1699</v>
      </c>
      <c r="I3" s="42"/>
      <c r="J3" s="43" cm="1">
        <f t="array" ref="J3:J100">IF(ISBLANK(A3:A100),"", ROUND(H3:H100 * $J$1,0))</f>
        <v>2039</v>
      </c>
      <c r="K3" s="43" cm="1">
        <f t="array" ref="K3:K100">IF(ISBLANK($A3:$A100),"", ROUND($J3:J100 * K$1 / 4,0))</f>
        <v>153</v>
      </c>
      <c r="L3" s="43" cm="1">
        <f t="array" ref="L3:L100">IF(ISBLANK($A3:$A100),"", ROUND($J3:J100 * L$1 / 4,0))</f>
        <v>204</v>
      </c>
      <c r="M3" s="43" cm="1">
        <f t="array" ref="M3:M100">IF(ISBLANK($A3:$A100),"", ROUND($J3:J100 * M$1 / 9,0))</f>
        <v>68</v>
      </c>
      <c r="N3" s="44" cm="1">
        <f t="array" ref="N3:N100">IF(ISBLANK($A3:$A100),"", $K3:K100*4 + $L3:L100*4 + $M3:M100*9)</f>
        <v>2040</v>
      </c>
      <c r="O3" s="43" cm="1">
        <f t="array" ref="O3:O100">IF(ISBLANK($A3:$A100),"", $O$1)</f>
        <v>5</v>
      </c>
      <c r="P3" s="43" cm="1">
        <f t="array" ref="P3:P100">IF(ISBLANK($A3:$A100),"", ROUND($P$1 * $N3:$N100/1000,0))</f>
        <v>29</v>
      </c>
      <c r="Q3" s="43" cm="1">
        <f t="array" ref="Q3:Q100">IF(ISBLANK($A3:$A100),"", ROUND($N3:$N100 * Q$1 / 4,0))</f>
        <v>51</v>
      </c>
      <c r="R3" s="43" cm="1">
        <f t="array" ref="R3:R100">IF(ISBLANK($A3:$A100),"", ROUND($N3:$N100 * R$1 / 9,0))</f>
        <v>23</v>
      </c>
      <c r="S3" s="43" cm="1">
        <f t="array" ref="S3:S100">IF(ISBLANK($A3:$A100),"", $S$1)</f>
        <v>3.5</v>
      </c>
      <c r="T3" s="45">
        <v>0</v>
      </c>
      <c r="U3" s="46">
        <v>0</v>
      </c>
      <c r="V3" s="46">
        <v>0</v>
      </c>
      <c r="W3" s="47">
        <v>0</v>
      </c>
      <c r="X3" s="48">
        <v>0.05</v>
      </c>
      <c r="Y3" s="48">
        <v>0</v>
      </c>
      <c r="Z3" s="48">
        <v>0</v>
      </c>
      <c r="AA3" s="48">
        <v>0</v>
      </c>
      <c r="AB3" s="49">
        <v>0</v>
      </c>
      <c r="AC3" s="44" cm="1">
        <f t="array" ref="AC3:AC100">IF(ISBLANK($A3:$A100),"", J3:J100 * (1 + T3:T100))</f>
        <v>2039</v>
      </c>
      <c r="AD3" s="44">
        <f t="array" ref="AD3:AD100">IF(ISBLANK($A3:$A100),"", ROUND($AC3:AC100 * K$1 / 4,0))</f>
        <v>153</v>
      </c>
      <c r="AE3" s="44" cm="1">
        <f t="array" ref="AE3:AE100">IF(ISBLANK($A3:$A100),"", ROUND($AC3:AC100 * L$1 / 4,0))</f>
        <v>204</v>
      </c>
      <c r="AF3" s="44" cm="1">
        <f t="array" ref="AF3:AF100">IF(ISBLANK($A3:$A100),"", ROUND($AC3:AC100 * M$1 / 9,0))</f>
        <v>68</v>
      </c>
      <c r="AG3" s="50" cm="1">
        <f t="array" ref="AG3:AG100">IF(ISBLANK($A3:$A100),"", ROUND($AD3:AD100 * (1 + U3:U100),0))</f>
        <v>153</v>
      </c>
      <c r="AH3" s="43" cm="1">
        <f t="array" ref="AH3:AH100">IF(ISBLANK($A3:$A100),"", ROUND($AE3:AE100 * (1 + V3:V100),0))</f>
        <v>204</v>
      </c>
      <c r="AI3" s="43" cm="1">
        <f t="array" ref="AI3:AI100">IF(ISBLANK($A3:$A100),"", ROUND($AF3:AF100 * (1 + W3:W100),0))</f>
        <v>68</v>
      </c>
      <c r="AJ3" s="51" cm="1">
        <f t="array" ref="AJ3:AJ100">IF(ISBLANK($A3:$A100),"", $AG3:AG100*4 + $AH3:AH100*4 + $AI3:AI100*9)</f>
        <v>2040</v>
      </c>
      <c r="AK3" s="43" cm="1">
        <f t="array" ref="AK3:AK100">IF(ISBLANK($A3:$A100),"", ROUND($O$1 * (1 + X3:X100),2))</f>
        <v>5.25</v>
      </c>
      <c r="AL3" s="43" cm="1">
        <f t="array" ref="AL3:AL100">IF(ISBLANK($A3:$A100),"", ROUND($P$1 * $AJ3:$AJ100/1000 * (1 + Y3:Y100),1))</f>
        <v>28.6</v>
      </c>
      <c r="AM3" s="43" cm="1">
        <f t="array" ref="AM3:AM100">IF(ISBLANK($A3:$A100),"", ROUND($AJ3:$AJ100 * $Q$1 / 4 * (1 + Z3:Z100),1))</f>
        <v>51</v>
      </c>
      <c r="AN3" s="43" cm="1">
        <f t="array" ref="AN3:AN100">IF(ISBLANK($A3:$A100),"", ROUND($AJ3:$AJ100 * $R$1 / 9 * (1 + AA3:AA100),1))</f>
        <v>22.7</v>
      </c>
      <c r="AO3" s="43" cm="1">
        <f t="array" ref="AO3:AO100">IF(ISBLANK($A3:$A100),"", $S$1 * (1 + AB3:AB100))</f>
        <v>3.5</v>
      </c>
      <c r="AP3" s="42"/>
      <c r="AQ3" s="52" t="s">
        <v>75</v>
      </c>
      <c r="AR3" s="53" t="s">
        <v>76</v>
      </c>
      <c r="AS3" s="53" t="e" cm="1">
        <f t="array" ref="AS3:AS100">IF(ISBLANK(A3:A100),"", ROUND(_xlfn.XLOOKUP($AQ3:AQ100, Actividad_calc!$B$3:$B$30, Actividad_calc!BU$3:BU$30, "") * $E3:E100,2))</f>
        <v>#REF!</v>
      </c>
      <c r="AT3" s="54" t="e" cm="1">
        <f t="array" ref="AT3:AT100">IF(ISBLANK(A3:A100),"", ROUND(_xlfn.XLOOKUP($AR3:AR100, Actividad_calc!$B$3:$B$30, Actividad_calc!BU$3:BU$30, "") * $E3:E100,2))</f>
        <v>#REF!</v>
      </c>
      <c r="AU3" s="55"/>
      <c r="AV3" s="56" t="e" cm="1">
        <f t="array" ref="AV3:AV100">IF(ISBLANK(A3:A100),"", ROUND(($J3:J100 + $AS3:AS100 + $AT3:AT100) * (1 + T3:T100),0))</f>
        <v>#REF!</v>
      </c>
      <c r="AW3" s="44" t="e" cm="1">
        <f t="array" ref="AW3:AW100">IF(ISBLANK(A3:A100),"", ROUND($AV3:AV100 * _xlfn.XLOOKUP($AR3:AR100, Actividad_calc!$B$3:$B$30, Actividad_calc!#REF!)/4,0))</f>
        <v>#REF!</v>
      </c>
      <c r="AX3" s="44" t="e" cm="1">
        <f t="array" ref="AX3:AX100">IF(ISBLANK(A3:A100),"", ROUND($AV3:AV100 * _xlfn.XLOOKUP($AR3:AR100, Actividad_calc!$B$3:$B$30, Actividad_calc!#REF!)/4,0))</f>
        <v>#REF!</v>
      </c>
      <c r="AY3" s="57" t="e" cm="1">
        <f t="array" ref="AY3:AY100">IF(ISBLANK(A3:A100),"", ROUND($AV3:AV100 * _xlfn.XLOOKUP($AR3:AR100, Actividad_calc!$B$3:$B$30, Actividad_calc!#REF!)/9,0))</f>
        <v>#REF!</v>
      </c>
      <c r="AZ3" s="43" t="e" cm="1">
        <f t="array" ref="AZ3:AZ100">IF(ISBLANK(A3:A100),"", ROUND(AW3:AW100 * (1 + U3:U100),0))</f>
        <v>#REF!</v>
      </c>
      <c r="BA3" s="43" t="e" cm="1">
        <f t="array" ref="BA3:BA100">IF(ISBLANK(A3:A100),"", ROUND(AX3:AX100 * (1 + V3:V100),0))</f>
        <v>#REF!</v>
      </c>
      <c r="BB3" s="43" t="e" cm="1">
        <f t="array" ref="BB3:BB100">IF(ISBLANK(A3:A100),"", ROUND(AY3:AY100 * (1 + W3:W100),0))</f>
        <v>#REF!</v>
      </c>
      <c r="BC3" s="51" t="e" cm="1">
        <f t="array" ref="BC3:BC100">IF(ISBLANK(A3:A100),"", $AZ3:AZ100*4 + $BA3:BA100*4 + $BB3:BB100*9)</f>
        <v>#REF!</v>
      </c>
      <c r="BD3" s="43" cm="1">
        <f t="array" ref="BD3:BD100">IF(ISBLANK($A3:$A100),"", ROUND($BD$1 * (1 + X3:X100),2))</f>
        <v>5.25</v>
      </c>
      <c r="BE3" s="43" t="e" cm="1">
        <f t="array" ref="BE3:BE100">IF(ISBLANK($A3:$A100),"", ROUND($BE$1 * $BC3:$BC100/1000 * (1 + Y3:Y100),1))</f>
        <v>#REF!</v>
      </c>
      <c r="BF3" s="43" t="e" cm="1">
        <f t="array" ref="BF3:BF100">IF(ISBLANK($A3:$A100),"", ROUND($BC3:$BC100 * $BF$1 / 4 * (1 + Z3:Z100),1))</f>
        <v>#REF!</v>
      </c>
      <c r="BG3" s="43" t="e" cm="1">
        <f t="array" ref="BG3:BG100">IF(ISBLANK($A3:$A100),"", ROUND($BC3:$BC100 * $BG$1 / 9 * (1 + AA3:AA100),1))</f>
        <v>#REF!</v>
      </c>
      <c r="BH3" s="43" cm="1">
        <f t="array" ref="BH3:BH100">IF(ISBLANK($A3:$A100),"", $BH$1 * (1 + AB3:AB100))</f>
        <v>3.5</v>
      </c>
      <c r="BI3" s="42"/>
      <c r="BJ3" s="58" t="s">
        <v>77</v>
      </c>
      <c r="BK3" s="59" t="s">
        <v>531</v>
      </c>
      <c r="BL3" s="60" cm="1">
        <f t="array" ref="BL3:BL100">_xlfn.XLOOKUP($BJ3:$BJ100&amp;" | "&amp;$BK3:$BK100, Alimentacion_calc!$A3:$A100&amp;" | "&amp;Alimentacion_calc!$B3:$B100, Alimentacion_calc!BK3:BK100, "")</f>
        <v>1601.5</v>
      </c>
      <c r="BM3" s="60" cm="1">
        <f t="array" ref="BM3:BM100">_xlfn.XLOOKUP($BJ3:$BJ100&amp;" | "&amp;$BK3:$BK100, Alimentacion_calc!$A3:$A100&amp;" | "&amp;Alimentacion_calc!$B3:$B100, Alimentacion_calc!BL3:BL100, "")</f>
        <v>121.6</v>
      </c>
      <c r="BN3" s="60" cm="1">
        <f t="array" ref="BN3:BN100">_xlfn.XLOOKUP($BJ3:$BJ100&amp;" | "&amp;$BK3:$BK100, Alimentacion_calc!$A3:$A100&amp;" | "&amp;Alimentacion_calc!$B3:$B100, Alimentacion_calc!BM3:BM100, "")</f>
        <v>147</v>
      </c>
      <c r="BO3" s="60" cm="1">
        <f t="array" ref="BO3:BO100">_xlfn.XLOOKUP($BJ3:$BJ100&amp;" | "&amp;$BK3:$BK100, Alimentacion_calc!$A3:$A100&amp;" | "&amp;Alimentacion_calc!$B3:$B100, Alimentacion_calc!BN3:BN100, "")</f>
        <v>62.2</v>
      </c>
      <c r="BP3" s="60" cm="1">
        <f t="array" ref="BP3:BP100">_xlfn.XLOOKUP($BJ3:$BJ100&amp;" | "&amp;$BK3:$BK100, Alimentacion_calc!$A3:$A100&amp;" | "&amp;Alimentacion_calc!$B3:$B100, Alimentacion_calc!BO3:BO100, "")</f>
        <v>19.850000000000001</v>
      </c>
      <c r="BQ3" s="60" cm="1">
        <f t="array" ref="BQ3:BQ100">_xlfn.XLOOKUP($BJ3:$BJ100&amp;" | "&amp;$BK3:$BK100, Alimentacion_calc!$A3:$A100&amp;" | "&amp;Alimentacion_calc!$B3:$B100, Alimentacion_calc!BP3:BP100, "")</f>
        <v>27</v>
      </c>
      <c r="BR3" s="60" cm="1">
        <f t="array" ref="BR3:BR100">_xlfn.XLOOKUP($BJ3:$BJ100&amp;" | "&amp;$BK3:$BK100, Alimentacion_calc!$A3:$A100&amp;" | "&amp;Alimentacion_calc!$B3:$B100, Alimentacion_calc!BQ3:BQ100, "")</f>
        <v>56.25</v>
      </c>
      <c r="BS3" s="60" cm="1">
        <f t="array" ref="BS3:BS100">_xlfn.XLOOKUP($BJ3:$BJ100&amp;" | "&amp;$BK3:$BK100, Alimentacion_calc!$A3:$A100&amp;" | "&amp;Alimentacion_calc!$B3:$B100, Alimentacion_calc!BR3:BR100, "")</f>
        <v>2.1438000000000001</v>
      </c>
      <c r="BT3" s="60" cm="1">
        <f t="array" ref="BT3:BT100">_xlfn.XLOOKUP($BJ3:$BJ100&amp;" | "&amp;$BK3:$BK100, Alimentacion_calc!$A3:$A100&amp;" | "&amp;Alimentacion_calc!$B3:$B100, Alimentacion_calc!BT3:BT100, "")</f>
        <v>2.2122999999999999</v>
      </c>
      <c r="BU3" s="42"/>
      <c r="BV3" s="44" t="str" cm="1">
        <f t="array" ref="BV3:BV100">IF($BL3:$BL100="","",
  IFERROR((BL3:BL100/BC3:BC100) - 1,"")
)</f>
        <v/>
      </c>
      <c r="BW3" s="44" t="str" cm="1">
        <f t="array" ref="BW3:BW100">IF($BL3:$BL100="","",
  IFERROR((BM3:BM100/AZ3:AZ100) - 1,"")
)</f>
        <v/>
      </c>
      <c r="BX3" s="44" t="str" cm="1">
        <f t="array" ref="BX3:BX100">IF($BL3:$BL100="","",
  IFERROR((BN3:BN100/BA3:BA100) - 1,"")
)</f>
        <v/>
      </c>
      <c r="BY3" s="44" t="str" cm="1">
        <f t="array" ref="BY3:BY100">IF($BL3:$BL100="","",
  IFERROR((BO3:BO100/BB3:BB100) - 1,"")
)</f>
        <v/>
      </c>
      <c r="BZ3" s="44" cm="1">
        <f t="array" ref="BZ3:BZ100">IF($BL3:$BL100="","",
  IFERROR((BS3:BS100/BD3:BD100) - 1,"")
)</f>
        <v>-0.59165714285714288</v>
      </c>
      <c r="CA3" s="44" t="str" cm="1">
        <f t="array" ref="CA3:CA100">IF($BL3:$BL100="","",
  IFERROR((BQ3:BQ100/BE3:BE100) - 1,"")
)</f>
        <v/>
      </c>
      <c r="CB3" s="44" t="str" cm="1">
        <f t="array" ref="CB3:CB100">IF($BL3:$BL100="","",
  IFERROR((BR3:BR100/BF3:BF100) - 1,"")
)</f>
        <v/>
      </c>
      <c r="CC3" s="44" t="str" cm="1">
        <f t="array" ref="CC3:CC100">IF($BL3:$BL100="","",
  IFERROR((BP3:BP100/BG3:BG100) - 1,"")
)</f>
        <v/>
      </c>
      <c r="CD3" s="44" cm="1">
        <f t="array" ref="CD3:CD100">IF($BL3:$BL100="","",
  IFERROR((BT3:BT100/BH3:BH100) - 1,"")
)</f>
        <v>-0.36791428571428575</v>
      </c>
      <c r="CE3" s="121" t="str" cm="1">
        <f t="array" ref="CE3:CE100">_xlfn.BYROW(BV3:BV100, _xlfn.LAMBDA(_xlpm.fila, IF(_xlpm.fila="","",
  MIN(Alimentacion_score_data!B$4, ABS(_xlpm.fila) * IF(_xlpm.fila&lt;0, Alimentacion_score_data!B$2, Alimentacion_score_data!B$3)) * 10
)))</f>
        <v/>
      </c>
      <c r="CF3" s="125" t="str" cm="1">
        <f t="array" ref="CF3:CF100">_xlfn.BYROW(BW3:BW100, _xlfn.LAMBDA(_xlpm.fila, IF(_xlpm.fila="","",
  MIN(Alimentacion_score_data!C$4, ABS(_xlpm.fila) * IF(_xlpm.fila&lt;0, Alimentacion_score_data!C$2, Alimentacion_score_data!C$3)) * 10
)))</f>
        <v/>
      </c>
      <c r="CG3" s="125" t="str" cm="1">
        <f t="array" ref="CG3:CG100">_xlfn.BYROW(BX3:BX100, _xlfn.LAMBDA(_xlpm.fila, IF(_xlpm.fila="","",
  MIN(Alimentacion_score_data!D$4, ABS(_xlpm.fila) * IF(_xlpm.fila&lt;0, Alimentacion_score_data!D$2, Alimentacion_score_data!D$3)) * 10
)))</f>
        <v/>
      </c>
      <c r="CH3" s="125" t="str" cm="1">
        <f t="array" ref="CH3:CH100">_xlfn.BYROW(BY3:BY100, _xlfn.LAMBDA(_xlpm.fila, IF(_xlpm.fila="","",
  MIN(Alimentacion_score_data!E$4, ABS(_xlpm.fila) * IF(_xlpm.fila&lt;0, Alimentacion_score_data!E$2, Alimentacion_score_data!E$3)) * 10
)))</f>
        <v/>
      </c>
      <c r="CI3" s="125" cm="1">
        <f t="array" ref="CI3:CI100">_xlfn.BYROW(BZ3:BZ100, _xlfn.LAMBDA(_xlpm.fila, IF(_xlpm.fila="","",
  MIN(Alimentacion_score_data!F$4, ABS(_xlpm.fila) * IF(_xlpm.fila&lt;0, Alimentacion_score_data!F$2, Alimentacion_score_data!F$3)) * 10
)))</f>
        <v>0</v>
      </c>
      <c r="CJ3" s="125" t="str" cm="1">
        <f t="array" ref="CJ3:CJ100">_xlfn.BYROW(CA3:CA100, _xlfn.LAMBDA(_xlpm.fila, IF(_xlpm.fila="","",
  MIN(Alimentacion_score_data!G$4, ABS(_xlpm.fila) * IF(_xlpm.fila&lt;0, Alimentacion_score_data!G$2, Alimentacion_score_data!G$3)) * 10
)))</f>
        <v/>
      </c>
      <c r="CK3" s="125" t="str" cm="1">
        <f t="array" ref="CK3:CK100">_xlfn.BYROW(CB3:CB100, _xlfn.LAMBDA(_xlpm.fila, IF(_xlpm.fila="","",
  MIN(Alimentacion_score_data!H$4, ABS(_xlpm.fila) * IF(_xlpm.fila&lt;0, Alimentacion_score_data!H$2, Alimentacion_score_data!H$3)) * 10
)))</f>
        <v/>
      </c>
      <c r="CL3" s="125" t="str" cm="1">
        <f t="array" ref="CL3:CL100">_xlfn.BYROW(CC3:CC100, _xlfn.LAMBDA(_xlpm.fila, IF(_xlpm.fila="","",
  MIN(Alimentacion_score_data!I$4, ABS(_xlpm.fila) * IF(_xlpm.fila&lt;0, Alimentacion_score_data!I$2, Alimentacion_score_data!I$3)) * 10
)))</f>
        <v/>
      </c>
      <c r="CM3" s="125" cm="1">
        <f t="array" ref="CM3:CM100">_xlfn.BYROW(CD3:CD100, _xlfn.LAMBDA(_xlpm.fila, IF(_xlpm.fila="","",
  MIN(Alimentacion_score_data!J$4, ABS(_xlpm.fila) * IF(_xlpm.fila&lt;0, Alimentacion_score_data!J$2, Alimentacion_score_data!J$3)) * 10
)))</f>
        <v>0</v>
      </c>
      <c r="CN3" s="130" t="str" cm="1">
        <f t="array" ref="CN3:CN100">IFERROR(ROUND(10 / (1+ ((CE3:CE100+CF3:CF100+CG3:CG100+CH3:CH100+CI3:CI100+CJ3:CJ100+CK3:CK100+CL3:CL100+CM3:CM100) / Alimentacion_score_data!$L$4)^Alimentacion_score_data!$L$3),4),"")</f>
        <v/>
      </c>
    </row>
    <row r="4" spans="1:92">
      <c r="A4" s="39" t="s">
        <v>78</v>
      </c>
      <c r="B4" s="40" t="s">
        <v>74</v>
      </c>
      <c r="C4" s="41">
        <v>30</v>
      </c>
      <c r="D4" s="41">
        <v>175</v>
      </c>
      <c r="E4" s="41">
        <v>75</v>
      </c>
      <c r="F4" s="42"/>
      <c r="G4" s="61">
        <v>24.5</v>
      </c>
      <c r="H4" s="61">
        <v>1699</v>
      </c>
      <c r="I4" s="42"/>
      <c r="J4" s="61">
        <v>2039</v>
      </c>
      <c r="K4" s="61">
        <v>153</v>
      </c>
      <c r="L4" s="61">
        <v>204</v>
      </c>
      <c r="M4" s="61">
        <v>68</v>
      </c>
      <c r="N4" s="62">
        <v>2040</v>
      </c>
      <c r="O4" s="61">
        <v>5</v>
      </c>
      <c r="P4" s="61">
        <v>29</v>
      </c>
      <c r="Q4" s="61">
        <v>51</v>
      </c>
      <c r="R4" s="61">
        <v>23</v>
      </c>
      <c r="S4" s="61">
        <v>3.5</v>
      </c>
      <c r="T4" s="49">
        <v>0.05</v>
      </c>
      <c r="U4" s="49">
        <v>0.05</v>
      </c>
      <c r="V4" s="46">
        <v>0</v>
      </c>
      <c r="W4" s="47">
        <v>0</v>
      </c>
      <c r="X4" s="48">
        <v>0</v>
      </c>
      <c r="Y4" s="48">
        <v>0</v>
      </c>
      <c r="Z4" s="48">
        <v>0</v>
      </c>
      <c r="AA4" s="48">
        <v>0</v>
      </c>
      <c r="AB4" s="49">
        <v>0</v>
      </c>
      <c r="AC4" s="62">
        <v>2140.9500000000003</v>
      </c>
      <c r="AD4" s="62">
        <v>161</v>
      </c>
      <c r="AE4" s="62">
        <v>214</v>
      </c>
      <c r="AF4" s="62">
        <v>71</v>
      </c>
      <c r="AG4" s="63">
        <v>169</v>
      </c>
      <c r="AH4" s="61">
        <v>214</v>
      </c>
      <c r="AI4" s="61">
        <v>71</v>
      </c>
      <c r="AJ4" s="64">
        <v>2171</v>
      </c>
      <c r="AK4" s="61">
        <v>5</v>
      </c>
      <c r="AL4" s="61">
        <v>30.4</v>
      </c>
      <c r="AM4" s="61">
        <v>54.3</v>
      </c>
      <c r="AN4" s="61">
        <v>24.1</v>
      </c>
      <c r="AO4" s="61">
        <v>3.5</v>
      </c>
      <c r="AP4" s="42"/>
      <c r="AQ4" s="52" t="s">
        <v>75</v>
      </c>
      <c r="AR4" s="53" t="s">
        <v>79</v>
      </c>
      <c r="AS4" s="53" t="e">
        <v>#REF!</v>
      </c>
      <c r="AT4" s="54" t="e">
        <v>#REF!</v>
      </c>
      <c r="AU4" s="55"/>
      <c r="AV4" s="65" t="e">
        <v>#REF!</v>
      </c>
      <c r="AW4" s="62" t="e">
        <v>#REF!</v>
      </c>
      <c r="AX4" s="62" t="e">
        <v>#REF!</v>
      </c>
      <c r="AY4" s="66" t="e">
        <v>#REF!</v>
      </c>
      <c r="AZ4" s="61" t="e">
        <v>#REF!</v>
      </c>
      <c r="BA4" s="61" t="e">
        <v>#REF!</v>
      </c>
      <c r="BB4" s="61" t="e">
        <v>#REF!</v>
      </c>
      <c r="BC4" s="64" t="e">
        <v>#REF!</v>
      </c>
      <c r="BD4" s="61">
        <v>5</v>
      </c>
      <c r="BE4" s="61" t="e">
        <v>#REF!</v>
      </c>
      <c r="BF4" s="61" t="e">
        <v>#REF!</v>
      </c>
      <c r="BG4" s="61" t="e">
        <v>#REF!</v>
      </c>
      <c r="BH4" s="61">
        <v>3.5</v>
      </c>
      <c r="BI4" s="42"/>
      <c r="BJ4" s="67"/>
      <c r="BK4" s="60"/>
      <c r="BL4" s="60" t="str">
        <v/>
      </c>
      <c r="BM4" s="60" t="str">
        <v/>
      </c>
      <c r="BN4" s="60" t="str">
        <v/>
      </c>
      <c r="BO4" s="60" t="str">
        <v/>
      </c>
      <c r="BP4" s="60" t="str">
        <v/>
      </c>
      <c r="BQ4" s="60" t="str">
        <v/>
      </c>
      <c r="BR4" s="60" t="str">
        <v/>
      </c>
      <c r="BS4" s="60" t="str">
        <v/>
      </c>
      <c r="BT4" s="68" t="str">
        <v/>
      </c>
      <c r="BU4" s="42"/>
      <c r="BV4" s="62" t="str">
        <v/>
      </c>
      <c r="BW4" s="62" t="str">
        <v/>
      </c>
      <c r="BX4" s="62" t="str">
        <v/>
      </c>
      <c r="BY4" s="62" t="str">
        <v/>
      </c>
      <c r="BZ4" s="62" t="str">
        <v/>
      </c>
      <c r="CA4" s="62" t="str">
        <v/>
      </c>
      <c r="CB4" s="62" t="str">
        <v/>
      </c>
      <c r="CC4" s="62" t="str">
        <v/>
      </c>
      <c r="CD4" s="62" t="str">
        <v/>
      </c>
      <c r="CE4" s="122" t="str">
        <v/>
      </c>
      <c r="CF4" s="62" t="str">
        <v/>
      </c>
      <c r="CG4" s="62" t="str">
        <v/>
      </c>
      <c r="CH4" s="62" t="str">
        <v/>
      </c>
      <c r="CI4" s="62" t="str">
        <v/>
      </c>
      <c r="CJ4" s="62" t="str">
        <v/>
      </c>
      <c r="CK4" s="62" t="str">
        <v/>
      </c>
      <c r="CL4" s="62" t="str">
        <v/>
      </c>
      <c r="CM4" s="62" t="str">
        <v/>
      </c>
      <c r="CN4" s="130" t="str">
        <v/>
      </c>
    </row>
    <row r="5" spans="1:92">
      <c r="A5" s="39" t="s">
        <v>80</v>
      </c>
      <c r="B5" s="40" t="s">
        <v>81</v>
      </c>
      <c r="C5" s="41">
        <v>40</v>
      </c>
      <c r="D5" s="41">
        <v>165</v>
      </c>
      <c r="E5" s="41">
        <v>62</v>
      </c>
      <c r="F5" s="42"/>
      <c r="G5" s="61">
        <v>22.8</v>
      </c>
      <c r="H5" s="61">
        <v>1290</v>
      </c>
      <c r="I5" s="42"/>
      <c r="J5" s="61">
        <v>1548</v>
      </c>
      <c r="K5" s="61">
        <v>116</v>
      </c>
      <c r="L5" s="61">
        <v>155</v>
      </c>
      <c r="M5" s="61">
        <v>52</v>
      </c>
      <c r="N5" s="62">
        <v>1552</v>
      </c>
      <c r="O5" s="61">
        <v>5</v>
      </c>
      <c r="P5" s="61">
        <v>22</v>
      </c>
      <c r="Q5" s="61">
        <v>39</v>
      </c>
      <c r="R5" s="61">
        <v>17</v>
      </c>
      <c r="S5" s="61">
        <v>3.5</v>
      </c>
      <c r="T5" s="45" t="s">
        <v>82</v>
      </c>
      <c r="U5" s="46">
        <v>0</v>
      </c>
      <c r="V5" s="49">
        <v>0.05</v>
      </c>
      <c r="W5" s="49">
        <v>0.05</v>
      </c>
      <c r="X5" s="48">
        <v>0</v>
      </c>
      <c r="Y5" s="48">
        <v>0</v>
      </c>
      <c r="Z5" s="48">
        <v>0</v>
      </c>
      <c r="AA5" s="48">
        <v>0</v>
      </c>
      <c r="AB5" s="49">
        <v>0</v>
      </c>
      <c r="AC5" s="62">
        <v>1393.2</v>
      </c>
      <c r="AD5" s="62">
        <v>104</v>
      </c>
      <c r="AE5" s="62">
        <v>139</v>
      </c>
      <c r="AF5" s="62">
        <v>46</v>
      </c>
      <c r="AG5" s="63">
        <v>104</v>
      </c>
      <c r="AH5" s="61">
        <v>146</v>
      </c>
      <c r="AI5" s="61">
        <v>48</v>
      </c>
      <c r="AJ5" s="64">
        <v>1432</v>
      </c>
      <c r="AK5" s="61">
        <v>5</v>
      </c>
      <c r="AL5" s="61">
        <v>20</v>
      </c>
      <c r="AM5" s="61">
        <v>35.799999999999997</v>
      </c>
      <c r="AN5" s="61">
        <v>15.9</v>
      </c>
      <c r="AO5" s="61">
        <v>3.5</v>
      </c>
      <c r="AP5" s="42"/>
      <c r="AQ5" s="52" t="s">
        <v>75</v>
      </c>
      <c r="AR5" s="53" t="s">
        <v>83</v>
      </c>
      <c r="AS5" s="53" t="e">
        <v>#REF!</v>
      </c>
      <c r="AT5" s="54" t="e">
        <v>#REF!</v>
      </c>
      <c r="AU5" s="55"/>
      <c r="AV5" s="65" t="e">
        <v>#REF!</v>
      </c>
      <c r="AW5" s="62" t="e">
        <v>#REF!</v>
      </c>
      <c r="AX5" s="62" t="e">
        <v>#REF!</v>
      </c>
      <c r="AY5" s="66" t="e">
        <v>#REF!</v>
      </c>
      <c r="AZ5" s="61" t="e">
        <v>#REF!</v>
      </c>
      <c r="BA5" s="61" t="e">
        <v>#REF!</v>
      </c>
      <c r="BB5" s="61" t="e">
        <v>#REF!</v>
      </c>
      <c r="BC5" s="64" t="e">
        <v>#REF!</v>
      </c>
      <c r="BD5" s="61">
        <v>5</v>
      </c>
      <c r="BE5" s="61" t="e">
        <v>#REF!</v>
      </c>
      <c r="BF5" s="61" t="e">
        <v>#REF!</v>
      </c>
      <c r="BG5" s="61" t="e">
        <v>#REF!</v>
      </c>
      <c r="BH5" s="61">
        <v>3.5</v>
      </c>
      <c r="BI5" s="42"/>
      <c r="BJ5" s="67"/>
      <c r="BK5" s="60"/>
      <c r="BL5" s="60" t="str">
        <v/>
      </c>
      <c r="BM5" s="60" t="str">
        <v/>
      </c>
      <c r="BN5" s="60" t="str">
        <v/>
      </c>
      <c r="BO5" s="60" t="str">
        <v/>
      </c>
      <c r="BP5" s="60" t="str">
        <v/>
      </c>
      <c r="BQ5" s="60" t="str">
        <v/>
      </c>
      <c r="BR5" s="60" t="str">
        <v/>
      </c>
      <c r="BS5" s="60" t="str">
        <v/>
      </c>
      <c r="BT5" s="68" t="str">
        <v/>
      </c>
      <c r="BU5" s="42"/>
      <c r="BV5" s="62" t="str">
        <v/>
      </c>
      <c r="BW5" s="62" t="str">
        <v/>
      </c>
      <c r="BX5" s="62" t="str">
        <v/>
      </c>
      <c r="BY5" s="62" t="str">
        <v/>
      </c>
      <c r="BZ5" s="62" t="str">
        <v/>
      </c>
      <c r="CA5" s="62" t="str">
        <v/>
      </c>
      <c r="CB5" s="62" t="str">
        <v/>
      </c>
      <c r="CC5" s="62" t="str">
        <v/>
      </c>
      <c r="CD5" s="62" t="str">
        <v/>
      </c>
      <c r="CE5" s="122" t="str">
        <v/>
      </c>
      <c r="CF5" s="62" t="str">
        <v/>
      </c>
      <c r="CG5" s="62" t="str">
        <v/>
      </c>
      <c r="CH5" s="62" t="str">
        <v/>
      </c>
      <c r="CI5" s="62" t="str">
        <v/>
      </c>
      <c r="CJ5" s="62" t="str">
        <v/>
      </c>
      <c r="CK5" s="62" t="str">
        <v/>
      </c>
      <c r="CL5" s="62" t="str">
        <v/>
      </c>
      <c r="CM5" s="62" t="str">
        <v/>
      </c>
      <c r="CN5" s="130" t="str">
        <v/>
      </c>
    </row>
    <row r="6" spans="1:92">
      <c r="A6" s="39" t="s">
        <v>84</v>
      </c>
      <c r="B6" s="40" t="s">
        <v>74</v>
      </c>
      <c r="C6" s="41">
        <v>35</v>
      </c>
      <c r="D6" s="41">
        <v>180</v>
      </c>
      <c r="E6" s="41">
        <v>85</v>
      </c>
      <c r="F6" s="42"/>
      <c r="G6" s="61">
        <v>26.2</v>
      </c>
      <c r="H6" s="61">
        <v>1805</v>
      </c>
      <c r="I6" s="42"/>
      <c r="J6" s="61">
        <v>2166</v>
      </c>
      <c r="K6" s="61">
        <v>162</v>
      </c>
      <c r="L6" s="61">
        <v>217</v>
      </c>
      <c r="M6" s="61">
        <v>72</v>
      </c>
      <c r="N6" s="62">
        <v>2164</v>
      </c>
      <c r="O6" s="61">
        <v>5</v>
      </c>
      <c r="P6" s="61">
        <v>30</v>
      </c>
      <c r="Q6" s="61">
        <v>54</v>
      </c>
      <c r="R6" s="61">
        <v>24</v>
      </c>
      <c r="S6" s="61">
        <v>3.5</v>
      </c>
      <c r="T6" s="45">
        <v>0</v>
      </c>
      <c r="U6" s="46">
        <v>0</v>
      </c>
      <c r="V6" s="46">
        <v>0</v>
      </c>
      <c r="W6" s="47">
        <v>0</v>
      </c>
      <c r="X6" s="48">
        <v>0</v>
      </c>
      <c r="Y6" s="48">
        <v>0</v>
      </c>
      <c r="Z6" s="48">
        <v>0</v>
      </c>
      <c r="AA6" s="48">
        <v>0</v>
      </c>
      <c r="AB6" s="49">
        <v>0</v>
      </c>
      <c r="AC6" s="62">
        <v>2166</v>
      </c>
      <c r="AD6" s="62">
        <v>162</v>
      </c>
      <c r="AE6" s="62">
        <v>217</v>
      </c>
      <c r="AF6" s="62">
        <v>72</v>
      </c>
      <c r="AG6" s="63">
        <v>162</v>
      </c>
      <c r="AH6" s="61">
        <v>217</v>
      </c>
      <c r="AI6" s="61">
        <v>72</v>
      </c>
      <c r="AJ6" s="64">
        <v>2164</v>
      </c>
      <c r="AK6" s="61">
        <v>5</v>
      </c>
      <c r="AL6" s="61">
        <v>30.3</v>
      </c>
      <c r="AM6" s="61">
        <v>54.1</v>
      </c>
      <c r="AN6" s="61">
        <v>24</v>
      </c>
      <c r="AO6" s="61">
        <v>3.5</v>
      </c>
      <c r="AP6" s="42"/>
      <c r="AQ6" s="52" t="s">
        <v>75</v>
      </c>
      <c r="AR6" s="53" t="s">
        <v>85</v>
      </c>
      <c r="AS6" s="53" t="e">
        <v>#REF!</v>
      </c>
      <c r="AT6" s="54" t="e">
        <v>#REF!</v>
      </c>
      <c r="AU6" s="55"/>
      <c r="AV6" s="65" t="e">
        <v>#REF!</v>
      </c>
      <c r="AW6" s="62" t="e">
        <v>#REF!</v>
      </c>
      <c r="AX6" s="62" t="e">
        <v>#REF!</v>
      </c>
      <c r="AY6" s="66" t="e">
        <v>#REF!</v>
      </c>
      <c r="AZ6" s="61" t="e">
        <v>#REF!</v>
      </c>
      <c r="BA6" s="61" t="e">
        <v>#REF!</v>
      </c>
      <c r="BB6" s="61" t="e">
        <v>#REF!</v>
      </c>
      <c r="BC6" s="64" t="e">
        <v>#REF!</v>
      </c>
      <c r="BD6" s="61">
        <v>5</v>
      </c>
      <c r="BE6" s="61" t="e">
        <v>#REF!</v>
      </c>
      <c r="BF6" s="61" t="e">
        <v>#REF!</v>
      </c>
      <c r="BG6" s="61" t="e">
        <v>#REF!</v>
      </c>
      <c r="BH6" s="61">
        <v>3.5</v>
      </c>
      <c r="BI6" s="42"/>
      <c r="BJ6" s="67"/>
      <c r="BK6" s="60"/>
      <c r="BL6" s="60" t="str">
        <v/>
      </c>
      <c r="BM6" s="60" t="str">
        <v/>
      </c>
      <c r="BN6" s="60" t="str">
        <v/>
      </c>
      <c r="BO6" s="60" t="str">
        <v/>
      </c>
      <c r="BP6" s="60" t="str">
        <v/>
      </c>
      <c r="BQ6" s="60" t="str">
        <v/>
      </c>
      <c r="BR6" s="60" t="str">
        <v/>
      </c>
      <c r="BS6" s="60" t="str">
        <v/>
      </c>
      <c r="BT6" s="68" t="str">
        <v/>
      </c>
      <c r="BU6" s="42"/>
      <c r="BV6" s="62" t="str">
        <v/>
      </c>
      <c r="BW6" s="62" t="str">
        <v/>
      </c>
      <c r="BX6" s="62" t="str">
        <v/>
      </c>
      <c r="BY6" s="62" t="str">
        <v/>
      </c>
      <c r="BZ6" s="62" t="str">
        <v/>
      </c>
      <c r="CA6" s="62" t="str">
        <v/>
      </c>
      <c r="CB6" s="62" t="str">
        <v/>
      </c>
      <c r="CC6" s="62" t="str">
        <v/>
      </c>
      <c r="CD6" s="62" t="str">
        <v/>
      </c>
      <c r="CE6" s="122" t="str">
        <v/>
      </c>
      <c r="CF6" s="62" t="str">
        <v/>
      </c>
      <c r="CG6" s="62" t="str">
        <v/>
      </c>
      <c r="CH6" s="62" t="str">
        <v/>
      </c>
      <c r="CI6" s="62" t="str">
        <v/>
      </c>
      <c r="CJ6" s="62" t="str">
        <v/>
      </c>
      <c r="CK6" s="62" t="str">
        <v/>
      </c>
      <c r="CL6" s="62" t="str">
        <v/>
      </c>
      <c r="CM6" s="62" t="str">
        <v/>
      </c>
      <c r="CN6" s="130" t="str">
        <v/>
      </c>
    </row>
    <row r="7" spans="1:92">
      <c r="A7" s="39" t="s">
        <v>86</v>
      </c>
      <c r="B7" s="40" t="s">
        <v>74</v>
      </c>
      <c r="C7" s="41">
        <v>28</v>
      </c>
      <c r="D7" s="41">
        <v>172</v>
      </c>
      <c r="E7" s="41">
        <v>70</v>
      </c>
      <c r="F7" s="42"/>
      <c r="G7" s="61">
        <v>23.7</v>
      </c>
      <c r="H7" s="61">
        <v>1640</v>
      </c>
      <c r="I7" s="42"/>
      <c r="J7" s="61">
        <v>1968</v>
      </c>
      <c r="K7" s="61">
        <v>148</v>
      </c>
      <c r="L7" s="61">
        <v>197</v>
      </c>
      <c r="M7" s="61">
        <v>66</v>
      </c>
      <c r="N7" s="62">
        <v>1974</v>
      </c>
      <c r="O7" s="61">
        <v>5</v>
      </c>
      <c r="P7" s="61">
        <v>28</v>
      </c>
      <c r="Q7" s="61">
        <v>49</v>
      </c>
      <c r="R7" s="61">
        <v>22</v>
      </c>
      <c r="S7" s="61">
        <v>3.5</v>
      </c>
      <c r="T7" s="45">
        <v>0</v>
      </c>
      <c r="U7" s="46">
        <v>0</v>
      </c>
      <c r="V7" s="46">
        <v>0</v>
      </c>
      <c r="W7" s="47">
        <v>0</v>
      </c>
      <c r="X7" s="48">
        <v>0</v>
      </c>
      <c r="Y7" s="48">
        <v>0</v>
      </c>
      <c r="Z7" s="48">
        <v>0</v>
      </c>
      <c r="AA7" s="48">
        <v>0</v>
      </c>
      <c r="AB7" s="49">
        <v>0</v>
      </c>
      <c r="AC7" s="62">
        <v>1968</v>
      </c>
      <c r="AD7" s="62">
        <v>148</v>
      </c>
      <c r="AE7" s="62">
        <v>197</v>
      </c>
      <c r="AF7" s="62">
        <v>66</v>
      </c>
      <c r="AG7" s="63">
        <v>148</v>
      </c>
      <c r="AH7" s="61">
        <v>197</v>
      </c>
      <c r="AI7" s="61">
        <v>66</v>
      </c>
      <c r="AJ7" s="64">
        <v>1974</v>
      </c>
      <c r="AK7" s="61">
        <v>5</v>
      </c>
      <c r="AL7" s="61">
        <v>27.6</v>
      </c>
      <c r="AM7" s="61">
        <v>49.4</v>
      </c>
      <c r="AN7" s="61">
        <v>21.9</v>
      </c>
      <c r="AO7" s="61">
        <v>3.5</v>
      </c>
      <c r="AP7" s="42"/>
      <c r="AQ7" s="52" t="s">
        <v>75</v>
      </c>
      <c r="AR7" s="53" t="s">
        <v>530</v>
      </c>
      <c r="AS7" s="53" t="e">
        <v>#REF!</v>
      </c>
      <c r="AT7" s="54" t="e">
        <v>#DIV/0!</v>
      </c>
      <c r="AU7" s="55"/>
      <c r="AV7" s="65" t="e">
        <v>#REF!</v>
      </c>
      <c r="AW7" s="62" t="e">
        <v>#REF!</v>
      </c>
      <c r="AX7" s="62" t="e">
        <v>#REF!</v>
      </c>
      <c r="AY7" s="66" t="e">
        <v>#REF!</v>
      </c>
      <c r="AZ7" s="61" t="e">
        <v>#REF!</v>
      </c>
      <c r="BA7" s="61" t="e">
        <v>#REF!</v>
      </c>
      <c r="BB7" s="61" t="e">
        <v>#REF!</v>
      </c>
      <c r="BC7" s="64" t="e">
        <v>#REF!</v>
      </c>
      <c r="BD7" s="61">
        <v>5</v>
      </c>
      <c r="BE7" s="61" t="e">
        <v>#REF!</v>
      </c>
      <c r="BF7" s="61" t="e">
        <v>#REF!</v>
      </c>
      <c r="BG7" s="61" t="e">
        <v>#REF!</v>
      </c>
      <c r="BH7" s="61">
        <v>3.5</v>
      </c>
      <c r="BI7" s="42"/>
      <c r="BJ7" s="67"/>
      <c r="BK7" s="60"/>
      <c r="BL7" s="60" t="str">
        <v/>
      </c>
      <c r="BM7" s="60" t="str">
        <v/>
      </c>
      <c r="BN7" s="60" t="str">
        <v/>
      </c>
      <c r="BO7" s="60" t="str">
        <v/>
      </c>
      <c r="BP7" s="60" t="str">
        <v/>
      </c>
      <c r="BQ7" s="60" t="str">
        <v/>
      </c>
      <c r="BR7" s="60" t="str">
        <v/>
      </c>
      <c r="BS7" s="60" t="str">
        <v/>
      </c>
      <c r="BT7" s="68" t="str">
        <v/>
      </c>
      <c r="BU7" s="42"/>
      <c r="BV7" s="62" t="str">
        <v/>
      </c>
      <c r="BW7" s="62" t="str">
        <v/>
      </c>
      <c r="BX7" s="62" t="str">
        <v/>
      </c>
      <c r="BY7" s="62" t="str">
        <v/>
      </c>
      <c r="BZ7" s="62" t="str">
        <v/>
      </c>
      <c r="CA7" s="62" t="str">
        <v/>
      </c>
      <c r="CB7" s="62" t="str">
        <v/>
      </c>
      <c r="CC7" s="62" t="str">
        <v/>
      </c>
      <c r="CD7" s="62" t="str">
        <v/>
      </c>
      <c r="CE7" s="122" t="str">
        <v/>
      </c>
      <c r="CF7" s="62" t="str">
        <v/>
      </c>
      <c r="CG7" s="62" t="str">
        <v/>
      </c>
      <c r="CH7" s="62" t="str">
        <v/>
      </c>
      <c r="CI7" s="62" t="str">
        <v/>
      </c>
      <c r="CJ7" s="62" t="str">
        <v/>
      </c>
      <c r="CK7" s="62" t="str">
        <v/>
      </c>
      <c r="CL7" s="62" t="str">
        <v/>
      </c>
      <c r="CM7" s="62" t="str">
        <v/>
      </c>
      <c r="CN7" s="130" t="str">
        <v/>
      </c>
    </row>
    <row r="8" spans="1:92">
      <c r="A8" s="69" t="s">
        <v>915</v>
      </c>
      <c r="B8" s="40" t="s">
        <v>74</v>
      </c>
      <c r="C8" s="70">
        <v>43</v>
      </c>
      <c r="D8" s="70">
        <v>173</v>
      </c>
      <c r="E8" s="70">
        <v>80</v>
      </c>
      <c r="F8" s="42"/>
      <c r="G8" s="61">
        <v>26.7</v>
      </c>
      <c r="H8" s="61">
        <v>1671</v>
      </c>
      <c r="I8" s="42"/>
      <c r="J8" s="61">
        <v>2005</v>
      </c>
      <c r="K8" s="61">
        <v>150</v>
      </c>
      <c r="L8" s="61">
        <v>201</v>
      </c>
      <c r="M8" s="61">
        <v>67</v>
      </c>
      <c r="N8" s="62">
        <v>2007</v>
      </c>
      <c r="O8" s="61">
        <v>5</v>
      </c>
      <c r="P8" s="61">
        <v>28</v>
      </c>
      <c r="Q8" s="61">
        <v>50</v>
      </c>
      <c r="R8" s="61">
        <v>22</v>
      </c>
      <c r="S8" s="61">
        <v>3.5</v>
      </c>
      <c r="T8" s="71">
        <v>-0.05</v>
      </c>
      <c r="U8" s="48">
        <v>0.05</v>
      </c>
      <c r="V8" s="48">
        <v>0</v>
      </c>
      <c r="W8" s="49">
        <v>-0.05</v>
      </c>
      <c r="X8" s="48">
        <v>0</v>
      </c>
      <c r="Y8" s="48">
        <v>0</v>
      </c>
      <c r="Z8" s="48">
        <v>0</v>
      </c>
      <c r="AA8" s="48">
        <v>0</v>
      </c>
      <c r="AB8" s="49">
        <v>0</v>
      </c>
      <c r="AC8" s="62">
        <v>1904.75</v>
      </c>
      <c r="AD8" s="62">
        <v>143</v>
      </c>
      <c r="AE8" s="62">
        <v>190</v>
      </c>
      <c r="AF8" s="62">
        <v>63</v>
      </c>
      <c r="AG8" s="63">
        <v>150</v>
      </c>
      <c r="AH8" s="61">
        <v>190</v>
      </c>
      <c r="AI8" s="61">
        <v>60</v>
      </c>
      <c r="AJ8" s="64">
        <v>1900</v>
      </c>
      <c r="AK8" s="61">
        <v>5</v>
      </c>
      <c r="AL8" s="61">
        <v>26.6</v>
      </c>
      <c r="AM8" s="61">
        <v>47.5</v>
      </c>
      <c r="AN8" s="61">
        <v>21.1</v>
      </c>
      <c r="AO8" s="61">
        <v>3.5</v>
      </c>
      <c r="AP8" s="42"/>
      <c r="AQ8" s="52" t="s">
        <v>75</v>
      </c>
      <c r="AR8" s="53" t="s">
        <v>530</v>
      </c>
      <c r="AS8" s="53" t="e">
        <v>#REF!</v>
      </c>
      <c r="AT8" s="54" t="e">
        <v>#DIV/0!</v>
      </c>
      <c r="AU8" s="55"/>
      <c r="AV8" s="65" t="e">
        <v>#REF!</v>
      </c>
      <c r="AW8" s="62" t="e">
        <v>#REF!</v>
      </c>
      <c r="AX8" s="62" t="e">
        <v>#REF!</v>
      </c>
      <c r="AY8" s="66" t="e">
        <v>#REF!</v>
      </c>
      <c r="AZ8" s="61" t="e">
        <v>#REF!</v>
      </c>
      <c r="BA8" s="61" t="e">
        <v>#REF!</v>
      </c>
      <c r="BB8" s="61" t="e">
        <v>#REF!</v>
      </c>
      <c r="BC8" s="64" t="e">
        <v>#REF!</v>
      </c>
      <c r="BD8" s="61">
        <v>5</v>
      </c>
      <c r="BE8" s="61" t="e">
        <v>#REF!</v>
      </c>
      <c r="BF8" s="61" t="e">
        <v>#REF!</v>
      </c>
      <c r="BG8" s="61" t="e">
        <v>#REF!</v>
      </c>
      <c r="BH8" s="61">
        <v>3.5</v>
      </c>
      <c r="BI8" s="42"/>
      <c r="BJ8" s="58" t="s">
        <v>87</v>
      </c>
      <c r="BK8" s="59" t="s">
        <v>532</v>
      </c>
      <c r="BL8" s="60" t="str">
        <v/>
      </c>
      <c r="BM8" s="60" t="str">
        <v/>
      </c>
      <c r="BN8" s="60" t="str">
        <v/>
      </c>
      <c r="BO8" s="60" t="str">
        <v/>
      </c>
      <c r="BP8" s="60" t="str">
        <v/>
      </c>
      <c r="BQ8" s="60" t="str">
        <v/>
      </c>
      <c r="BR8" s="60" t="str">
        <v/>
      </c>
      <c r="BS8" s="60" t="str">
        <v/>
      </c>
      <c r="BT8" s="68" t="str">
        <v/>
      </c>
      <c r="BU8" s="42"/>
      <c r="BV8" s="62" t="str">
        <v/>
      </c>
      <c r="BW8" s="62" t="str">
        <v/>
      </c>
      <c r="BX8" s="62" t="str">
        <v/>
      </c>
      <c r="BY8" s="62" t="str">
        <v/>
      </c>
      <c r="BZ8" s="62" t="str">
        <v/>
      </c>
      <c r="CA8" s="62" t="str">
        <v/>
      </c>
      <c r="CB8" s="62" t="str">
        <v/>
      </c>
      <c r="CC8" s="62" t="str">
        <v/>
      </c>
      <c r="CD8" s="62" t="str">
        <v/>
      </c>
      <c r="CE8" s="122" t="str">
        <v/>
      </c>
      <c r="CF8" s="62" t="str">
        <v/>
      </c>
      <c r="CG8" s="62" t="str">
        <v/>
      </c>
      <c r="CH8" s="62" t="str">
        <v/>
      </c>
      <c r="CI8" s="62" t="str">
        <v/>
      </c>
      <c r="CJ8" s="62" t="str">
        <v/>
      </c>
      <c r="CK8" s="62" t="str">
        <v/>
      </c>
      <c r="CL8" s="62" t="str">
        <v/>
      </c>
      <c r="CM8" s="62" t="str">
        <v/>
      </c>
      <c r="CN8" s="130" t="str">
        <v/>
      </c>
    </row>
    <row r="9" spans="1:92">
      <c r="A9" s="69" t="s">
        <v>915</v>
      </c>
      <c r="B9" s="40" t="s">
        <v>74</v>
      </c>
      <c r="C9" s="70">
        <v>43</v>
      </c>
      <c r="D9" s="70">
        <v>173</v>
      </c>
      <c r="E9" s="70">
        <v>80</v>
      </c>
      <c r="F9" s="42"/>
      <c r="G9" s="61">
        <v>26.7</v>
      </c>
      <c r="H9" s="61">
        <v>1671</v>
      </c>
      <c r="I9" s="42"/>
      <c r="J9" s="61">
        <v>2005</v>
      </c>
      <c r="K9" s="61">
        <v>150</v>
      </c>
      <c r="L9" s="61">
        <v>201</v>
      </c>
      <c r="M9" s="61">
        <v>67</v>
      </c>
      <c r="N9" s="62">
        <v>2007</v>
      </c>
      <c r="O9" s="61">
        <v>5</v>
      </c>
      <c r="P9" s="61">
        <v>28</v>
      </c>
      <c r="Q9" s="61">
        <v>50</v>
      </c>
      <c r="R9" s="61">
        <v>22</v>
      </c>
      <c r="S9" s="61">
        <v>3.5</v>
      </c>
      <c r="T9" s="71">
        <v>-0.05</v>
      </c>
      <c r="U9" s="48">
        <v>0.05</v>
      </c>
      <c r="V9" s="48">
        <v>0</v>
      </c>
      <c r="W9" s="49">
        <v>-0.05</v>
      </c>
      <c r="X9" s="48">
        <v>0</v>
      </c>
      <c r="Y9" s="48">
        <v>0</v>
      </c>
      <c r="Z9" s="48">
        <v>0</v>
      </c>
      <c r="AA9" s="48">
        <v>0</v>
      </c>
      <c r="AB9" s="49">
        <v>0</v>
      </c>
      <c r="AC9" s="62">
        <v>1904.75</v>
      </c>
      <c r="AD9" s="62">
        <v>143</v>
      </c>
      <c r="AE9" s="62">
        <v>190</v>
      </c>
      <c r="AF9" s="62">
        <v>63</v>
      </c>
      <c r="AG9" s="63">
        <v>150</v>
      </c>
      <c r="AH9" s="61">
        <v>190</v>
      </c>
      <c r="AI9" s="61">
        <v>60</v>
      </c>
      <c r="AJ9" s="64">
        <v>1900</v>
      </c>
      <c r="AK9" s="61">
        <v>5</v>
      </c>
      <c r="AL9" s="61">
        <v>26.6</v>
      </c>
      <c r="AM9" s="61">
        <v>47.5</v>
      </c>
      <c r="AN9" s="61">
        <v>21.1</v>
      </c>
      <c r="AO9" s="61">
        <v>3.5</v>
      </c>
      <c r="AP9" s="42"/>
      <c r="AQ9" s="52" t="s">
        <v>75</v>
      </c>
      <c r="AR9" s="53" t="s">
        <v>76</v>
      </c>
      <c r="AS9" s="53" t="e">
        <v>#REF!</v>
      </c>
      <c r="AT9" s="54" t="e">
        <v>#REF!</v>
      </c>
      <c r="AU9" s="55"/>
      <c r="AV9" s="65" t="e">
        <v>#REF!</v>
      </c>
      <c r="AW9" s="62" t="e">
        <v>#REF!</v>
      </c>
      <c r="AX9" s="62" t="e">
        <v>#REF!</v>
      </c>
      <c r="AY9" s="66" t="e">
        <v>#REF!</v>
      </c>
      <c r="AZ9" s="61" t="e">
        <v>#REF!</v>
      </c>
      <c r="BA9" s="61" t="e">
        <v>#REF!</v>
      </c>
      <c r="BB9" s="61" t="e">
        <v>#REF!</v>
      </c>
      <c r="BC9" s="64" t="e">
        <v>#REF!</v>
      </c>
      <c r="BD9" s="61">
        <v>5</v>
      </c>
      <c r="BE9" s="61" t="e">
        <v>#REF!</v>
      </c>
      <c r="BF9" s="61" t="e">
        <v>#REF!</v>
      </c>
      <c r="BG9" s="61" t="e">
        <v>#REF!</v>
      </c>
      <c r="BH9" s="61">
        <v>3.5</v>
      </c>
      <c r="BI9" s="42"/>
      <c r="BJ9" s="58" t="s">
        <v>87</v>
      </c>
      <c r="BK9" s="59" t="s">
        <v>531</v>
      </c>
      <c r="BL9" s="60">
        <v>1466</v>
      </c>
      <c r="BM9" s="60">
        <v>139.96</v>
      </c>
      <c r="BN9" s="60">
        <v>128.38999999999999</v>
      </c>
      <c r="BO9" s="60">
        <v>47.74</v>
      </c>
      <c r="BP9" s="60">
        <v>14.21</v>
      </c>
      <c r="BQ9" s="60">
        <v>22.16</v>
      </c>
      <c r="BR9" s="60">
        <v>35.630000000000003</v>
      </c>
      <c r="BS9" s="60">
        <v>1.536</v>
      </c>
      <c r="BT9" s="68">
        <v>1.8344</v>
      </c>
      <c r="BU9" s="42"/>
      <c r="BV9" s="62" t="str">
        <v/>
      </c>
      <c r="BW9" s="62" t="str">
        <v/>
      </c>
      <c r="BX9" s="62" t="str">
        <v/>
      </c>
      <c r="BY9" s="62" t="str">
        <v/>
      </c>
      <c r="BZ9" s="62">
        <v>-0.69279999999999997</v>
      </c>
      <c r="CA9" s="62" t="str">
        <v/>
      </c>
      <c r="CB9" s="62" t="str">
        <v/>
      </c>
      <c r="CC9" s="62" t="str">
        <v/>
      </c>
      <c r="CD9" s="62">
        <v>-0.47588571428571425</v>
      </c>
      <c r="CE9" s="122" t="str">
        <v/>
      </c>
      <c r="CF9" s="62" t="str">
        <v/>
      </c>
      <c r="CG9" s="62" t="str">
        <v/>
      </c>
      <c r="CH9" s="62" t="str">
        <v/>
      </c>
      <c r="CI9" s="62">
        <v>0</v>
      </c>
      <c r="CJ9" s="62" t="str">
        <v/>
      </c>
      <c r="CK9" s="62" t="str">
        <v/>
      </c>
      <c r="CL9" s="62" t="str">
        <v/>
      </c>
      <c r="CM9" s="62">
        <v>0</v>
      </c>
      <c r="CN9" s="130" t="str">
        <v/>
      </c>
    </row>
    <row r="10" spans="1:92">
      <c r="A10" s="69" t="s">
        <v>915</v>
      </c>
      <c r="B10" s="40" t="s">
        <v>74</v>
      </c>
      <c r="C10" s="70">
        <v>43</v>
      </c>
      <c r="D10" s="70">
        <v>173</v>
      </c>
      <c r="E10" s="70">
        <v>80</v>
      </c>
      <c r="F10" s="42"/>
      <c r="G10" s="61">
        <v>26.7</v>
      </c>
      <c r="H10" s="61">
        <v>1671</v>
      </c>
      <c r="I10" s="42"/>
      <c r="J10" s="61">
        <v>2005</v>
      </c>
      <c r="K10" s="61">
        <v>150</v>
      </c>
      <c r="L10" s="61">
        <v>201</v>
      </c>
      <c r="M10" s="61">
        <v>67</v>
      </c>
      <c r="N10" s="62">
        <v>2007</v>
      </c>
      <c r="O10" s="61">
        <v>5</v>
      </c>
      <c r="P10" s="61">
        <v>28</v>
      </c>
      <c r="Q10" s="61">
        <v>50</v>
      </c>
      <c r="R10" s="61">
        <v>22</v>
      </c>
      <c r="S10" s="61">
        <v>3.5</v>
      </c>
      <c r="T10" s="71">
        <v>-0.05</v>
      </c>
      <c r="U10" s="48">
        <v>0.05</v>
      </c>
      <c r="V10" s="48">
        <v>0</v>
      </c>
      <c r="W10" s="49">
        <v>-0.05</v>
      </c>
      <c r="X10" s="48">
        <v>0</v>
      </c>
      <c r="Y10" s="48">
        <v>0</v>
      </c>
      <c r="Z10" s="48">
        <v>0</v>
      </c>
      <c r="AA10" s="48">
        <v>0</v>
      </c>
      <c r="AB10" s="49">
        <v>0</v>
      </c>
      <c r="AC10" s="62">
        <v>1904.75</v>
      </c>
      <c r="AD10" s="62">
        <v>143</v>
      </c>
      <c r="AE10" s="62">
        <v>190</v>
      </c>
      <c r="AF10" s="62">
        <v>63</v>
      </c>
      <c r="AG10" s="63">
        <v>150</v>
      </c>
      <c r="AH10" s="61">
        <v>190</v>
      </c>
      <c r="AI10" s="61">
        <v>60</v>
      </c>
      <c r="AJ10" s="64">
        <v>1900</v>
      </c>
      <c r="AK10" s="61">
        <v>5</v>
      </c>
      <c r="AL10" s="61">
        <v>26.6</v>
      </c>
      <c r="AM10" s="61">
        <v>47.5</v>
      </c>
      <c r="AN10" s="61">
        <v>21.1</v>
      </c>
      <c r="AO10" s="61">
        <v>3.5</v>
      </c>
      <c r="AP10" s="42"/>
      <c r="AQ10" s="52" t="s">
        <v>75</v>
      </c>
      <c r="AR10" s="53" t="s">
        <v>79</v>
      </c>
      <c r="AS10" s="53" t="e">
        <v>#REF!</v>
      </c>
      <c r="AT10" s="72" t="e">
        <v>#REF!</v>
      </c>
      <c r="AU10" s="73"/>
      <c r="AV10" s="65" t="e">
        <v>#REF!</v>
      </c>
      <c r="AW10" s="62" t="e">
        <v>#REF!</v>
      </c>
      <c r="AX10" s="62" t="e">
        <v>#REF!</v>
      </c>
      <c r="AY10" s="66" t="e">
        <v>#REF!</v>
      </c>
      <c r="AZ10" s="61" t="e">
        <v>#REF!</v>
      </c>
      <c r="BA10" s="61" t="e">
        <v>#REF!</v>
      </c>
      <c r="BB10" s="61" t="e">
        <v>#REF!</v>
      </c>
      <c r="BC10" s="64" t="e">
        <v>#REF!</v>
      </c>
      <c r="BD10" s="61">
        <v>5</v>
      </c>
      <c r="BE10" s="61" t="e">
        <v>#REF!</v>
      </c>
      <c r="BF10" s="61" t="e">
        <v>#REF!</v>
      </c>
      <c r="BG10" s="61" t="e">
        <v>#REF!</v>
      </c>
      <c r="BH10" s="61">
        <v>3.5</v>
      </c>
      <c r="BI10" s="42"/>
      <c r="BJ10" s="58" t="s">
        <v>87</v>
      </c>
      <c r="BK10" s="59" t="s">
        <v>533</v>
      </c>
      <c r="BL10" s="60" t="str">
        <v/>
      </c>
      <c r="BM10" s="60" t="str">
        <v/>
      </c>
      <c r="BN10" s="60" t="str">
        <v/>
      </c>
      <c r="BO10" s="60" t="str">
        <v/>
      </c>
      <c r="BP10" s="60" t="str">
        <v/>
      </c>
      <c r="BQ10" s="60" t="str">
        <v/>
      </c>
      <c r="BR10" s="60" t="str">
        <v/>
      </c>
      <c r="BS10" s="60" t="str">
        <v/>
      </c>
      <c r="BT10" s="68" t="str">
        <v/>
      </c>
      <c r="BU10" s="42"/>
      <c r="BV10" s="62" t="str">
        <v/>
      </c>
      <c r="BW10" s="62" t="str">
        <v/>
      </c>
      <c r="BX10" s="62" t="str">
        <v/>
      </c>
      <c r="BY10" s="62" t="str">
        <v/>
      </c>
      <c r="BZ10" s="62" t="str">
        <v/>
      </c>
      <c r="CA10" s="62" t="str">
        <v/>
      </c>
      <c r="CB10" s="62" t="str">
        <v/>
      </c>
      <c r="CC10" s="62" t="str">
        <v/>
      </c>
      <c r="CD10" s="62" t="str">
        <v/>
      </c>
      <c r="CE10" s="122" t="str">
        <v/>
      </c>
      <c r="CF10" s="62" t="str">
        <v/>
      </c>
      <c r="CG10" s="62" t="str">
        <v/>
      </c>
      <c r="CH10" s="62" t="str">
        <v/>
      </c>
      <c r="CI10" s="62" t="str">
        <v/>
      </c>
      <c r="CJ10" s="62" t="str">
        <v/>
      </c>
      <c r="CK10" s="62" t="str">
        <v/>
      </c>
      <c r="CL10" s="62" t="str">
        <v/>
      </c>
      <c r="CM10" s="62" t="str">
        <v/>
      </c>
      <c r="CN10" s="130" t="str">
        <v/>
      </c>
    </row>
    <row r="11" spans="1:92">
      <c r="A11" s="69" t="s">
        <v>915</v>
      </c>
      <c r="B11" s="40" t="s">
        <v>74</v>
      </c>
      <c r="C11" s="70">
        <v>43</v>
      </c>
      <c r="D11" s="70">
        <v>173</v>
      </c>
      <c r="E11" s="70">
        <v>80</v>
      </c>
      <c r="F11" s="42"/>
      <c r="G11" s="61">
        <v>26.7</v>
      </c>
      <c r="H11" s="61">
        <v>1671</v>
      </c>
      <c r="I11" s="42"/>
      <c r="J11" s="61">
        <v>2005</v>
      </c>
      <c r="K11" s="61">
        <v>150</v>
      </c>
      <c r="L11" s="61">
        <v>201</v>
      </c>
      <c r="M11" s="61">
        <v>67</v>
      </c>
      <c r="N11" s="62">
        <v>2007</v>
      </c>
      <c r="O11" s="61">
        <v>5</v>
      </c>
      <c r="P11" s="61">
        <v>28</v>
      </c>
      <c r="Q11" s="61">
        <v>50</v>
      </c>
      <c r="R11" s="61">
        <v>22</v>
      </c>
      <c r="S11" s="61">
        <v>3.5</v>
      </c>
      <c r="T11" s="71">
        <v>-0.05</v>
      </c>
      <c r="U11" s="48">
        <v>0.05</v>
      </c>
      <c r="V11" s="48">
        <v>0</v>
      </c>
      <c r="W11" s="49">
        <v>-0.05</v>
      </c>
      <c r="X11" s="48">
        <v>0</v>
      </c>
      <c r="Y11" s="48">
        <v>0</v>
      </c>
      <c r="Z11" s="48">
        <v>0</v>
      </c>
      <c r="AA11" s="48">
        <v>0</v>
      </c>
      <c r="AB11" s="49">
        <v>0</v>
      </c>
      <c r="AC11" s="62">
        <v>1904.75</v>
      </c>
      <c r="AD11" s="62">
        <v>143</v>
      </c>
      <c r="AE11" s="62">
        <v>190</v>
      </c>
      <c r="AF11" s="62">
        <v>63</v>
      </c>
      <c r="AG11" s="63">
        <v>150</v>
      </c>
      <c r="AH11" s="61">
        <v>190</v>
      </c>
      <c r="AI11" s="61">
        <v>60</v>
      </c>
      <c r="AJ11" s="64">
        <v>1900</v>
      </c>
      <c r="AK11" s="61">
        <v>5</v>
      </c>
      <c r="AL11" s="61">
        <v>26.6</v>
      </c>
      <c r="AM11" s="61">
        <v>47.5</v>
      </c>
      <c r="AN11" s="61">
        <v>21.1</v>
      </c>
      <c r="AO11" s="61">
        <v>3.5</v>
      </c>
      <c r="AP11" s="42"/>
      <c r="AQ11" s="52" t="s">
        <v>75</v>
      </c>
      <c r="AR11" s="53" t="s">
        <v>83</v>
      </c>
      <c r="AS11" s="53" t="e">
        <v>#REF!</v>
      </c>
      <c r="AT11" s="72" t="e">
        <v>#REF!</v>
      </c>
      <c r="AU11" s="73"/>
      <c r="AV11" s="65" t="e">
        <v>#REF!</v>
      </c>
      <c r="AW11" s="62" t="e">
        <v>#REF!</v>
      </c>
      <c r="AX11" s="62" t="e">
        <v>#REF!</v>
      </c>
      <c r="AY11" s="66" t="e">
        <v>#REF!</v>
      </c>
      <c r="AZ11" s="61" t="e">
        <v>#REF!</v>
      </c>
      <c r="BA11" s="61" t="e">
        <v>#REF!</v>
      </c>
      <c r="BB11" s="61" t="e">
        <v>#REF!</v>
      </c>
      <c r="BC11" s="64" t="e">
        <v>#REF!</v>
      </c>
      <c r="BD11" s="61">
        <v>5</v>
      </c>
      <c r="BE11" s="61" t="e">
        <v>#REF!</v>
      </c>
      <c r="BF11" s="61" t="e">
        <v>#REF!</v>
      </c>
      <c r="BG11" s="61" t="e">
        <v>#REF!</v>
      </c>
      <c r="BH11" s="61">
        <v>3.5</v>
      </c>
      <c r="BI11" s="42"/>
      <c r="BJ11" s="58" t="s">
        <v>87</v>
      </c>
      <c r="BK11" s="59" t="s">
        <v>535</v>
      </c>
      <c r="BL11" s="60">
        <v>1471.4</v>
      </c>
      <c r="BM11" s="60">
        <v>143.38999999999999</v>
      </c>
      <c r="BN11" s="60">
        <v>129.4</v>
      </c>
      <c r="BO11" s="60">
        <v>43.82</v>
      </c>
      <c r="BP11" s="60">
        <v>14.3</v>
      </c>
      <c r="BQ11" s="60">
        <v>20.399999999999999</v>
      </c>
      <c r="BR11" s="60">
        <v>44.67</v>
      </c>
      <c r="BS11" s="60">
        <v>1.6403000000000001</v>
      </c>
      <c r="BT11" s="68">
        <v>1.6954</v>
      </c>
      <c r="BU11" s="42"/>
      <c r="BV11" s="62" t="str">
        <v/>
      </c>
      <c r="BW11" s="62" t="str">
        <v/>
      </c>
      <c r="BX11" s="62" t="str">
        <v/>
      </c>
      <c r="BY11" s="62" t="str">
        <v/>
      </c>
      <c r="BZ11" s="62">
        <v>-0.67193999999999998</v>
      </c>
      <c r="CA11" s="62" t="str">
        <v/>
      </c>
      <c r="CB11" s="62" t="str">
        <v/>
      </c>
      <c r="CC11" s="62" t="str">
        <v/>
      </c>
      <c r="CD11" s="62">
        <v>-0.51560000000000006</v>
      </c>
      <c r="CE11" s="122" t="str">
        <v/>
      </c>
      <c r="CF11" s="62" t="str">
        <v/>
      </c>
      <c r="CG11" s="62" t="str">
        <v/>
      </c>
      <c r="CH11" s="62" t="str">
        <v/>
      </c>
      <c r="CI11" s="62">
        <v>0</v>
      </c>
      <c r="CJ11" s="62" t="str">
        <v/>
      </c>
      <c r="CK11" s="62" t="str">
        <v/>
      </c>
      <c r="CL11" s="62" t="str">
        <v/>
      </c>
      <c r="CM11" s="62">
        <v>0</v>
      </c>
      <c r="CN11" s="130" t="str">
        <v/>
      </c>
    </row>
    <row r="12" spans="1:92">
      <c r="A12" s="69" t="s">
        <v>915</v>
      </c>
      <c r="B12" s="40" t="s">
        <v>74</v>
      </c>
      <c r="C12" s="70">
        <v>43</v>
      </c>
      <c r="D12" s="70">
        <v>173</v>
      </c>
      <c r="E12" s="70">
        <v>80</v>
      </c>
      <c r="F12" s="42"/>
      <c r="G12" s="61">
        <v>26.7</v>
      </c>
      <c r="H12" s="61">
        <v>1671</v>
      </c>
      <c r="I12" s="42"/>
      <c r="J12" s="61">
        <v>2005</v>
      </c>
      <c r="K12" s="61">
        <v>150</v>
      </c>
      <c r="L12" s="61">
        <v>201</v>
      </c>
      <c r="M12" s="61">
        <v>67</v>
      </c>
      <c r="N12" s="62">
        <v>2007</v>
      </c>
      <c r="O12" s="61">
        <v>5</v>
      </c>
      <c r="P12" s="61">
        <v>28</v>
      </c>
      <c r="Q12" s="61">
        <v>50</v>
      </c>
      <c r="R12" s="61">
        <v>22</v>
      </c>
      <c r="S12" s="61">
        <v>3.5</v>
      </c>
      <c r="T12" s="71">
        <v>-0.05</v>
      </c>
      <c r="U12" s="48">
        <v>0.05</v>
      </c>
      <c r="V12" s="48">
        <v>0</v>
      </c>
      <c r="W12" s="49">
        <v>-0.05</v>
      </c>
      <c r="X12" s="48">
        <v>0</v>
      </c>
      <c r="Y12" s="48">
        <v>0</v>
      </c>
      <c r="Z12" s="48">
        <v>0</v>
      </c>
      <c r="AA12" s="48">
        <v>0</v>
      </c>
      <c r="AB12" s="49">
        <v>0</v>
      </c>
      <c r="AC12" s="62">
        <v>1904.75</v>
      </c>
      <c r="AD12" s="62">
        <v>143</v>
      </c>
      <c r="AE12" s="62">
        <v>190</v>
      </c>
      <c r="AF12" s="62">
        <v>63</v>
      </c>
      <c r="AG12" s="63">
        <v>150</v>
      </c>
      <c r="AH12" s="61">
        <v>190</v>
      </c>
      <c r="AI12" s="61">
        <v>60</v>
      </c>
      <c r="AJ12" s="64">
        <v>1900</v>
      </c>
      <c r="AK12" s="61">
        <v>5</v>
      </c>
      <c r="AL12" s="61">
        <v>26.6</v>
      </c>
      <c r="AM12" s="61">
        <v>47.5</v>
      </c>
      <c r="AN12" s="61">
        <v>21.1</v>
      </c>
      <c r="AO12" s="61">
        <v>3.5</v>
      </c>
      <c r="AP12" s="42"/>
      <c r="AQ12" s="52" t="s">
        <v>75</v>
      </c>
      <c r="AR12" s="53" t="s">
        <v>85</v>
      </c>
      <c r="AS12" s="74" t="e">
        <v>#REF!</v>
      </c>
      <c r="AT12" s="72" t="e">
        <v>#REF!</v>
      </c>
      <c r="AU12" s="73"/>
      <c r="AV12" s="65" t="e">
        <v>#REF!</v>
      </c>
      <c r="AW12" s="62" t="e">
        <v>#REF!</v>
      </c>
      <c r="AX12" s="62" t="e">
        <v>#REF!</v>
      </c>
      <c r="AY12" s="66" t="e">
        <v>#REF!</v>
      </c>
      <c r="AZ12" s="61" t="e">
        <v>#REF!</v>
      </c>
      <c r="BA12" s="61" t="e">
        <v>#REF!</v>
      </c>
      <c r="BB12" s="61" t="e">
        <v>#REF!</v>
      </c>
      <c r="BC12" s="64" t="e">
        <v>#REF!</v>
      </c>
      <c r="BD12" s="61">
        <v>5</v>
      </c>
      <c r="BE12" s="61" t="e">
        <v>#REF!</v>
      </c>
      <c r="BF12" s="61" t="e">
        <v>#REF!</v>
      </c>
      <c r="BG12" s="61" t="e">
        <v>#REF!</v>
      </c>
      <c r="BH12" s="61">
        <v>3.5</v>
      </c>
      <c r="BI12" s="42"/>
      <c r="BJ12" s="58" t="s">
        <v>87</v>
      </c>
      <c r="BK12" s="59" t="s">
        <v>537</v>
      </c>
      <c r="BL12" s="60" t="str">
        <v/>
      </c>
      <c r="BM12" s="60" t="str">
        <v/>
      </c>
      <c r="BN12" s="60" t="str">
        <v/>
      </c>
      <c r="BO12" s="60" t="str">
        <v/>
      </c>
      <c r="BP12" s="60" t="str">
        <v/>
      </c>
      <c r="BQ12" s="60" t="str">
        <v/>
      </c>
      <c r="BR12" s="60" t="str">
        <v/>
      </c>
      <c r="BS12" s="60" t="str">
        <v/>
      </c>
      <c r="BT12" s="68" t="str">
        <v/>
      </c>
      <c r="BU12" s="42"/>
      <c r="BV12" s="62" t="str">
        <v/>
      </c>
      <c r="BW12" s="62" t="str">
        <v/>
      </c>
      <c r="BX12" s="62" t="str">
        <v/>
      </c>
      <c r="BY12" s="62" t="str">
        <v/>
      </c>
      <c r="BZ12" s="62" t="str">
        <v/>
      </c>
      <c r="CA12" s="62" t="str">
        <v/>
      </c>
      <c r="CB12" s="62" t="str">
        <v/>
      </c>
      <c r="CC12" s="62" t="str">
        <v/>
      </c>
      <c r="CD12" s="62" t="str">
        <v/>
      </c>
      <c r="CE12" s="122" t="str">
        <v/>
      </c>
      <c r="CF12" s="62" t="str">
        <v/>
      </c>
      <c r="CG12" s="62" t="str">
        <v/>
      </c>
      <c r="CH12" s="62" t="str">
        <v/>
      </c>
      <c r="CI12" s="62" t="str">
        <v/>
      </c>
      <c r="CJ12" s="62" t="str">
        <v/>
      </c>
      <c r="CK12" s="62" t="str">
        <v/>
      </c>
      <c r="CL12" s="62" t="str">
        <v/>
      </c>
      <c r="CM12" s="62" t="str">
        <v/>
      </c>
      <c r="CN12" s="130" t="str">
        <v/>
      </c>
    </row>
    <row r="13" spans="1:92">
      <c r="A13" s="39"/>
      <c r="B13" s="75"/>
      <c r="C13" s="41"/>
      <c r="D13" s="41"/>
      <c r="E13" s="41"/>
      <c r="F13" s="42"/>
      <c r="G13" s="61" t="str">
        <v/>
      </c>
      <c r="H13" s="61" t="str">
        <v/>
      </c>
      <c r="I13" s="42"/>
      <c r="J13" s="61" t="str">
        <v/>
      </c>
      <c r="K13" s="61" t="str">
        <v/>
      </c>
      <c r="L13" s="61" t="str">
        <v/>
      </c>
      <c r="M13" s="61" t="str">
        <v/>
      </c>
      <c r="N13" s="62" t="str">
        <v/>
      </c>
      <c r="O13" s="61" t="str">
        <v/>
      </c>
      <c r="P13" s="61" t="str">
        <v/>
      </c>
      <c r="Q13" s="61" t="str">
        <v/>
      </c>
      <c r="R13" s="61" t="str">
        <v/>
      </c>
      <c r="S13" s="61" t="str">
        <v/>
      </c>
      <c r="T13" s="45"/>
      <c r="U13" s="46"/>
      <c r="V13" s="46"/>
      <c r="W13" s="47"/>
      <c r="X13" s="46"/>
      <c r="Y13" s="46"/>
      <c r="Z13" s="46"/>
      <c r="AA13" s="46"/>
      <c r="AB13" s="47"/>
      <c r="AC13" s="62" t="str">
        <v/>
      </c>
      <c r="AD13" s="62" t="str">
        <v/>
      </c>
      <c r="AE13" s="62" t="str">
        <v/>
      </c>
      <c r="AF13" s="62" t="str">
        <v/>
      </c>
      <c r="AG13" s="63" t="str">
        <v/>
      </c>
      <c r="AH13" s="61" t="str">
        <v/>
      </c>
      <c r="AI13" s="61" t="str">
        <v/>
      </c>
      <c r="AJ13" s="64" t="str">
        <v/>
      </c>
      <c r="AK13" s="61" t="str">
        <v/>
      </c>
      <c r="AL13" s="61" t="str">
        <v/>
      </c>
      <c r="AM13" s="61" t="str">
        <v/>
      </c>
      <c r="AN13" s="61" t="str">
        <v/>
      </c>
      <c r="AO13" s="61" t="str">
        <v/>
      </c>
      <c r="AP13" s="42"/>
      <c r="AQ13" s="76"/>
      <c r="AR13" s="74"/>
      <c r="AS13" s="74" t="str">
        <v/>
      </c>
      <c r="AT13" s="72" t="str">
        <v/>
      </c>
      <c r="AU13" s="73"/>
      <c r="AV13" s="65" t="str">
        <v/>
      </c>
      <c r="AW13" s="62" t="str">
        <v/>
      </c>
      <c r="AX13" s="62" t="str">
        <v/>
      </c>
      <c r="AY13" s="66" t="str">
        <v/>
      </c>
      <c r="AZ13" s="61" t="str">
        <v/>
      </c>
      <c r="BA13" s="61" t="str">
        <v/>
      </c>
      <c r="BB13" s="61" t="str">
        <v/>
      </c>
      <c r="BC13" s="64" t="str">
        <v/>
      </c>
      <c r="BD13" s="61" t="str">
        <v/>
      </c>
      <c r="BE13" s="61" t="str">
        <v/>
      </c>
      <c r="BF13" s="61" t="str">
        <v/>
      </c>
      <c r="BG13" s="61" t="str">
        <v/>
      </c>
      <c r="BH13" s="61" t="str">
        <v/>
      </c>
      <c r="BI13" s="42"/>
      <c r="BJ13" s="67"/>
      <c r="BK13" s="60"/>
      <c r="BL13" s="60" t="str">
        <v/>
      </c>
      <c r="BM13" s="60" t="str">
        <v/>
      </c>
      <c r="BN13" s="60" t="str">
        <v/>
      </c>
      <c r="BO13" s="60" t="str">
        <v/>
      </c>
      <c r="BP13" s="60" t="str">
        <v/>
      </c>
      <c r="BQ13" s="60" t="str">
        <v/>
      </c>
      <c r="BR13" s="60" t="str">
        <v/>
      </c>
      <c r="BS13" s="60" t="str">
        <v/>
      </c>
      <c r="BT13" s="68" t="str">
        <v/>
      </c>
      <c r="BU13" s="42"/>
      <c r="BV13" s="62" t="str">
        <v/>
      </c>
      <c r="BW13" s="62" t="str">
        <v/>
      </c>
      <c r="BX13" s="62" t="str">
        <v/>
      </c>
      <c r="BY13" s="62" t="str">
        <v/>
      </c>
      <c r="BZ13" s="62" t="str">
        <v/>
      </c>
      <c r="CA13" s="62" t="str">
        <v/>
      </c>
      <c r="CB13" s="62" t="str">
        <v/>
      </c>
      <c r="CC13" s="62" t="str">
        <v/>
      </c>
      <c r="CD13" s="62" t="str">
        <v/>
      </c>
      <c r="CE13" s="122" t="str">
        <v/>
      </c>
      <c r="CF13" s="62" t="str">
        <v/>
      </c>
      <c r="CG13" s="62" t="str">
        <v/>
      </c>
      <c r="CH13" s="62" t="str">
        <v/>
      </c>
      <c r="CI13" s="62" t="str">
        <v/>
      </c>
      <c r="CJ13" s="62" t="str">
        <v/>
      </c>
      <c r="CK13" s="62" t="str">
        <v/>
      </c>
      <c r="CL13" s="62" t="str">
        <v/>
      </c>
      <c r="CM13" s="62" t="str">
        <v/>
      </c>
      <c r="CN13" s="130" t="str">
        <v/>
      </c>
    </row>
    <row r="14" spans="1:92">
      <c r="A14" s="39"/>
      <c r="B14" s="75"/>
      <c r="C14" s="41"/>
      <c r="D14" s="41"/>
      <c r="E14" s="41"/>
      <c r="F14" s="42"/>
      <c r="G14" s="61" t="str">
        <v/>
      </c>
      <c r="H14" s="61" t="str">
        <v/>
      </c>
      <c r="I14" s="42"/>
      <c r="J14" s="61" t="str">
        <v/>
      </c>
      <c r="K14" s="61" t="str">
        <v/>
      </c>
      <c r="L14" s="61" t="str">
        <v/>
      </c>
      <c r="M14" s="61" t="str">
        <v/>
      </c>
      <c r="N14" s="62" t="str">
        <v/>
      </c>
      <c r="O14" s="61" t="str">
        <v/>
      </c>
      <c r="P14" s="61" t="str">
        <v/>
      </c>
      <c r="Q14" s="61" t="str">
        <v/>
      </c>
      <c r="R14" s="61" t="str">
        <v/>
      </c>
      <c r="S14" s="61" t="str">
        <v/>
      </c>
      <c r="T14" s="45"/>
      <c r="U14" s="46"/>
      <c r="V14" s="46"/>
      <c r="W14" s="47"/>
      <c r="X14" s="46"/>
      <c r="Y14" s="46"/>
      <c r="Z14" s="46"/>
      <c r="AA14" s="46"/>
      <c r="AB14" s="47"/>
      <c r="AC14" s="62" t="str">
        <v/>
      </c>
      <c r="AD14" s="62" t="str">
        <v/>
      </c>
      <c r="AE14" s="62" t="str">
        <v/>
      </c>
      <c r="AF14" s="62" t="str">
        <v/>
      </c>
      <c r="AG14" s="63" t="str">
        <v/>
      </c>
      <c r="AH14" s="61" t="str">
        <v/>
      </c>
      <c r="AI14" s="61" t="str">
        <v/>
      </c>
      <c r="AJ14" s="64" t="str">
        <v/>
      </c>
      <c r="AK14" s="61" t="str">
        <v/>
      </c>
      <c r="AL14" s="61" t="str">
        <v/>
      </c>
      <c r="AM14" s="61" t="str">
        <v/>
      </c>
      <c r="AN14" s="61" t="str">
        <v/>
      </c>
      <c r="AO14" s="61" t="str">
        <v/>
      </c>
      <c r="AP14" s="42"/>
      <c r="AQ14" s="76"/>
      <c r="AR14" s="74"/>
      <c r="AS14" s="74" t="str">
        <v/>
      </c>
      <c r="AT14" s="72" t="str">
        <v/>
      </c>
      <c r="AU14" s="73"/>
      <c r="AV14" s="65" t="str">
        <v/>
      </c>
      <c r="AW14" s="62" t="str">
        <v/>
      </c>
      <c r="AX14" s="62" t="str">
        <v/>
      </c>
      <c r="AY14" s="66" t="str">
        <v/>
      </c>
      <c r="AZ14" s="61" t="str">
        <v/>
      </c>
      <c r="BA14" s="61" t="str">
        <v/>
      </c>
      <c r="BB14" s="61" t="str">
        <v/>
      </c>
      <c r="BC14" s="64" t="str">
        <v/>
      </c>
      <c r="BD14" s="61" t="str">
        <v/>
      </c>
      <c r="BE14" s="61" t="str">
        <v/>
      </c>
      <c r="BF14" s="61" t="str">
        <v/>
      </c>
      <c r="BG14" s="61" t="str">
        <v/>
      </c>
      <c r="BH14" s="61" t="str">
        <v/>
      </c>
      <c r="BI14" s="42"/>
      <c r="BJ14" s="67"/>
      <c r="BK14" s="60"/>
      <c r="BL14" s="60" t="str">
        <v/>
      </c>
      <c r="BM14" s="60" t="str">
        <v/>
      </c>
      <c r="BN14" s="60" t="str">
        <v/>
      </c>
      <c r="BO14" s="60" t="str">
        <v/>
      </c>
      <c r="BP14" s="60" t="str">
        <v/>
      </c>
      <c r="BQ14" s="60" t="str">
        <v/>
      </c>
      <c r="BR14" s="60" t="str">
        <v/>
      </c>
      <c r="BS14" s="60" t="str">
        <v/>
      </c>
      <c r="BT14" s="68" t="str">
        <v/>
      </c>
      <c r="BU14" s="42"/>
      <c r="BV14" s="62" t="str">
        <v/>
      </c>
      <c r="BW14" s="62" t="str">
        <v/>
      </c>
      <c r="BX14" s="62" t="str">
        <v/>
      </c>
      <c r="BY14" s="62" t="str">
        <v/>
      </c>
      <c r="BZ14" s="62" t="str">
        <v/>
      </c>
      <c r="CA14" s="62" t="str">
        <v/>
      </c>
      <c r="CB14" s="62" t="str">
        <v/>
      </c>
      <c r="CC14" s="62" t="str">
        <v/>
      </c>
      <c r="CD14" s="62" t="str">
        <v/>
      </c>
      <c r="CE14" s="122" t="str">
        <v/>
      </c>
      <c r="CF14" s="62" t="str">
        <v/>
      </c>
      <c r="CG14" s="62" t="str">
        <v/>
      </c>
      <c r="CH14" s="62" t="str">
        <v/>
      </c>
      <c r="CI14" s="62" t="str">
        <v/>
      </c>
      <c r="CJ14" s="62" t="str">
        <v/>
      </c>
      <c r="CK14" s="62" t="str">
        <v/>
      </c>
      <c r="CL14" s="62" t="str">
        <v/>
      </c>
      <c r="CM14" s="62" t="str">
        <v/>
      </c>
      <c r="CN14" s="130" t="str">
        <v/>
      </c>
    </row>
    <row r="15" spans="1:92">
      <c r="A15" s="39"/>
      <c r="B15" s="75"/>
      <c r="C15" s="41"/>
      <c r="D15" s="41"/>
      <c r="E15" s="41"/>
      <c r="F15" s="42"/>
      <c r="G15" s="61" t="str">
        <v/>
      </c>
      <c r="H15" s="61" t="str">
        <v/>
      </c>
      <c r="I15" s="42"/>
      <c r="J15" s="61" t="str">
        <v/>
      </c>
      <c r="K15" s="61" t="str">
        <v/>
      </c>
      <c r="L15" s="61" t="str">
        <v/>
      </c>
      <c r="M15" s="61" t="str">
        <v/>
      </c>
      <c r="N15" s="62" t="str">
        <v/>
      </c>
      <c r="O15" s="61" t="str">
        <v/>
      </c>
      <c r="P15" s="61" t="str">
        <v/>
      </c>
      <c r="Q15" s="61" t="str">
        <v/>
      </c>
      <c r="R15" s="61" t="str">
        <v/>
      </c>
      <c r="S15" s="61" t="str">
        <v/>
      </c>
      <c r="T15" s="45"/>
      <c r="U15" s="46"/>
      <c r="V15" s="46"/>
      <c r="W15" s="47"/>
      <c r="X15" s="46"/>
      <c r="Y15" s="46"/>
      <c r="Z15" s="46"/>
      <c r="AA15" s="46"/>
      <c r="AB15" s="47"/>
      <c r="AC15" s="62" t="str">
        <v/>
      </c>
      <c r="AD15" s="62" t="str">
        <v/>
      </c>
      <c r="AE15" s="62" t="str">
        <v/>
      </c>
      <c r="AF15" s="62" t="str">
        <v/>
      </c>
      <c r="AG15" s="63" t="str">
        <v/>
      </c>
      <c r="AH15" s="61" t="str">
        <v/>
      </c>
      <c r="AI15" s="61" t="str">
        <v/>
      </c>
      <c r="AJ15" s="64" t="str">
        <v/>
      </c>
      <c r="AK15" s="61" t="str">
        <v/>
      </c>
      <c r="AL15" s="61" t="str">
        <v/>
      </c>
      <c r="AM15" s="61" t="str">
        <v/>
      </c>
      <c r="AN15" s="61" t="str">
        <v/>
      </c>
      <c r="AO15" s="61" t="str">
        <v/>
      </c>
      <c r="AP15" s="42"/>
      <c r="AQ15" s="76"/>
      <c r="AR15" s="74"/>
      <c r="AS15" s="74" t="str">
        <v/>
      </c>
      <c r="AT15" s="72" t="str">
        <v/>
      </c>
      <c r="AU15" s="73"/>
      <c r="AV15" s="65" t="str">
        <v/>
      </c>
      <c r="AW15" s="62" t="str">
        <v/>
      </c>
      <c r="AX15" s="62" t="str">
        <v/>
      </c>
      <c r="AY15" s="66" t="str">
        <v/>
      </c>
      <c r="AZ15" s="61" t="str">
        <v/>
      </c>
      <c r="BA15" s="61" t="str">
        <v/>
      </c>
      <c r="BB15" s="61" t="str">
        <v/>
      </c>
      <c r="BC15" s="64" t="str">
        <v/>
      </c>
      <c r="BD15" s="61" t="str">
        <v/>
      </c>
      <c r="BE15" s="61" t="str">
        <v/>
      </c>
      <c r="BF15" s="61" t="str">
        <v/>
      </c>
      <c r="BG15" s="61" t="str">
        <v/>
      </c>
      <c r="BH15" s="61" t="str">
        <v/>
      </c>
      <c r="BI15" s="42"/>
      <c r="BJ15" s="67"/>
      <c r="BK15" s="60"/>
      <c r="BL15" s="60" t="str">
        <v/>
      </c>
      <c r="BM15" s="60" t="str">
        <v/>
      </c>
      <c r="BN15" s="60" t="str">
        <v/>
      </c>
      <c r="BO15" s="60" t="str">
        <v/>
      </c>
      <c r="BP15" s="60" t="str">
        <v/>
      </c>
      <c r="BQ15" s="60" t="str">
        <v/>
      </c>
      <c r="BR15" s="60" t="str">
        <v/>
      </c>
      <c r="BS15" s="60" t="str">
        <v/>
      </c>
      <c r="BT15" s="68" t="str">
        <v/>
      </c>
      <c r="BU15" s="42"/>
      <c r="BV15" s="62" t="str">
        <v/>
      </c>
      <c r="BW15" s="62" t="str">
        <v/>
      </c>
      <c r="BX15" s="62" t="str">
        <v/>
      </c>
      <c r="BY15" s="62" t="str">
        <v/>
      </c>
      <c r="BZ15" s="62" t="str">
        <v/>
      </c>
      <c r="CA15" s="62" t="str">
        <v/>
      </c>
      <c r="CB15" s="62" t="str">
        <v/>
      </c>
      <c r="CC15" s="62" t="str">
        <v/>
      </c>
      <c r="CD15" s="62" t="str">
        <v/>
      </c>
      <c r="CE15" s="122" t="str">
        <v/>
      </c>
      <c r="CF15" s="62" t="str">
        <v/>
      </c>
      <c r="CG15" s="62" t="str">
        <v/>
      </c>
      <c r="CH15" s="62" t="str">
        <v/>
      </c>
      <c r="CI15" s="62" t="str">
        <v/>
      </c>
      <c r="CJ15" s="62" t="str">
        <v/>
      </c>
      <c r="CK15" s="62" t="str">
        <v/>
      </c>
      <c r="CL15" s="62" t="str">
        <v/>
      </c>
      <c r="CM15" s="62" t="str">
        <v/>
      </c>
      <c r="CN15" s="130" t="str">
        <v/>
      </c>
    </row>
    <row r="16" spans="1:92">
      <c r="A16" s="39"/>
      <c r="B16" s="75"/>
      <c r="C16" s="41"/>
      <c r="D16" s="41"/>
      <c r="E16" s="41"/>
      <c r="F16" s="42"/>
      <c r="G16" s="61" t="str">
        <v/>
      </c>
      <c r="H16" s="61" t="str">
        <v/>
      </c>
      <c r="I16" s="42"/>
      <c r="J16" s="61" t="str">
        <v/>
      </c>
      <c r="K16" s="61" t="str">
        <v/>
      </c>
      <c r="L16" s="61" t="str">
        <v/>
      </c>
      <c r="M16" s="61" t="str">
        <v/>
      </c>
      <c r="N16" s="62" t="str">
        <v/>
      </c>
      <c r="O16" s="61" t="str">
        <v/>
      </c>
      <c r="P16" s="61" t="str">
        <v/>
      </c>
      <c r="Q16" s="61" t="str">
        <v/>
      </c>
      <c r="R16" s="61" t="str">
        <v/>
      </c>
      <c r="S16" s="61" t="str">
        <v/>
      </c>
      <c r="T16" s="45"/>
      <c r="U16" s="46"/>
      <c r="V16" s="46"/>
      <c r="W16" s="47"/>
      <c r="X16" s="46"/>
      <c r="Y16" s="46"/>
      <c r="Z16" s="46"/>
      <c r="AA16" s="46"/>
      <c r="AB16" s="47"/>
      <c r="AC16" s="62" t="str">
        <v/>
      </c>
      <c r="AD16" s="62" t="str">
        <v/>
      </c>
      <c r="AE16" s="62" t="str">
        <v/>
      </c>
      <c r="AF16" s="62" t="str">
        <v/>
      </c>
      <c r="AG16" s="63" t="str">
        <v/>
      </c>
      <c r="AH16" s="61" t="str">
        <v/>
      </c>
      <c r="AI16" s="61" t="str">
        <v/>
      </c>
      <c r="AJ16" s="64" t="str">
        <v/>
      </c>
      <c r="AK16" s="61" t="str">
        <v/>
      </c>
      <c r="AL16" s="61" t="str">
        <v/>
      </c>
      <c r="AM16" s="61" t="str">
        <v/>
      </c>
      <c r="AN16" s="61" t="str">
        <v/>
      </c>
      <c r="AO16" s="61" t="str">
        <v/>
      </c>
      <c r="AP16" s="42"/>
      <c r="AQ16" s="76"/>
      <c r="AR16" s="74"/>
      <c r="AS16" s="74" t="str">
        <v/>
      </c>
      <c r="AT16" s="72" t="str">
        <v/>
      </c>
      <c r="AU16" s="73"/>
      <c r="AV16" s="65" t="str">
        <v/>
      </c>
      <c r="AW16" s="62" t="str">
        <v/>
      </c>
      <c r="AX16" s="62" t="str">
        <v/>
      </c>
      <c r="AY16" s="66" t="str">
        <v/>
      </c>
      <c r="AZ16" s="61" t="str">
        <v/>
      </c>
      <c r="BA16" s="61" t="str">
        <v/>
      </c>
      <c r="BB16" s="61" t="str">
        <v/>
      </c>
      <c r="BC16" s="64" t="str">
        <v/>
      </c>
      <c r="BD16" s="61" t="str">
        <v/>
      </c>
      <c r="BE16" s="61" t="str">
        <v/>
      </c>
      <c r="BF16" s="61" t="str">
        <v/>
      </c>
      <c r="BG16" s="61" t="str">
        <v/>
      </c>
      <c r="BH16" s="61" t="str">
        <v/>
      </c>
      <c r="BI16" s="42"/>
      <c r="BJ16" s="67"/>
      <c r="BK16" s="60"/>
      <c r="BL16" s="60" t="str">
        <v/>
      </c>
      <c r="BM16" s="60" t="str">
        <v/>
      </c>
      <c r="BN16" s="60" t="str">
        <v/>
      </c>
      <c r="BO16" s="60" t="str">
        <v/>
      </c>
      <c r="BP16" s="60" t="str">
        <v/>
      </c>
      <c r="BQ16" s="60" t="str">
        <v/>
      </c>
      <c r="BR16" s="60" t="str">
        <v/>
      </c>
      <c r="BS16" s="60" t="str">
        <v/>
      </c>
      <c r="BT16" s="68" t="str">
        <v/>
      </c>
      <c r="BU16" s="42"/>
      <c r="BV16" s="62" t="str">
        <v/>
      </c>
      <c r="BW16" s="62" t="str">
        <v/>
      </c>
      <c r="BX16" s="62" t="str">
        <v/>
      </c>
      <c r="BY16" s="62" t="str">
        <v/>
      </c>
      <c r="BZ16" s="62" t="str">
        <v/>
      </c>
      <c r="CA16" s="62" t="str">
        <v/>
      </c>
      <c r="CB16" s="62" t="str">
        <v/>
      </c>
      <c r="CC16" s="62" t="str">
        <v/>
      </c>
      <c r="CD16" s="62" t="str">
        <v/>
      </c>
      <c r="CE16" s="122" t="str">
        <v/>
      </c>
      <c r="CF16" s="62" t="str">
        <v/>
      </c>
      <c r="CG16" s="62" t="str">
        <v/>
      </c>
      <c r="CH16" s="62" t="str">
        <v/>
      </c>
      <c r="CI16" s="62" t="str">
        <v/>
      </c>
      <c r="CJ16" s="62" t="str">
        <v/>
      </c>
      <c r="CK16" s="62" t="str">
        <v/>
      </c>
      <c r="CL16" s="62" t="str">
        <v/>
      </c>
      <c r="CM16" s="62" t="str">
        <v/>
      </c>
      <c r="CN16" s="130" t="str">
        <v/>
      </c>
    </row>
    <row r="17" spans="1:92">
      <c r="A17" s="39"/>
      <c r="B17" s="75"/>
      <c r="C17" s="41"/>
      <c r="D17" s="41"/>
      <c r="E17" s="41"/>
      <c r="F17" s="42"/>
      <c r="G17" s="61" t="str">
        <v/>
      </c>
      <c r="H17" s="61" t="str">
        <v/>
      </c>
      <c r="I17" s="42"/>
      <c r="J17" s="61" t="str">
        <v/>
      </c>
      <c r="K17" s="61" t="str">
        <v/>
      </c>
      <c r="L17" s="61" t="str">
        <v/>
      </c>
      <c r="M17" s="61" t="str">
        <v/>
      </c>
      <c r="N17" s="62" t="str">
        <v/>
      </c>
      <c r="O17" s="61" t="str">
        <v/>
      </c>
      <c r="P17" s="61" t="str">
        <v/>
      </c>
      <c r="Q17" s="61" t="str">
        <v/>
      </c>
      <c r="R17" s="61" t="str">
        <v/>
      </c>
      <c r="S17" s="61" t="str">
        <v/>
      </c>
      <c r="T17" s="45"/>
      <c r="U17" s="46"/>
      <c r="V17" s="46"/>
      <c r="W17" s="47"/>
      <c r="X17" s="46"/>
      <c r="Y17" s="46"/>
      <c r="Z17" s="46"/>
      <c r="AA17" s="46"/>
      <c r="AB17" s="47"/>
      <c r="AC17" s="62" t="str">
        <v/>
      </c>
      <c r="AD17" s="62" t="str">
        <v/>
      </c>
      <c r="AE17" s="62" t="str">
        <v/>
      </c>
      <c r="AF17" s="62" t="str">
        <v/>
      </c>
      <c r="AG17" s="63" t="str">
        <v/>
      </c>
      <c r="AH17" s="61" t="str">
        <v/>
      </c>
      <c r="AI17" s="61" t="str">
        <v/>
      </c>
      <c r="AJ17" s="64" t="str">
        <v/>
      </c>
      <c r="AK17" s="61" t="str">
        <v/>
      </c>
      <c r="AL17" s="61" t="str">
        <v/>
      </c>
      <c r="AM17" s="61" t="str">
        <v/>
      </c>
      <c r="AN17" s="61" t="str">
        <v/>
      </c>
      <c r="AO17" s="61" t="str">
        <v/>
      </c>
      <c r="AP17" s="42"/>
      <c r="AQ17" s="76"/>
      <c r="AR17" s="74"/>
      <c r="AS17" s="74" t="str">
        <v/>
      </c>
      <c r="AT17" s="72" t="str">
        <v/>
      </c>
      <c r="AU17" s="73"/>
      <c r="AV17" s="65" t="str">
        <v/>
      </c>
      <c r="AW17" s="62" t="str">
        <v/>
      </c>
      <c r="AX17" s="62" t="str">
        <v/>
      </c>
      <c r="AY17" s="66" t="str">
        <v/>
      </c>
      <c r="AZ17" s="61" t="str">
        <v/>
      </c>
      <c r="BA17" s="61" t="str">
        <v/>
      </c>
      <c r="BB17" s="61" t="str">
        <v/>
      </c>
      <c r="BC17" s="64" t="str">
        <v/>
      </c>
      <c r="BD17" s="61" t="str">
        <v/>
      </c>
      <c r="BE17" s="61" t="str">
        <v/>
      </c>
      <c r="BF17" s="61" t="str">
        <v/>
      </c>
      <c r="BG17" s="61" t="str">
        <v/>
      </c>
      <c r="BH17" s="61" t="str">
        <v/>
      </c>
      <c r="BI17" s="42"/>
      <c r="BJ17" s="67"/>
      <c r="BK17" s="60"/>
      <c r="BL17" s="60" t="str">
        <v/>
      </c>
      <c r="BM17" s="60" t="str">
        <v/>
      </c>
      <c r="BN17" s="60" t="str">
        <v/>
      </c>
      <c r="BO17" s="60" t="str">
        <v/>
      </c>
      <c r="BP17" s="60" t="str">
        <v/>
      </c>
      <c r="BQ17" s="60" t="str">
        <v/>
      </c>
      <c r="BR17" s="60" t="str">
        <v/>
      </c>
      <c r="BS17" s="60" t="str">
        <v/>
      </c>
      <c r="BT17" s="68" t="str">
        <v/>
      </c>
      <c r="BU17" s="42"/>
      <c r="BV17" s="62" t="str">
        <v/>
      </c>
      <c r="BW17" s="62" t="str">
        <v/>
      </c>
      <c r="BX17" s="62" t="str">
        <v/>
      </c>
      <c r="BY17" s="62" t="str">
        <v/>
      </c>
      <c r="BZ17" s="62" t="str">
        <v/>
      </c>
      <c r="CA17" s="62" t="str">
        <v/>
      </c>
      <c r="CB17" s="62" t="str">
        <v/>
      </c>
      <c r="CC17" s="62" t="str">
        <v/>
      </c>
      <c r="CD17" s="62" t="str">
        <v/>
      </c>
      <c r="CE17" s="122" t="str">
        <v/>
      </c>
      <c r="CF17" s="62" t="str">
        <v/>
      </c>
      <c r="CG17" s="62" t="str">
        <v/>
      </c>
      <c r="CH17" s="62" t="str">
        <v/>
      </c>
      <c r="CI17" s="62" t="str">
        <v/>
      </c>
      <c r="CJ17" s="62" t="str">
        <v/>
      </c>
      <c r="CK17" s="62" t="str">
        <v/>
      </c>
      <c r="CL17" s="62" t="str">
        <v/>
      </c>
      <c r="CM17" s="62" t="str">
        <v/>
      </c>
      <c r="CN17" s="130" t="str">
        <v/>
      </c>
    </row>
    <row r="18" spans="1:92">
      <c r="A18" s="39"/>
      <c r="B18" s="75"/>
      <c r="C18" s="41"/>
      <c r="D18" s="41"/>
      <c r="E18" s="41"/>
      <c r="F18" s="42"/>
      <c r="G18" s="61" t="str">
        <v/>
      </c>
      <c r="H18" s="61" t="str">
        <v/>
      </c>
      <c r="I18" s="42"/>
      <c r="J18" s="61" t="str">
        <v/>
      </c>
      <c r="K18" s="61" t="str">
        <v/>
      </c>
      <c r="L18" s="61" t="str">
        <v/>
      </c>
      <c r="M18" s="61" t="str">
        <v/>
      </c>
      <c r="N18" s="62" t="str">
        <v/>
      </c>
      <c r="O18" s="61" t="str">
        <v/>
      </c>
      <c r="P18" s="61" t="str">
        <v/>
      </c>
      <c r="Q18" s="61" t="str">
        <v/>
      </c>
      <c r="R18" s="61" t="str">
        <v/>
      </c>
      <c r="S18" s="61" t="str">
        <v/>
      </c>
      <c r="T18" s="45"/>
      <c r="U18" s="46"/>
      <c r="V18" s="46"/>
      <c r="W18" s="47"/>
      <c r="X18" s="46"/>
      <c r="Y18" s="46"/>
      <c r="Z18" s="46"/>
      <c r="AA18" s="46"/>
      <c r="AB18" s="47"/>
      <c r="AC18" s="62" t="str">
        <v/>
      </c>
      <c r="AD18" s="62" t="str">
        <v/>
      </c>
      <c r="AE18" s="62" t="str">
        <v/>
      </c>
      <c r="AF18" s="62" t="str">
        <v/>
      </c>
      <c r="AG18" s="63" t="str">
        <v/>
      </c>
      <c r="AH18" s="61" t="str">
        <v/>
      </c>
      <c r="AI18" s="61" t="str">
        <v/>
      </c>
      <c r="AJ18" s="64" t="str">
        <v/>
      </c>
      <c r="AK18" s="61" t="str">
        <v/>
      </c>
      <c r="AL18" s="61" t="str">
        <v/>
      </c>
      <c r="AM18" s="61" t="str">
        <v/>
      </c>
      <c r="AN18" s="61" t="str">
        <v/>
      </c>
      <c r="AO18" s="61" t="str">
        <v/>
      </c>
      <c r="AP18" s="42"/>
      <c r="AQ18" s="76"/>
      <c r="AR18" s="74"/>
      <c r="AS18" s="74" t="str">
        <v/>
      </c>
      <c r="AT18" s="72" t="str">
        <v/>
      </c>
      <c r="AU18" s="73"/>
      <c r="AV18" s="65" t="str">
        <v/>
      </c>
      <c r="AW18" s="62" t="str">
        <v/>
      </c>
      <c r="AX18" s="62" t="str">
        <v/>
      </c>
      <c r="AY18" s="66" t="str">
        <v/>
      </c>
      <c r="AZ18" s="61" t="str">
        <v/>
      </c>
      <c r="BA18" s="61" t="str">
        <v/>
      </c>
      <c r="BB18" s="61" t="str">
        <v/>
      </c>
      <c r="BC18" s="64" t="str">
        <v/>
      </c>
      <c r="BD18" s="61" t="str">
        <v/>
      </c>
      <c r="BE18" s="61" t="str">
        <v/>
      </c>
      <c r="BF18" s="61" t="str">
        <v/>
      </c>
      <c r="BG18" s="61" t="str">
        <v/>
      </c>
      <c r="BH18" s="61" t="str">
        <v/>
      </c>
      <c r="BI18" s="42"/>
      <c r="BJ18" s="67"/>
      <c r="BK18" s="60"/>
      <c r="BL18" s="60" t="str">
        <v/>
      </c>
      <c r="BM18" s="60" t="str">
        <v/>
      </c>
      <c r="BN18" s="60" t="str">
        <v/>
      </c>
      <c r="BO18" s="60" t="str">
        <v/>
      </c>
      <c r="BP18" s="60" t="str">
        <v/>
      </c>
      <c r="BQ18" s="60" t="str">
        <v/>
      </c>
      <c r="BR18" s="60" t="str">
        <v/>
      </c>
      <c r="BS18" s="60" t="str">
        <v/>
      </c>
      <c r="BT18" s="68" t="str">
        <v/>
      </c>
      <c r="BU18" s="42"/>
      <c r="BV18" s="62" t="str">
        <v/>
      </c>
      <c r="BW18" s="62" t="str">
        <v/>
      </c>
      <c r="BX18" s="62" t="str">
        <v/>
      </c>
      <c r="BY18" s="62" t="str">
        <v/>
      </c>
      <c r="BZ18" s="62" t="str">
        <v/>
      </c>
      <c r="CA18" s="62" t="str">
        <v/>
      </c>
      <c r="CB18" s="62" t="str">
        <v/>
      </c>
      <c r="CC18" s="62" t="str">
        <v/>
      </c>
      <c r="CD18" s="62" t="str">
        <v/>
      </c>
      <c r="CE18" s="122" t="str">
        <v/>
      </c>
      <c r="CF18" s="62" t="str">
        <v/>
      </c>
      <c r="CG18" s="62" t="str">
        <v/>
      </c>
      <c r="CH18" s="62" t="str">
        <v/>
      </c>
      <c r="CI18" s="62" t="str">
        <v/>
      </c>
      <c r="CJ18" s="62" t="str">
        <v/>
      </c>
      <c r="CK18" s="62" t="str">
        <v/>
      </c>
      <c r="CL18" s="62" t="str">
        <v/>
      </c>
      <c r="CM18" s="62" t="str">
        <v/>
      </c>
      <c r="CN18" s="130" t="str">
        <v/>
      </c>
    </row>
    <row r="19" spans="1:92">
      <c r="A19" s="39"/>
      <c r="B19" s="75"/>
      <c r="C19" s="41"/>
      <c r="D19" s="41"/>
      <c r="E19" s="41"/>
      <c r="F19" s="42"/>
      <c r="G19" s="61" t="str">
        <v/>
      </c>
      <c r="H19" s="61" t="str">
        <v/>
      </c>
      <c r="I19" s="42"/>
      <c r="J19" s="61" t="str">
        <v/>
      </c>
      <c r="K19" s="61" t="str">
        <v/>
      </c>
      <c r="L19" s="61" t="str">
        <v/>
      </c>
      <c r="M19" s="61" t="str">
        <v/>
      </c>
      <c r="N19" s="62" t="str">
        <v/>
      </c>
      <c r="O19" s="61" t="str">
        <v/>
      </c>
      <c r="P19" s="61" t="str">
        <v/>
      </c>
      <c r="Q19" s="61" t="str">
        <v/>
      </c>
      <c r="R19" s="61" t="str">
        <v/>
      </c>
      <c r="S19" s="61" t="str">
        <v/>
      </c>
      <c r="T19" s="45"/>
      <c r="U19" s="46"/>
      <c r="V19" s="46"/>
      <c r="W19" s="47"/>
      <c r="X19" s="46"/>
      <c r="Y19" s="46"/>
      <c r="Z19" s="46"/>
      <c r="AA19" s="46"/>
      <c r="AB19" s="47"/>
      <c r="AC19" s="62" t="str">
        <v/>
      </c>
      <c r="AD19" s="62" t="str">
        <v/>
      </c>
      <c r="AE19" s="62" t="str">
        <v/>
      </c>
      <c r="AF19" s="62" t="str">
        <v/>
      </c>
      <c r="AG19" s="63" t="str">
        <v/>
      </c>
      <c r="AH19" s="61" t="str">
        <v/>
      </c>
      <c r="AI19" s="61" t="str">
        <v/>
      </c>
      <c r="AJ19" s="64" t="str">
        <v/>
      </c>
      <c r="AK19" s="61" t="str">
        <v/>
      </c>
      <c r="AL19" s="61" t="str">
        <v/>
      </c>
      <c r="AM19" s="61" t="str">
        <v/>
      </c>
      <c r="AN19" s="61" t="str">
        <v/>
      </c>
      <c r="AO19" s="61" t="str">
        <v/>
      </c>
      <c r="AP19" s="42"/>
      <c r="AQ19" s="76"/>
      <c r="AR19" s="74"/>
      <c r="AS19" s="74" t="str">
        <v/>
      </c>
      <c r="AT19" s="72" t="str">
        <v/>
      </c>
      <c r="AU19" s="73"/>
      <c r="AV19" s="65" t="str">
        <v/>
      </c>
      <c r="AW19" s="62" t="str">
        <v/>
      </c>
      <c r="AX19" s="62" t="str">
        <v/>
      </c>
      <c r="AY19" s="66" t="str">
        <v/>
      </c>
      <c r="AZ19" s="61" t="str">
        <v/>
      </c>
      <c r="BA19" s="61" t="str">
        <v/>
      </c>
      <c r="BB19" s="61" t="str">
        <v/>
      </c>
      <c r="BC19" s="64" t="str">
        <v/>
      </c>
      <c r="BD19" s="61" t="str">
        <v/>
      </c>
      <c r="BE19" s="61" t="str">
        <v/>
      </c>
      <c r="BF19" s="61" t="str">
        <v/>
      </c>
      <c r="BG19" s="61" t="str">
        <v/>
      </c>
      <c r="BH19" s="61" t="str">
        <v/>
      </c>
      <c r="BI19" s="42"/>
      <c r="BJ19" s="67"/>
      <c r="BK19" s="60"/>
      <c r="BL19" s="60" t="str">
        <v/>
      </c>
      <c r="BM19" s="60" t="str">
        <v/>
      </c>
      <c r="BN19" s="60" t="str">
        <v/>
      </c>
      <c r="BO19" s="60" t="str">
        <v/>
      </c>
      <c r="BP19" s="60" t="str">
        <v/>
      </c>
      <c r="BQ19" s="60" t="str">
        <v/>
      </c>
      <c r="BR19" s="60" t="str">
        <v/>
      </c>
      <c r="BS19" s="60" t="str">
        <v/>
      </c>
      <c r="BT19" s="68" t="str">
        <v/>
      </c>
      <c r="BU19" s="42"/>
      <c r="BV19" s="62" t="str">
        <v/>
      </c>
      <c r="BW19" s="62" t="str">
        <v/>
      </c>
      <c r="BX19" s="62" t="str">
        <v/>
      </c>
      <c r="BY19" s="62" t="str">
        <v/>
      </c>
      <c r="BZ19" s="62" t="str">
        <v/>
      </c>
      <c r="CA19" s="62" t="str">
        <v/>
      </c>
      <c r="CB19" s="62" t="str">
        <v/>
      </c>
      <c r="CC19" s="62" t="str">
        <v/>
      </c>
      <c r="CD19" s="62" t="str">
        <v/>
      </c>
      <c r="CE19" s="122" t="str">
        <v/>
      </c>
      <c r="CF19" s="62" t="str">
        <v/>
      </c>
      <c r="CG19" s="62" t="str">
        <v/>
      </c>
      <c r="CH19" s="62" t="str">
        <v/>
      </c>
      <c r="CI19" s="62" t="str">
        <v/>
      </c>
      <c r="CJ19" s="62" t="str">
        <v/>
      </c>
      <c r="CK19" s="62" t="str">
        <v/>
      </c>
      <c r="CL19" s="62" t="str">
        <v/>
      </c>
      <c r="CM19" s="62" t="str">
        <v/>
      </c>
      <c r="CN19" s="130" t="str">
        <v/>
      </c>
    </row>
    <row r="20" spans="1:92">
      <c r="A20" s="39"/>
      <c r="B20" s="75"/>
      <c r="C20" s="41"/>
      <c r="D20" s="41"/>
      <c r="E20" s="41"/>
      <c r="F20" s="42"/>
      <c r="G20" s="61" t="str">
        <v/>
      </c>
      <c r="H20" s="61" t="str">
        <v/>
      </c>
      <c r="I20" s="42"/>
      <c r="J20" s="61" t="str">
        <v/>
      </c>
      <c r="K20" s="61" t="str">
        <v/>
      </c>
      <c r="L20" s="61" t="str">
        <v/>
      </c>
      <c r="M20" s="61" t="str">
        <v/>
      </c>
      <c r="N20" s="62" t="str">
        <v/>
      </c>
      <c r="O20" s="61" t="str">
        <v/>
      </c>
      <c r="P20" s="61" t="str">
        <v/>
      </c>
      <c r="Q20" s="61" t="str">
        <v/>
      </c>
      <c r="R20" s="61" t="str">
        <v/>
      </c>
      <c r="S20" s="61" t="str">
        <v/>
      </c>
      <c r="T20" s="45"/>
      <c r="U20" s="46"/>
      <c r="V20" s="46"/>
      <c r="W20" s="47"/>
      <c r="X20" s="46"/>
      <c r="Y20" s="46"/>
      <c r="Z20" s="46"/>
      <c r="AA20" s="46"/>
      <c r="AB20" s="47"/>
      <c r="AC20" s="62" t="str">
        <v/>
      </c>
      <c r="AD20" s="62" t="str">
        <v/>
      </c>
      <c r="AE20" s="62" t="str">
        <v/>
      </c>
      <c r="AF20" s="62" t="str">
        <v/>
      </c>
      <c r="AG20" s="63" t="str">
        <v/>
      </c>
      <c r="AH20" s="61" t="str">
        <v/>
      </c>
      <c r="AI20" s="61" t="str">
        <v/>
      </c>
      <c r="AJ20" s="64" t="str">
        <v/>
      </c>
      <c r="AK20" s="61" t="str">
        <v/>
      </c>
      <c r="AL20" s="61" t="str">
        <v/>
      </c>
      <c r="AM20" s="61" t="str">
        <v/>
      </c>
      <c r="AN20" s="61" t="str">
        <v/>
      </c>
      <c r="AO20" s="61" t="str">
        <v/>
      </c>
      <c r="AP20" s="42"/>
      <c r="AQ20" s="76"/>
      <c r="AR20" s="74"/>
      <c r="AS20" s="74" t="str">
        <v/>
      </c>
      <c r="AT20" s="72" t="str">
        <v/>
      </c>
      <c r="AU20" s="73"/>
      <c r="AV20" s="65" t="str">
        <v/>
      </c>
      <c r="AW20" s="62" t="str">
        <v/>
      </c>
      <c r="AX20" s="62" t="str">
        <v/>
      </c>
      <c r="AY20" s="66" t="str">
        <v/>
      </c>
      <c r="AZ20" s="61" t="str">
        <v/>
      </c>
      <c r="BA20" s="61" t="str">
        <v/>
      </c>
      <c r="BB20" s="61" t="str">
        <v/>
      </c>
      <c r="BC20" s="64" t="str">
        <v/>
      </c>
      <c r="BD20" s="61" t="str">
        <v/>
      </c>
      <c r="BE20" s="61" t="str">
        <v/>
      </c>
      <c r="BF20" s="61" t="str">
        <v/>
      </c>
      <c r="BG20" s="61" t="str">
        <v/>
      </c>
      <c r="BH20" s="61" t="str">
        <v/>
      </c>
      <c r="BI20" s="42"/>
      <c r="BJ20" s="67"/>
      <c r="BK20" s="60"/>
      <c r="BL20" s="60" t="str">
        <v/>
      </c>
      <c r="BM20" s="60" t="str">
        <v/>
      </c>
      <c r="BN20" s="60" t="str">
        <v/>
      </c>
      <c r="BO20" s="60" t="str">
        <v/>
      </c>
      <c r="BP20" s="60" t="str">
        <v/>
      </c>
      <c r="BQ20" s="60" t="str">
        <v/>
      </c>
      <c r="BR20" s="60" t="str">
        <v/>
      </c>
      <c r="BS20" s="60" t="str">
        <v/>
      </c>
      <c r="BT20" s="68" t="str">
        <v/>
      </c>
      <c r="BU20" s="42"/>
      <c r="BV20" s="62" t="str">
        <v/>
      </c>
      <c r="BW20" s="62" t="str">
        <v/>
      </c>
      <c r="BX20" s="62" t="str">
        <v/>
      </c>
      <c r="BY20" s="62" t="str">
        <v/>
      </c>
      <c r="BZ20" s="62" t="str">
        <v/>
      </c>
      <c r="CA20" s="62" t="str">
        <v/>
      </c>
      <c r="CB20" s="62" t="str">
        <v/>
      </c>
      <c r="CC20" s="62" t="str">
        <v/>
      </c>
      <c r="CD20" s="62" t="str">
        <v/>
      </c>
      <c r="CE20" s="122" t="str">
        <v/>
      </c>
      <c r="CF20" s="62" t="str">
        <v/>
      </c>
      <c r="CG20" s="62" t="str">
        <v/>
      </c>
      <c r="CH20" s="62" t="str">
        <v/>
      </c>
      <c r="CI20" s="62" t="str">
        <v/>
      </c>
      <c r="CJ20" s="62" t="str">
        <v/>
      </c>
      <c r="CK20" s="62" t="str">
        <v/>
      </c>
      <c r="CL20" s="62" t="str">
        <v/>
      </c>
      <c r="CM20" s="62" t="str">
        <v/>
      </c>
      <c r="CN20" s="130" t="str">
        <v/>
      </c>
    </row>
    <row r="21" spans="1:92">
      <c r="A21" s="39"/>
      <c r="B21" s="75"/>
      <c r="C21" s="41"/>
      <c r="D21" s="41"/>
      <c r="E21" s="41"/>
      <c r="F21" s="42"/>
      <c r="G21" s="61" t="str">
        <v/>
      </c>
      <c r="H21" s="61" t="str">
        <v/>
      </c>
      <c r="I21" s="42"/>
      <c r="J21" s="61" t="str">
        <v/>
      </c>
      <c r="K21" s="61" t="str">
        <v/>
      </c>
      <c r="L21" s="61" t="str">
        <v/>
      </c>
      <c r="M21" s="61" t="str">
        <v/>
      </c>
      <c r="N21" s="62" t="str">
        <v/>
      </c>
      <c r="O21" s="61" t="str">
        <v/>
      </c>
      <c r="P21" s="61" t="str">
        <v/>
      </c>
      <c r="Q21" s="61" t="str">
        <v/>
      </c>
      <c r="R21" s="61" t="str">
        <v/>
      </c>
      <c r="S21" s="61" t="str">
        <v/>
      </c>
      <c r="T21" s="45"/>
      <c r="U21" s="46"/>
      <c r="V21" s="46"/>
      <c r="W21" s="47"/>
      <c r="X21" s="46"/>
      <c r="Y21" s="46"/>
      <c r="Z21" s="46"/>
      <c r="AA21" s="46"/>
      <c r="AB21" s="47"/>
      <c r="AC21" s="62" t="str">
        <v/>
      </c>
      <c r="AD21" s="62" t="str">
        <v/>
      </c>
      <c r="AE21" s="62" t="str">
        <v/>
      </c>
      <c r="AF21" s="62" t="str">
        <v/>
      </c>
      <c r="AG21" s="63" t="str">
        <v/>
      </c>
      <c r="AH21" s="61" t="str">
        <v/>
      </c>
      <c r="AI21" s="61" t="str">
        <v/>
      </c>
      <c r="AJ21" s="64" t="str">
        <v/>
      </c>
      <c r="AK21" s="61" t="str">
        <v/>
      </c>
      <c r="AL21" s="61" t="str">
        <v/>
      </c>
      <c r="AM21" s="61" t="str">
        <v/>
      </c>
      <c r="AN21" s="61" t="str">
        <v/>
      </c>
      <c r="AO21" s="61" t="str">
        <v/>
      </c>
      <c r="AP21" s="42"/>
      <c r="AQ21" s="76"/>
      <c r="AR21" s="74"/>
      <c r="AS21" s="74" t="str">
        <v/>
      </c>
      <c r="AT21" s="72" t="str">
        <v/>
      </c>
      <c r="AU21" s="73"/>
      <c r="AV21" s="65" t="str">
        <v/>
      </c>
      <c r="AW21" s="62" t="str">
        <v/>
      </c>
      <c r="AX21" s="62" t="str">
        <v/>
      </c>
      <c r="AY21" s="66" t="str">
        <v/>
      </c>
      <c r="AZ21" s="61" t="str">
        <v/>
      </c>
      <c r="BA21" s="61" t="str">
        <v/>
      </c>
      <c r="BB21" s="61" t="str">
        <v/>
      </c>
      <c r="BC21" s="64" t="str">
        <v/>
      </c>
      <c r="BD21" s="61" t="str">
        <v/>
      </c>
      <c r="BE21" s="61" t="str">
        <v/>
      </c>
      <c r="BF21" s="61" t="str">
        <v/>
      </c>
      <c r="BG21" s="61" t="str">
        <v/>
      </c>
      <c r="BH21" s="61" t="str">
        <v/>
      </c>
      <c r="BI21" s="42"/>
      <c r="BJ21" s="67"/>
      <c r="BK21" s="60"/>
      <c r="BL21" s="60" t="str">
        <v/>
      </c>
      <c r="BM21" s="60" t="str">
        <v/>
      </c>
      <c r="BN21" s="60" t="str">
        <v/>
      </c>
      <c r="BO21" s="60" t="str">
        <v/>
      </c>
      <c r="BP21" s="60" t="str">
        <v/>
      </c>
      <c r="BQ21" s="60" t="str">
        <v/>
      </c>
      <c r="BR21" s="60" t="str">
        <v/>
      </c>
      <c r="BS21" s="60" t="str">
        <v/>
      </c>
      <c r="BT21" s="68" t="str">
        <v/>
      </c>
      <c r="BU21" s="42"/>
      <c r="BV21" s="62" t="str">
        <v/>
      </c>
      <c r="BW21" s="62" t="str">
        <v/>
      </c>
      <c r="BX21" s="62" t="str">
        <v/>
      </c>
      <c r="BY21" s="62" t="str">
        <v/>
      </c>
      <c r="BZ21" s="62" t="str">
        <v/>
      </c>
      <c r="CA21" s="62" t="str">
        <v/>
      </c>
      <c r="CB21" s="62" t="str">
        <v/>
      </c>
      <c r="CC21" s="62" t="str">
        <v/>
      </c>
      <c r="CD21" s="62" t="str">
        <v/>
      </c>
      <c r="CE21" s="122" t="str">
        <v/>
      </c>
      <c r="CF21" s="62" t="str">
        <v/>
      </c>
      <c r="CG21" s="62" t="str">
        <v/>
      </c>
      <c r="CH21" s="62" t="str">
        <v/>
      </c>
      <c r="CI21" s="62" t="str">
        <v/>
      </c>
      <c r="CJ21" s="62" t="str">
        <v/>
      </c>
      <c r="CK21" s="62" t="str">
        <v/>
      </c>
      <c r="CL21" s="62" t="str">
        <v/>
      </c>
      <c r="CM21" s="62" t="str">
        <v/>
      </c>
      <c r="CN21" s="130" t="str">
        <v/>
      </c>
    </row>
    <row r="22" spans="1:92">
      <c r="A22" s="39"/>
      <c r="B22" s="75"/>
      <c r="C22" s="41"/>
      <c r="D22" s="41"/>
      <c r="E22" s="41"/>
      <c r="F22" s="42"/>
      <c r="G22" s="61" t="str">
        <v/>
      </c>
      <c r="H22" s="61" t="str">
        <v/>
      </c>
      <c r="I22" s="42"/>
      <c r="J22" s="61" t="str">
        <v/>
      </c>
      <c r="K22" s="61" t="str">
        <v/>
      </c>
      <c r="L22" s="61" t="str">
        <v/>
      </c>
      <c r="M22" s="61" t="str">
        <v/>
      </c>
      <c r="N22" s="62" t="str">
        <v/>
      </c>
      <c r="O22" s="61" t="str">
        <v/>
      </c>
      <c r="P22" s="61" t="str">
        <v/>
      </c>
      <c r="Q22" s="61" t="str">
        <v/>
      </c>
      <c r="R22" s="61" t="str">
        <v/>
      </c>
      <c r="S22" s="61" t="str">
        <v/>
      </c>
      <c r="T22" s="45"/>
      <c r="U22" s="46"/>
      <c r="V22" s="46"/>
      <c r="W22" s="47"/>
      <c r="X22" s="46"/>
      <c r="Y22" s="46"/>
      <c r="Z22" s="46"/>
      <c r="AA22" s="46"/>
      <c r="AB22" s="47"/>
      <c r="AC22" s="62" t="str">
        <v/>
      </c>
      <c r="AD22" s="62" t="str">
        <v/>
      </c>
      <c r="AE22" s="62" t="str">
        <v/>
      </c>
      <c r="AF22" s="62" t="str">
        <v/>
      </c>
      <c r="AG22" s="63" t="str">
        <v/>
      </c>
      <c r="AH22" s="61" t="str">
        <v/>
      </c>
      <c r="AI22" s="61" t="str">
        <v/>
      </c>
      <c r="AJ22" s="64" t="str">
        <v/>
      </c>
      <c r="AK22" s="61" t="str">
        <v/>
      </c>
      <c r="AL22" s="61" t="str">
        <v/>
      </c>
      <c r="AM22" s="61" t="str">
        <v/>
      </c>
      <c r="AN22" s="61" t="str">
        <v/>
      </c>
      <c r="AO22" s="61" t="str">
        <v/>
      </c>
      <c r="AP22" s="42"/>
      <c r="AQ22" s="76"/>
      <c r="AR22" s="74"/>
      <c r="AS22" s="74" t="str">
        <v/>
      </c>
      <c r="AT22" s="72" t="str">
        <v/>
      </c>
      <c r="AU22" s="73"/>
      <c r="AV22" s="65" t="str">
        <v/>
      </c>
      <c r="AW22" s="62" t="str">
        <v/>
      </c>
      <c r="AX22" s="62" t="str">
        <v/>
      </c>
      <c r="AY22" s="66" t="str">
        <v/>
      </c>
      <c r="AZ22" s="61" t="str">
        <v/>
      </c>
      <c r="BA22" s="61" t="str">
        <v/>
      </c>
      <c r="BB22" s="61" t="str">
        <v/>
      </c>
      <c r="BC22" s="64" t="str">
        <v/>
      </c>
      <c r="BD22" s="61" t="str">
        <v/>
      </c>
      <c r="BE22" s="61" t="str">
        <v/>
      </c>
      <c r="BF22" s="61" t="str">
        <v/>
      </c>
      <c r="BG22" s="61" t="str">
        <v/>
      </c>
      <c r="BH22" s="61" t="str">
        <v/>
      </c>
      <c r="BI22" s="42"/>
      <c r="BJ22" s="67"/>
      <c r="BK22" s="60"/>
      <c r="BL22" s="60" t="str">
        <v/>
      </c>
      <c r="BM22" s="60" t="str">
        <v/>
      </c>
      <c r="BN22" s="60" t="str">
        <v/>
      </c>
      <c r="BO22" s="60" t="str">
        <v/>
      </c>
      <c r="BP22" s="60" t="str">
        <v/>
      </c>
      <c r="BQ22" s="60" t="str">
        <v/>
      </c>
      <c r="BR22" s="60" t="str">
        <v/>
      </c>
      <c r="BS22" s="60" t="str">
        <v/>
      </c>
      <c r="BT22" s="68" t="str">
        <v/>
      </c>
      <c r="BU22" s="42"/>
      <c r="BV22" s="62" t="str">
        <v/>
      </c>
      <c r="BW22" s="62" t="str">
        <v/>
      </c>
      <c r="BX22" s="62" t="str">
        <v/>
      </c>
      <c r="BY22" s="62" t="str">
        <v/>
      </c>
      <c r="BZ22" s="62" t="str">
        <v/>
      </c>
      <c r="CA22" s="62" t="str">
        <v/>
      </c>
      <c r="CB22" s="62" t="str">
        <v/>
      </c>
      <c r="CC22" s="62" t="str">
        <v/>
      </c>
      <c r="CD22" s="62" t="str">
        <v/>
      </c>
      <c r="CE22" s="122" t="str">
        <v/>
      </c>
      <c r="CF22" s="62" t="str">
        <v/>
      </c>
      <c r="CG22" s="62" t="str">
        <v/>
      </c>
      <c r="CH22" s="62" t="str">
        <v/>
      </c>
      <c r="CI22" s="62" t="str">
        <v/>
      </c>
      <c r="CJ22" s="62" t="str">
        <v/>
      </c>
      <c r="CK22" s="62" t="str">
        <v/>
      </c>
      <c r="CL22" s="62" t="str">
        <v/>
      </c>
      <c r="CM22" s="62" t="str">
        <v/>
      </c>
      <c r="CN22" s="130" t="str">
        <v/>
      </c>
    </row>
    <row r="23" spans="1:92">
      <c r="A23" s="39"/>
      <c r="B23" s="75"/>
      <c r="C23" s="41"/>
      <c r="D23" s="41"/>
      <c r="E23" s="41"/>
      <c r="F23" s="42"/>
      <c r="G23" s="61" t="str">
        <v/>
      </c>
      <c r="H23" s="61" t="str">
        <v/>
      </c>
      <c r="I23" s="42"/>
      <c r="J23" s="61" t="str">
        <v/>
      </c>
      <c r="K23" s="61" t="str">
        <v/>
      </c>
      <c r="L23" s="61" t="str">
        <v/>
      </c>
      <c r="M23" s="61" t="str">
        <v/>
      </c>
      <c r="N23" s="62" t="str">
        <v/>
      </c>
      <c r="O23" s="61" t="str">
        <v/>
      </c>
      <c r="P23" s="61" t="str">
        <v/>
      </c>
      <c r="Q23" s="61" t="str">
        <v/>
      </c>
      <c r="R23" s="61" t="str">
        <v/>
      </c>
      <c r="S23" s="61" t="str">
        <v/>
      </c>
      <c r="T23" s="45"/>
      <c r="U23" s="46"/>
      <c r="V23" s="46"/>
      <c r="W23" s="47"/>
      <c r="X23" s="46"/>
      <c r="Y23" s="46"/>
      <c r="Z23" s="46"/>
      <c r="AA23" s="46"/>
      <c r="AB23" s="47"/>
      <c r="AC23" s="62" t="str">
        <v/>
      </c>
      <c r="AD23" s="62" t="str">
        <v/>
      </c>
      <c r="AE23" s="62" t="str">
        <v/>
      </c>
      <c r="AF23" s="62" t="str">
        <v/>
      </c>
      <c r="AG23" s="63" t="str">
        <v/>
      </c>
      <c r="AH23" s="61" t="str">
        <v/>
      </c>
      <c r="AI23" s="61" t="str">
        <v/>
      </c>
      <c r="AJ23" s="64" t="str">
        <v/>
      </c>
      <c r="AK23" s="61" t="str">
        <v/>
      </c>
      <c r="AL23" s="61" t="str">
        <v/>
      </c>
      <c r="AM23" s="61" t="str">
        <v/>
      </c>
      <c r="AN23" s="61" t="str">
        <v/>
      </c>
      <c r="AO23" s="61" t="str">
        <v/>
      </c>
      <c r="AP23" s="42"/>
      <c r="AQ23" s="76"/>
      <c r="AR23" s="74"/>
      <c r="AS23" s="74" t="str">
        <v/>
      </c>
      <c r="AT23" s="72" t="str">
        <v/>
      </c>
      <c r="AU23" s="73"/>
      <c r="AV23" s="65" t="str">
        <v/>
      </c>
      <c r="AW23" s="62" t="str">
        <v/>
      </c>
      <c r="AX23" s="62" t="str">
        <v/>
      </c>
      <c r="AY23" s="66" t="str">
        <v/>
      </c>
      <c r="AZ23" s="61" t="str">
        <v/>
      </c>
      <c r="BA23" s="61" t="str">
        <v/>
      </c>
      <c r="BB23" s="61" t="str">
        <v/>
      </c>
      <c r="BC23" s="64" t="str">
        <v/>
      </c>
      <c r="BD23" s="61" t="str">
        <v/>
      </c>
      <c r="BE23" s="61" t="str">
        <v/>
      </c>
      <c r="BF23" s="61" t="str">
        <v/>
      </c>
      <c r="BG23" s="61" t="str">
        <v/>
      </c>
      <c r="BH23" s="61" t="str">
        <v/>
      </c>
      <c r="BI23" s="42"/>
      <c r="BJ23" s="67"/>
      <c r="BK23" s="60"/>
      <c r="BL23" s="60" t="str">
        <v/>
      </c>
      <c r="BM23" s="60" t="str">
        <v/>
      </c>
      <c r="BN23" s="60" t="str">
        <v/>
      </c>
      <c r="BO23" s="60" t="str">
        <v/>
      </c>
      <c r="BP23" s="60" t="str">
        <v/>
      </c>
      <c r="BQ23" s="60" t="str">
        <v/>
      </c>
      <c r="BR23" s="60" t="str">
        <v/>
      </c>
      <c r="BS23" s="60" t="str">
        <v/>
      </c>
      <c r="BT23" s="68" t="str">
        <v/>
      </c>
      <c r="BU23" s="42"/>
      <c r="BV23" s="62" t="str">
        <v/>
      </c>
      <c r="BW23" s="62" t="str">
        <v/>
      </c>
      <c r="BX23" s="62" t="str">
        <v/>
      </c>
      <c r="BY23" s="62" t="str">
        <v/>
      </c>
      <c r="BZ23" s="62" t="str">
        <v/>
      </c>
      <c r="CA23" s="62" t="str">
        <v/>
      </c>
      <c r="CB23" s="62" t="str">
        <v/>
      </c>
      <c r="CC23" s="62" t="str">
        <v/>
      </c>
      <c r="CD23" s="62" t="str">
        <v/>
      </c>
      <c r="CE23" s="122" t="str">
        <v/>
      </c>
      <c r="CF23" s="62" t="str">
        <v/>
      </c>
      <c r="CG23" s="62" t="str">
        <v/>
      </c>
      <c r="CH23" s="62" t="str">
        <v/>
      </c>
      <c r="CI23" s="62" t="str">
        <v/>
      </c>
      <c r="CJ23" s="62" t="str">
        <v/>
      </c>
      <c r="CK23" s="62" t="str">
        <v/>
      </c>
      <c r="CL23" s="62" t="str">
        <v/>
      </c>
      <c r="CM23" s="62" t="str">
        <v/>
      </c>
      <c r="CN23" s="130" t="str">
        <v/>
      </c>
    </row>
    <row r="24" spans="1:92">
      <c r="A24" s="39"/>
      <c r="B24" s="75"/>
      <c r="C24" s="41"/>
      <c r="D24" s="41"/>
      <c r="E24" s="41"/>
      <c r="F24" s="42"/>
      <c r="G24" s="61" t="str">
        <v/>
      </c>
      <c r="H24" s="61" t="str">
        <v/>
      </c>
      <c r="I24" s="42"/>
      <c r="J24" s="61" t="str">
        <v/>
      </c>
      <c r="K24" s="61" t="str">
        <v/>
      </c>
      <c r="L24" s="61" t="str">
        <v/>
      </c>
      <c r="M24" s="61" t="str">
        <v/>
      </c>
      <c r="N24" s="62" t="str">
        <v/>
      </c>
      <c r="O24" s="61" t="str">
        <v/>
      </c>
      <c r="P24" s="61" t="str">
        <v/>
      </c>
      <c r="Q24" s="61" t="str">
        <v/>
      </c>
      <c r="R24" s="61" t="str">
        <v/>
      </c>
      <c r="S24" s="61" t="str">
        <v/>
      </c>
      <c r="T24" s="45"/>
      <c r="U24" s="46"/>
      <c r="V24" s="46"/>
      <c r="W24" s="47"/>
      <c r="X24" s="46"/>
      <c r="Y24" s="46"/>
      <c r="Z24" s="46"/>
      <c r="AA24" s="46"/>
      <c r="AB24" s="47"/>
      <c r="AC24" s="62" t="str">
        <v/>
      </c>
      <c r="AD24" s="62" t="str">
        <v/>
      </c>
      <c r="AE24" s="62" t="str">
        <v/>
      </c>
      <c r="AF24" s="62" t="str">
        <v/>
      </c>
      <c r="AG24" s="63" t="str">
        <v/>
      </c>
      <c r="AH24" s="61" t="str">
        <v/>
      </c>
      <c r="AI24" s="61" t="str">
        <v/>
      </c>
      <c r="AJ24" s="64" t="str">
        <v/>
      </c>
      <c r="AK24" s="61" t="str">
        <v/>
      </c>
      <c r="AL24" s="61" t="str">
        <v/>
      </c>
      <c r="AM24" s="61" t="str">
        <v/>
      </c>
      <c r="AN24" s="61" t="str">
        <v/>
      </c>
      <c r="AO24" s="61" t="str">
        <v/>
      </c>
      <c r="AP24" s="42"/>
      <c r="AQ24" s="76"/>
      <c r="AR24" s="74"/>
      <c r="AS24" s="74" t="str">
        <v/>
      </c>
      <c r="AT24" s="72" t="str">
        <v/>
      </c>
      <c r="AU24" s="73"/>
      <c r="AV24" s="65" t="str">
        <v/>
      </c>
      <c r="AW24" s="62" t="str">
        <v/>
      </c>
      <c r="AX24" s="62" t="str">
        <v/>
      </c>
      <c r="AY24" s="66" t="str">
        <v/>
      </c>
      <c r="AZ24" s="61" t="str">
        <v/>
      </c>
      <c r="BA24" s="61" t="str">
        <v/>
      </c>
      <c r="BB24" s="61" t="str">
        <v/>
      </c>
      <c r="BC24" s="64" t="str">
        <v/>
      </c>
      <c r="BD24" s="61" t="str">
        <v/>
      </c>
      <c r="BE24" s="61" t="str">
        <v/>
      </c>
      <c r="BF24" s="61" t="str">
        <v/>
      </c>
      <c r="BG24" s="61" t="str">
        <v/>
      </c>
      <c r="BH24" s="61" t="str">
        <v/>
      </c>
      <c r="BI24" s="42"/>
      <c r="BJ24" s="67"/>
      <c r="BK24" s="60"/>
      <c r="BL24" s="60" t="str">
        <v/>
      </c>
      <c r="BM24" s="60" t="str">
        <v/>
      </c>
      <c r="BN24" s="60" t="str">
        <v/>
      </c>
      <c r="BO24" s="60" t="str">
        <v/>
      </c>
      <c r="BP24" s="60" t="str">
        <v/>
      </c>
      <c r="BQ24" s="60" t="str">
        <v/>
      </c>
      <c r="BR24" s="60" t="str">
        <v/>
      </c>
      <c r="BS24" s="60" t="str">
        <v/>
      </c>
      <c r="BT24" s="68" t="str">
        <v/>
      </c>
      <c r="BU24" s="42"/>
      <c r="BV24" s="62" t="str">
        <v/>
      </c>
      <c r="BW24" s="62" t="str">
        <v/>
      </c>
      <c r="BX24" s="62" t="str">
        <v/>
      </c>
      <c r="BY24" s="62" t="str">
        <v/>
      </c>
      <c r="BZ24" s="62" t="str">
        <v/>
      </c>
      <c r="CA24" s="62" t="str">
        <v/>
      </c>
      <c r="CB24" s="62" t="str">
        <v/>
      </c>
      <c r="CC24" s="62" t="str">
        <v/>
      </c>
      <c r="CD24" s="62" t="str">
        <v/>
      </c>
      <c r="CE24" s="122" t="str">
        <v/>
      </c>
      <c r="CF24" s="62" t="str">
        <v/>
      </c>
      <c r="CG24" s="62" t="str">
        <v/>
      </c>
      <c r="CH24" s="62" t="str">
        <v/>
      </c>
      <c r="CI24" s="62" t="str">
        <v/>
      </c>
      <c r="CJ24" s="62" t="str">
        <v/>
      </c>
      <c r="CK24" s="62" t="str">
        <v/>
      </c>
      <c r="CL24" s="62" t="str">
        <v/>
      </c>
      <c r="CM24" s="62" t="str">
        <v/>
      </c>
      <c r="CN24" s="130" t="str">
        <v/>
      </c>
    </row>
    <row r="25" spans="1:92">
      <c r="A25" s="39"/>
      <c r="B25" s="75"/>
      <c r="C25" s="41"/>
      <c r="D25" s="41"/>
      <c r="E25" s="41"/>
      <c r="F25" s="42"/>
      <c r="G25" s="61" t="str">
        <v/>
      </c>
      <c r="H25" s="61" t="str">
        <v/>
      </c>
      <c r="I25" s="42"/>
      <c r="J25" s="61" t="str">
        <v/>
      </c>
      <c r="K25" s="61" t="str">
        <v/>
      </c>
      <c r="L25" s="61" t="str">
        <v/>
      </c>
      <c r="M25" s="61" t="str">
        <v/>
      </c>
      <c r="N25" s="62" t="str">
        <v/>
      </c>
      <c r="O25" s="61" t="str">
        <v/>
      </c>
      <c r="P25" s="61" t="str">
        <v/>
      </c>
      <c r="Q25" s="61" t="str">
        <v/>
      </c>
      <c r="R25" s="61" t="str">
        <v/>
      </c>
      <c r="S25" s="61" t="str">
        <v/>
      </c>
      <c r="T25" s="45"/>
      <c r="U25" s="46"/>
      <c r="V25" s="46"/>
      <c r="W25" s="47"/>
      <c r="X25" s="46"/>
      <c r="Y25" s="46"/>
      <c r="Z25" s="46"/>
      <c r="AA25" s="46"/>
      <c r="AB25" s="47"/>
      <c r="AC25" s="62" t="str">
        <v/>
      </c>
      <c r="AD25" s="62" t="str">
        <v/>
      </c>
      <c r="AE25" s="62" t="str">
        <v/>
      </c>
      <c r="AF25" s="62" t="str">
        <v/>
      </c>
      <c r="AG25" s="63" t="str">
        <v/>
      </c>
      <c r="AH25" s="61" t="str">
        <v/>
      </c>
      <c r="AI25" s="61" t="str">
        <v/>
      </c>
      <c r="AJ25" s="64" t="str">
        <v/>
      </c>
      <c r="AK25" s="61" t="str">
        <v/>
      </c>
      <c r="AL25" s="61" t="str">
        <v/>
      </c>
      <c r="AM25" s="61" t="str">
        <v/>
      </c>
      <c r="AN25" s="61" t="str">
        <v/>
      </c>
      <c r="AO25" s="61" t="str">
        <v/>
      </c>
      <c r="AP25" s="42"/>
      <c r="AQ25" s="76"/>
      <c r="AR25" s="74"/>
      <c r="AS25" s="74" t="str">
        <v/>
      </c>
      <c r="AT25" s="72" t="str">
        <v/>
      </c>
      <c r="AU25" s="73"/>
      <c r="AV25" s="65" t="str">
        <v/>
      </c>
      <c r="AW25" s="62" t="str">
        <v/>
      </c>
      <c r="AX25" s="62" t="str">
        <v/>
      </c>
      <c r="AY25" s="66" t="str">
        <v/>
      </c>
      <c r="AZ25" s="61" t="str">
        <v/>
      </c>
      <c r="BA25" s="61" t="str">
        <v/>
      </c>
      <c r="BB25" s="61" t="str">
        <v/>
      </c>
      <c r="BC25" s="64" t="str">
        <v/>
      </c>
      <c r="BD25" s="61" t="str">
        <v/>
      </c>
      <c r="BE25" s="61" t="str">
        <v/>
      </c>
      <c r="BF25" s="61" t="str">
        <v/>
      </c>
      <c r="BG25" s="61" t="str">
        <v/>
      </c>
      <c r="BH25" s="61" t="str">
        <v/>
      </c>
      <c r="BI25" s="42"/>
      <c r="BJ25" s="67"/>
      <c r="BK25" s="60"/>
      <c r="BL25" s="60" t="str">
        <v/>
      </c>
      <c r="BM25" s="60" t="str">
        <v/>
      </c>
      <c r="BN25" s="60" t="str">
        <v/>
      </c>
      <c r="BO25" s="60" t="str">
        <v/>
      </c>
      <c r="BP25" s="60" t="str">
        <v/>
      </c>
      <c r="BQ25" s="60" t="str">
        <v/>
      </c>
      <c r="BR25" s="60" t="str">
        <v/>
      </c>
      <c r="BS25" s="60" t="str">
        <v/>
      </c>
      <c r="BT25" s="68" t="str">
        <v/>
      </c>
      <c r="BU25" s="42"/>
      <c r="BV25" s="62" t="str">
        <v/>
      </c>
      <c r="BW25" s="62" t="str">
        <v/>
      </c>
      <c r="BX25" s="62" t="str">
        <v/>
      </c>
      <c r="BY25" s="62" t="str">
        <v/>
      </c>
      <c r="BZ25" s="62" t="str">
        <v/>
      </c>
      <c r="CA25" s="62" t="str">
        <v/>
      </c>
      <c r="CB25" s="62" t="str">
        <v/>
      </c>
      <c r="CC25" s="62" t="str">
        <v/>
      </c>
      <c r="CD25" s="62" t="str">
        <v/>
      </c>
      <c r="CE25" s="122" t="str">
        <v/>
      </c>
      <c r="CF25" s="62" t="str">
        <v/>
      </c>
      <c r="CG25" s="62" t="str">
        <v/>
      </c>
      <c r="CH25" s="62" t="str">
        <v/>
      </c>
      <c r="CI25" s="62" t="str">
        <v/>
      </c>
      <c r="CJ25" s="62" t="str">
        <v/>
      </c>
      <c r="CK25" s="62" t="str">
        <v/>
      </c>
      <c r="CL25" s="62" t="str">
        <v/>
      </c>
      <c r="CM25" s="62" t="str">
        <v/>
      </c>
      <c r="CN25" s="130" t="str">
        <v/>
      </c>
    </row>
    <row r="26" spans="1:92">
      <c r="A26" s="39"/>
      <c r="B26" s="75"/>
      <c r="C26" s="41"/>
      <c r="D26" s="41"/>
      <c r="E26" s="41"/>
      <c r="F26" s="42"/>
      <c r="G26" s="61" t="str">
        <v/>
      </c>
      <c r="H26" s="61" t="str">
        <v/>
      </c>
      <c r="I26" s="42"/>
      <c r="J26" s="61" t="str">
        <v/>
      </c>
      <c r="K26" s="61" t="str">
        <v/>
      </c>
      <c r="L26" s="61" t="str">
        <v/>
      </c>
      <c r="M26" s="61" t="str">
        <v/>
      </c>
      <c r="N26" s="62" t="str">
        <v/>
      </c>
      <c r="O26" s="61" t="str">
        <v/>
      </c>
      <c r="P26" s="61" t="str">
        <v/>
      </c>
      <c r="Q26" s="61" t="str">
        <v/>
      </c>
      <c r="R26" s="61" t="str">
        <v/>
      </c>
      <c r="S26" s="61" t="str">
        <v/>
      </c>
      <c r="T26" s="45"/>
      <c r="U26" s="46"/>
      <c r="V26" s="46"/>
      <c r="W26" s="47"/>
      <c r="X26" s="46"/>
      <c r="Y26" s="46"/>
      <c r="Z26" s="46"/>
      <c r="AA26" s="46"/>
      <c r="AB26" s="47"/>
      <c r="AC26" s="62" t="str">
        <v/>
      </c>
      <c r="AD26" s="62" t="str">
        <v/>
      </c>
      <c r="AE26" s="62" t="str">
        <v/>
      </c>
      <c r="AF26" s="62" t="str">
        <v/>
      </c>
      <c r="AG26" s="63" t="str">
        <v/>
      </c>
      <c r="AH26" s="61" t="str">
        <v/>
      </c>
      <c r="AI26" s="61" t="str">
        <v/>
      </c>
      <c r="AJ26" s="64" t="str">
        <v/>
      </c>
      <c r="AK26" s="61" t="str">
        <v/>
      </c>
      <c r="AL26" s="61" t="str">
        <v/>
      </c>
      <c r="AM26" s="61" t="str">
        <v/>
      </c>
      <c r="AN26" s="61" t="str">
        <v/>
      </c>
      <c r="AO26" s="61" t="str">
        <v/>
      </c>
      <c r="AP26" s="42"/>
      <c r="AQ26" s="76"/>
      <c r="AR26" s="74"/>
      <c r="AS26" s="74" t="str">
        <v/>
      </c>
      <c r="AT26" s="72" t="str">
        <v/>
      </c>
      <c r="AU26" s="73"/>
      <c r="AV26" s="65" t="str">
        <v/>
      </c>
      <c r="AW26" s="62" t="str">
        <v/>
      </c>
      <c r="AX26" s="62" t="str">
        <v/>
      </c>
      <c r="AY26" s="66" t="str">
        <v/>
      </c>
      <c r="AZ26" s="61" t="str">
        <v/>
      </c>
      <c r="BA26" s="61" t="str">
        <v/>
      </c>
      <c r="BB26" s="61" t="str">
        <v/>
      </c>
      <c r="BC26" s="64" t="str">
        <v/>
      </c>
      <c r="BD26" s="61" t="str">
        <v/>
      </c>
      <c r="BE26" s="61" t="str">
        <v/>
      </c>
      <c r="BF26" s="61" t="str">
        <v/>
      </c>
      <c r="BG26" s="61" t="str">
        <v/>
      </c>
      <c r="BH26" s="61" t="str">
        <v/>
      </c>
      <c r="BI26" s="42"/>
      <c r="BJ26" s="67"/>
      <c r="BK26" s="60"/>
      <c r="BL26" s="60" t="str">
        <v/>
      </c>
      <c r="BM26" s="60" t="str">
        <v/>
      </c>
      <c r="BN26" s="60" t="str">
        <v/>
      </c>
      <c r="BO26" s="60" t="str">
        <v/>
      </c>
      <c r="BP26" s="60" t="str">
        <v/>
      </c>
      <c r="BQ26" s="60" t="str">
        <v/>
      </c>
      <c r="BR26" s="60" t="str">
        <v/>
      </c>
      <c r="BS26" s="60" t="str">
        <v/>
      </c>
      <c r="BT26" s="68" t="str">
        <v/>
      </c>
      <c r="BU26" s="42"/>
      <c r="BV26" s="62" t="str">
        <v/>
      </c>
      <c r="BW26" s="62" t="str">
        <v/>
      </c>
      <c r="BX26" s="62" t="str">
        <v/>
      </c>
      <c r="BY26" s="62" t="str">
        <v/>
      </c>
      <c r="BZ26" s="62" t="str">
        <v/>
      </c>
      <c r="CA26" s="62" t="str">
        <v/>
      </c>
      <c r="CB26" s="62" t="str">
        <v/>
      </c>
      <c r="CC26" s="62" t="str">
        <v/>
      </c>
      <c r="CD26" s="62" t="str">
        <v/>
      </c>
      <c r="CE26" s="122" t="str">
        <v/>
      </c>
      <c r="CF26" s="62" t="str">
        <v/>
      </c>
      <c r="CG26" s="62" t="str">
        <v/>
      </c>
      <c r="CH26" s="62" t="str">
        <v/>
      </c>
      <c r="CI26" s="62" t="str">
        <v/>
      </c>
      <c r="CJ26" s="62" t="str">
        <v/>
      </c>
      <c r="CK26" s="62" t="str">
        <v/>
      </c>
      <c r="CL26" s="62" t="str">
        <v/>
      </c>
      <c r="CM26" s="62" t="str">
        <v/>
      </c>
      <c r="CN26" s="130" t="str">
        <v/>
      </c>
    </row>
    <row r="27" spans="1:92">
      <c r="A27" s="39"/>
      <c r="B27" s="75"/>
      <c r="C27" s="41"/>
      <c r="D27" s="41"/>
      <c r="E27" s="41"/>
      <c r="F27" s="42"/>
      <c r="G27" s="61" t="str">
        <v/>
      </c>
      <c r="H27" s="61" t="str">
        <v/>
      </c>
      <c r="I27" s="42"/>
      <c r="J27" s="61" t="str">
        <v/>
      </c>
      <c r="K27" s="61" t="str">
        <v/>
      </c>
      <c r="L27" s="61" t="str">
        <v/>
      </c>
      <c r="M27" s="61" t="str">
        <v/>
      </c>
      <c r="N27" s="62" t="str">
        <v/>
      </c>
      <c r="O27" s="61" t="str">
        <v/>
      </c>
      <c r="P27" s="61" t="str">
        <v/>
      </c>
      <c r="Q27" s="61" t="str">
        <v/>
      </c>
      <c r="R27" s="61" t="str">
        <v/>
      </c>
      <c r="S27" s="61" t="str">
        <v/>
      </c>
      <c r="T27" s="45"/>
      <c r="U27" s="46"/>
      <c r="V27" s="46"/>
      <c r="W27" s="47"/>
      <c r="X27" s="46"/>
      <c r="Y27" s="46"/>
      <c r="Z27" s="46"/>
      <c r="AA27" s="46"/>
      <c r="AB27" s="47"/>
      <c r="AC27" s="62" t="str">
        <v/>
      </c>
      <c r="AD27" s="62" t="str">
        <v/>
      </c>
      <c r="AE27" s="62" t="str">
        <v/>
      </c>
      <c r="AF27" s="62" t="str">
        <v/>
      </c>
      <c r="AG27" s="63" t="str">
        <v/>
      </c>
      <c r="AH27" s="61" t="str">
        <v/>
      </c>
      <c r="AI27" s="61" t="str">
        <v/>
      </c>
      <c r="AJ27" s="64" t="str">
        <v/>
      </c>
      <c r="AK27" s="61" t="str">
        <v/>
      </c>
      <c r="AL27" s="61" t="str">
        <v/>
      </c>
      <c r="AM27" s="61" t="str">
        <v/>
      </c>
      <c r="AN27" s="61" t="str">
        <v/>
      </c>
      <c r="AO27" s="61" t="str">
        <v/>
      </c>
      <c r="AP27" s="42"/>
      <c r="AQ27" s="76"/>
      <c r="AR27" s="74"/>
      <c r="AS27" s="74" t="str">
        <v/>
      </c>
      <c r="AT27" s="72" t="str">
        <v/>
      </c>
      <c r="AU27" s="73"/>
      <c r="AV27" s="65" t="str">
        <v/>
      </c>
      <c r="AW27" s="62" t="str">
        <v/>
      </c>
      <c r="AX27" s="62" t="str">
        <v/>
      </c>
      <c r="AY27" s="66" t="str">
        <v/>
      </c>
      <c r="AZ27" s="61" t="str">
        <v/>
      </c>
      <c r="BA27" s="61" t="str">
        <v/>
      </c>
      <c r="BB27" s="61" t="str">
        <v/>
      </c>
      <c r="BC27" s="64" t="str">
        <v/>
      </c>
      <c r="BD27" s="61" t="str">
        <v/>
      </c>
      <c r="BE27" s="61" t="str">
        <v/>
      </c>
      <c r="BF27" s="61" t="str">
        <v/>
      </c>
      <c r="BG27" s="61" t="str">
        <v/>
      </c>
      <c r="BH27" s="61" t="str">
        <v/>
      </c>
      <c r="BI27" s="42"/>
      <c r="BJ27" s="67"/>
      <c r="BK27" s="60"/>
      <c r="BL27" s="60" t="str">
        <v/>
      </c>
      <c r="BM27" s="60" t="str">
        <v/>
      </c>
      <c r="BN27" s="60" t="str">
        <v/>
      </c>
      <c r="BO27" s="60" t="str">
        <v/>
      </c>
      <c r="BP27" s="60" t="str">
        <v/>
      </c>
      <c r="BQ27" s="60" t="str">
        <v/>
      </c>
      <c r="BR27" s="60" t="str">
        <v/>
      </c>
      <c r="BS27" s="60" t="str">
        <v/>
      </c>
      <c r="BT27" s="68" t="str">
        <v/>
      </c>
      <c r="BU27" s="42"/>
      <c r="BV27" s="62" t="str">
        <v/>
      </c>
      <c r="BW27" s="62" t="str">
        <v/>
      </c>
      <c r="BX27" s="62" t="str">
        <v/>
      </c>
      <c r="BY27" s="62" t="str">
        <v/>
      </c>
      <c r="BZ27" s="62" t="str">
        <v/>
      </c>
      <c r="CA27" s="62" t="str">
        <v/>
      </c>
      <c r="CB27" s="62" t="str">
        <v/>
      </c>
      <c r="CC27" s="62" t="str">
        <v/>
      </c>
      <c r="CD27" s="62" t="str">
        <v/>
      </c>
      <c r="CE27" s="122" t="str">
        <v/>
      </c>
      <c r="CF27" s="62" t="str">
        <v/>
      </c>
      <c r="CG27" s="62" t="str">
        <v/>
      </c>
      <c r="CH27" s="62" t="str">
        <v/>
      </c>
      <c r="CI27" s="62" t="str">
        <v/>
      </c>
      <c r="CJ27" s="62" t="str">
        <v/>
      </c>
      <c r="CK27" s="62" t="str">
        <v/>
      </c>
      <c r="CL27" s="62" t="str">
        <v/>
      </c>
      <c r="CM27" s="62" t="str">
        <v/>
      </c>
      <c r="CN27" s="130" t="str">
        <v/>
      </c>
    </row>
    <row r="28" spans="1:92">
      <c r="A28" s="39"/>
      <c r="B28" s="75"/>
      <c r="C28" s="41"/>
      <c r="D28" s="41"/>
      <c r="E28" s="41"/>
      <c r="F28" s="42"/>
      <c r="G28" s="61" t="str">
        <v/>
      </c>
      <c r="H28" s="61" t="str">
        <v/>
      </c>
      <c r="I28" s="42"/>
      <c r="J28" s="61" t="str">
        <v/>
      </c>
      <c r="K28" s="61" t="str">
        <v/>
      </c>
      <c r="L28" s="61" t="str">
        <v/>
      </c>
      <c r="M28" s="61" t="str">
        <v/>
      </c>
      <c r="N28" s="62" t="str">
        <v/>
      </c>
      <c r="O28" s="61" t="str">
        <v/>
      </c>
      <c r="P28" s="61" t="str">
        <v/>
      </c>
      <c r="Q28" s="61" t="str">
        <v/>
      </c>
      <c r="R28" s="61" t="str">
        <v/>
      </c>
      <c r="S28" s="61" t="str">
        <v/>
      </c>
      <c r="T28" s="45"/>
      <c r="U28" s="46"/>
      <c r="V28" s="46"/>
      <c r="W28" s="47"/>
      <c r="X28" s="46"/>
      <c r="Y28" s="46"/>
      <c r="Z28" s="46"/>
      <c r="AA28" s="46"/>
      <c r="AB28" s="47"/>
      <c r="AC28" s="62" t="str">
        <v/>
      </c>
      <c r="AD28" s="62" t="str">
        <v/>
      </c>
      <c r="AE28" s="62" t="str">
        <v/>
      </c>
      <c r="AF28" s="62" t="str">
        <v/>
      </c>
      <c r="AG28" s="63" t="str">
        <v/>
      </c>
      <c r="AH28" s="61" t="str">
        <v/>
      </c>
      <c r="AI28" s="61" t="str">
        <v/>
      </c>
      <c r="AJ28" s="64" t="str">
        <v/>
      </c>
      <c r="AK28" s="61" t="str">
        <v/>
      </c>
      <c r="AL28" s="61" t="str">
        <v/>
      </c>
      <c r="AM28" s="61" t="str">
        <v/>
      </c>
      <c r="AN28" s="61" t="str">
        <v/>
      </c>
      <c r="AO28" s="61" t="str">
        <v/>
      </c>
      <c r="AP28" s="42"/>
      <c r="AQ28" s="76"/>
      <c r="AR28" s="74"/>
      <c r="AS28" s="74" t="str">
        <v/>
      </c>
      <c r="AT28" s="72" t="str">
        <v/>
      </c>
      <c r="AU28" s="73"/>
      <c r="AV28" s="65" t="str">
        <v/>
      </c>
      <c r="AW28" s="62" t="str">
        <v/>
      </c>
      <c r="AX28" s="62" t="str">
        <v/>
      </c>
      <c r="AY28" s="66" t="str">
        <v/>
      </c>
      <c r="AZ28" s="61" t="str">
        <v/>
      </c>
      <c r="BA28" s="61" t="str">
        <v/>
      </c>
      <c r="BB28" s="61" t="str">
        <v/>
      </c>
      <c r="BC28" s="64" t="str">
        <v/>
      </c>
      <c r="BD28" s="61" t="str">
        <v/>
      </c>
      <c r="BE28" s="61" t="str">
        <v/>
      </c>
      <c r="BF28" s="61" t="str">
        <v/>
      </c>
      <c r="BG28" s="61" t="str">
        <v/>
      </c>
      <c r="BH28" s="61" t="str">
        <v/>
      </c>
      <c r="BI28" s="42"/>
      <c r="BJ28" s="67"/>
      <c r="BK28" s="60"/>
      <c r="BL28" s="60" t="str">
        <v/>
      </c>
      <c r="BM28" s="60" t="str">
        <v/>
      </c>
      <c r="BN28" s="60" t="str">
        <v/>
      </c>
      <c r="BO28" s="60" t="str">
        <v/>
      </c>
      <c r="BP28" s="60" t="str">
        <v/>
      </c>
      <c r="BQ28" s="60" t="str">
        <v/>
      </c>
      <c r="BR28" s="60" t="str">
        <v/>
      </c>
      <c r="BS28" s="60" t="str">
        <v/>
      </c>
      <c r="BT28" s="68" t="str">
        <v/>
      </c>
      <c r="BU28" s="42"/>
      <c r="BV28" s="62" t="str">
        <v/>
      </c>
      <c r="BW28" s="62" t="str">
        <v/>
      </c>
      <c r="BX28" s="62" t="str">
        <v/>
      </c>
      <c r="BY28" s="62" t="str">
        <v/>
      </c>
      <c r="BZ28" s="62" t="str">
        <v/>
      </c>
      <c r="CA28" s="62" t="str">
        <v/>
      </c>
      <c r="CB28" s="62" t="str">
        <v/>
      </c>
      <c r="CC28" s="62" t="str">
        <v/>
      </c>
      <c r="CD28" s="62" t="str">
        <v/>
      </c>
      <c r="CE28" s="122" t="str">
        <v/>
      </c>
      <c r="CF28" s="62" t="str">
        <v/>
      </c>
      <c r="CG28" s="62" t="str">
        <v/>
      </c>
      <c r="CH28" s="62" t="str">
        <v/>
      </c>
      <c r="CI28" s="62" t="str">
        <v/>
      </c>
      <c r="CJ28" s="62" t="str">
        <v/>
      </c>
      <c r="CK28" s="62" t="str">
        <v/>
      </c>
      <c r="CL28" s="62" t="str">
        <v/>
      </c>
      <c r="CM28" s="62" t="str">
        <v/>
      </c>
      <c r="CN28" s="130" t="str">
        <v/>
      </c>
    </row>
    <row r="29" spans="1:92">
      <c r="A29" s="39"/>
      <c r="B29" s="75"/>
      <c r="C29" s="41"/>
      <c r="D29" s="41"/>
      <c r="E29" s="41"/>
      <c r="F29" s="42"/>
      <c r="G29" s="61" t="str">
        <v/>
      </c>
      <c r="H29" s="61" t="str">
        <v/>
      </c>
      <c r="I29" s="42"/>
      <c r="J29" s="61" t="str">
        <v/>
      </c>
      <c r="K29" s="61" t="str">
        <v/>
      </c>
      <c r="L29" s="61" t="str">
        <v/>
      </c>
      <c r="M29" s="61" t="str">
        <v/>
      </c>
      <c r="N29" s="62" t="str">
        <v/>
      </c>
      <c r="O29" s="61" t="str">
        <v/>
      </c>
      <c r="P29" s="61" t="str">
        <v/>
      </c>
      <c r="Q29" s="61" t="str">
        <v/>
      </c>
      <c r="R29" s="61" t="str">
        <v/>
      </c>
      <c r="S29" s="61" t="str">
        <v/>
      </c>
      <c r="T29" s="45"/>
      <c r="U29" s="46"/>
      <c r="V29" s="46"/>
      <c r="W29" s="47"/>
      <c r="X29" s="46"/>
      <c r="Y29" s="46"/>
      <c r="Z29" s="46"/>
      <c r="AA29" s="46"/>
      <c r="AB29" s="47"/>
      <c r="AC29" s="62" t="str">
        <v/>
      </c>
      <c r="AD29" s="62" t="str">
        <v/>
      </c>
      <c r="AE29" s="62" t="str">
        <v/>
      </c>
      <c r="AF29" s="62" t="str">
        <v/>
      </c>
      <c r="AG29" s="63" t="str">
        <v/>
      </c>
      <c r="AH29" s="61" t="str">
        <v/>
      </c>
      <c r="AI29" s="61" t="str">
        <v/>
      </c>
      <c r="AJ29" s="64" t="str">
        <v/>
      </c>
      <c r="AK29" s="61" t="str">
        <v/>
      </c>
      <c r="AL29" s="61" t="str">
        <v/>
      </c>
      <c r="AM29" s="61" t="str">
        <v/>
      </c>
      <c r="AN29" s="61" t="str">
        <v/>
      </c>
      <c r="AO29" s="61" t="str">
        <v/>
      </c>
      <c r="AP29" s="42"/>
      <c r="AQ29" s="76"/>
      <c r="AR29" s="74"/>
      <c r="AS29" s="74" t="str">
        <v/>
      </c>
      <c r="AT29" s="72" t="str">
        <v/>
      </c>
      <c r="AU29" s="73"/>
      <c r="AV29" s="65" t="str">
        <v/>
      </c>
      <c r="AW29" s="62" t="str">
        <v/>
      </c>
      <c r="AX29" s="62" t="str">
        <v/>
      </c>
      <c r="AY29" s="66" t="str">
        <v/>
      </c>
      <c r="AZ29" s="61" t="str">
        <v/>
      </c>
      <c r="BA29" s="61" t="str">
        <v/>
      </c>
      <c r="BB29" s="61" t="str">
        <v/>
      </c>
      <c r="BC29" s="64" t="str">
        <v/>
      </c>
      <c r="BD29" s="61" t="str">
        <v/>
      </c>
      <c r="BE29" s="61" t="str">
        <v/>
      </c>
      <c r="BF29" s="61" t="str">
        <v/>
      </c>
      <c r="BG29" s="61" t="str">
        <v/>
      </c>
      <c r="BH29" s="61" t="str">
        <v/>
      </c>
      <c r="BI29" s="42"/>
      <c r="BJ29" s="67"/>
      <c r="BK29" s="60"/>
      <c r="BL29" s="60" t="str">
        <v/>
      </c>
      <c r="BM29" s="60" t="str">
        <v/>
      </c>
      <c r="BN29" s="60" t="str">
        <v/>
      </c>
      <c r="BO29" s="60" t="str">
        <v/>
      </c>
      <c r="BP29" s="60" t="str">
        <v/>
      </c>
      <c r="BQ29" s="60" t="str">
        <v/>
      </c>
      <c r="BR29" s="60" t="str">
        <v/>
      </c>
      <c r="BS29" s="60" t="str">
        <v/>
      </c>
      <c r="BT29" s="68" t="str">
        <v/>
      </c>
      <c r="BU29" s="42"/>
      <c r="BV29" s="62" t="str">
        <v/>
      </c>
      <c r="BW29" s="62" t="str">
        <v/>
      </c>
      <c r="BX29" s="62" t="str">
        <v/>
      </c>
      <c r="BY29" s="62" t="str">
        <v/>
      </c>
      <c r="BZ29" s="62" t="str">
        <v/>
      </c>
      <c r="CA29" s="62" t="str">
        <v/>
      </c>
      <c r="CB29" s="62" t="str">
        <v/>
      </c>
      <c r="CC29" s="62" t="str">
        <v/>
      </c>
      <c r="CD29" s="62" t="str">
        <v/>
      </c>
      <c r="CE29" s="122" t="str">
        <v/>
      </c>
      <c r="CF29" s="62" t="str">
        <v/>
      </c>
      <c r="CG29" s="62" t="str">
        <v/>
      </c>
      <c r="CH29" s="62" t="str">
        <v/>
      </c>
      <c r="CI29" s="62" t="str">
        <v/>
      </c>
      <c r="CJ29" s="62" t="str">
        <v/>
      </c>
      <c r="CK29" s="62" t="str">
        <v/>
      </c>
      <c r="CL29" s="62" t="str">
        <v/>
      </c>
      <c r="CM29" s="62" t="str">
        <v/>
      </c>
      <c r="CN29" s="130" t="str">
        <v/>
      </c>
    </row>
    <row r="30" spans="1:92">
      <c r="A30" s="39"/>
      <c r="B30" s="75"/>
      <c r="C30" s="41"/>
      <c r="D30" s="41"/>
      <c r="E30" s="41"/>
      <c r="F30" s="42"/>
      <c r="G30" s="61" t="str">
        <v/>
      </c>
      <c r="H30" s="61" t="str">
        <v/>
      </c>
      <c r="I30" s="42"/>
      <c r="J30" s="61" t="str">
        <v/>
      </c>
      <c r="K30" s="61" t="str">
        <v/>
      </c>
      <c r="L30" s="61" t="str">
        <v/>
      </c>
      <c r="M30" s="61" t="str">
        <v/>
      </c>
      <c r="N30" s="62" t="str">
        <v/>
      </c>
      <c r="O30" s="61" t="str">
        <v/>
      </c>
      <c r="P30" s="61" t="str">
        <v/>
      </c>
      <c r="Q30" s="61" t="str">
        <v/>
      </c>
      <c r="R30" s="61" t="str">
        <v/>
      </c>
      <c r="S30" s="61" t="str">
        <v/>
      </c>
      <c r="T30" s="45"/>
      <c r="U30" s="46"/>
      <c r="V30" s="46"/>
      <c r="W30" s="47"/>
      <c r="X30" s="46"/>
      <c r="Y30" s="46"/>
      <c r="Z30" s="46"/>
      <c r="AA30" s="46"/>
      <c r="AB30" s="47"/>
      <c r="AC30" s="62" t="str">
        <v/>
      </c>
      <c r="AD30" s="62" t="str">
        <v/>
      </c>
      <c r="AE30" s="62" t="str">
        <v/>
      </c>
      <c r="AF30" s="62" t="str">
        <v/>
      </c>
      <c r="AG30" s="63" t="str">
        <v/>
      </c>
      <c r="AH30" s="61" t="str">
        <v/>
      </c>
      <c r="AI30" s="61" t="str">
        <v/>
      </c>
      <c r="AJ30" s="64" t="str">
        <v/>
      </c>
      <c r="AK30" s="61" t="str">
        <v/>
      </c>
      <c r="AL30" s="61" t="str">
        <v/>
      </c>
      <c r="AM30" s="61" t="str">
        <v/>
      </c>
      <c r="AN30" s="61" t="str">
        <v/>
      </c>
      <c r="AO30" s="61" t="str">
        <v/>
      </c>
      <c r="AP30" s="42"/>
      <c r="AQ30" s="76"/>
      <c r="AR30" s="74"/>
      <c r="AS30" s="74" t="str">
        <v/>
      </c>
      <c r="AT30" s="72" t="str">
        <v/>
      </c>
      <c r="AU30" s="73"/>
      <c r="AV30" s="65" t="str">
        <v/>
      </c>
      <c r="AW30" s="62" t="str">
        <v/>
      </c>
      <c r="AX30" s="62" t="str">
        <v/>
      </c>
      <c r="AY30" s="66" t="str">
        <v/>
      </c>
      <c r="AZ30" s="61" t="str">
        <v/>
      </c>
      <c r="BA30" s="61" t="str">
        <v/>
      </c>
      <c r="BB30" s="61" t="str">
        <v/>
      </c>
      <c r="BC30" s="64" t="str">
        <v/>
      </c>
      <c r="BD30" s="61" t="str">
        <v/>
      </c>
      <c r="BE30" s="61" t="str">
        <v/>
      </c>
      <c r="BF30" s="61" t="str">
        <v/>
      </c>
      <c r="BG30" s="61" t="str">
        <v/>
      </c>
      <c r="BH30" s="61" t="str">
        <v/>
      </c>
      <c r="BI30" s="42"/>
      <c r="BJ30" s="67"/>
      <c r="BK30" s="60"/>
      <c r="BL30" s="60" t="str">
        <v/>
      </c>
      <c r="BM30" s="60" t="str">
        <v/>
      </c>
      <c r="BN30" s="60" t="str">
        <v/>
      </c>
      <c r="BO30" s="60" t="str">
        <v/>
      </c>
      <c r="BP30" s="60" t="str">
        <v/>
      </c>
      <c r="BQ30" s="60" t="str">
        <v/>
      </c>
      <c r="BR30" s="60" t="str">
        <v/>
      </c>
      <c r="BS30" s="60" t="str">
        <v/>
      </c>
      <c r="BT30" s="68" t="str">
        <v/>
      </c>
      <c r="BU30" s="42"/>
      <c r="BV30" s="62" t="str">
        <v/>
      </c>
      <c r="BW30" s="62" t="str">
        <v/>
      </c>
      <c r="BX30" s="62" t="str">
        <v/>
      </c>
      <c r="BY30" s="62" t="str">
        <v/>
      </c>
      <c r="BZ30" s="62" t="str">
        <v/>
      </c>
      <c r="CA30" s="62" t="str">
        <v/>
      </c>
      <c r="CB30" s="62" t="str">
        <v/>
      </c>
      <c r="CC30" s="62" t="str">
        <v/>
      </c>
      <c r="CD30" s="62" t="str">
        <v/>
      </c>
      <c r="CE30" s="122" t="str">
        <v/>
      </c>
      <c r="CF30" s="62" t="str">
        <v/>
      </c>
      <c r="CG30" s="62" t="str">
        <v/>
      </c>
      <c r="CH30" s="62" t="str">
        <v/>
      </c>
      <c r="CI30" s="62" t="str">
        <v/>
      </c>
      <c r="CJ30" s="62" t="str">
        <v/>
      </c>
      <c r="CK30" s="62" t="str">
        <v/>
      </c>
      <c r="CL30" s="62" t="str">
        <v/>
      </c>
      <c r="CM30" s="62" t="str">
        <v/>
      </c>
      <c r="CN30" s="130" t="str">
        <v/>
      </c>
    </row>
    <row r="31" spans="1:92">
      <c r="A31" s="39"/>
      <c r="B31" s="75"/>
      <c r="C31" s="41"/>
      <c r="D31" s="41"/>
      <c r="E31" s="41"/>
      <c r="F31" s="42"/>
      <c r="G31" s="61" t="str">
        <v/>
      </c>
      <c r="H31" s="61" t="str">
        <v/>
      </c>
      <c r="I31" s="42"/>
      <c r="J31" s="61" t="str">
        <v/>
      </c>
      <c r="K31" s="61" t="str">
        <v/>
      </c>
      <c r="L31" s="61" t="str">
        <v/>
      </c>
      <c r="M31" s="61" t="str">
        <v/>
      </c>
      <c r="N31" s="62" t="str">
        <v/>
      </c>
      <c r="O31" s="61" t="str">
        <v/>
      </c>
      <c r="P31" s="61" t="str">
        <v/>
      </c>
      <c r="Q31" s="61" t="str">
        <v/>
      </c>
      <c r="R31" s="61" t="str">
        <v/>
      </c>
      <c r="S31" s="61" t="str">
        <v/>
      </c>
      <c r="T31" s="45"/>
      <c r="U31" s="46"/>
      <c r="V31" s="46"/>
      <c r="W31" s="47"/>
      <c r="X31" s="46"/>
      <c r="Y31" s="46"/>
      <c r="Z31" s="46"/>
      <c r="AA31" s="46"/>
      <c r="AB31" s="47"/>
      <c r="AC31" s="62" t="str">
        <v/>
      </c>
      <c r="AD31" s="62" t="str">
        <v/>
      </c>
      <c r="AE31" s="62" t="str">
        <v/>
      </c>
      <c r="AF31" s="62" t="str">
        <v/>
      </c>
      <c r="AG31" s="63" t="str">
        <v/>
      </c>
      <c r="AH31" s="61" t="str">
        <v/>
      </c>
      <c r="AI31" s="61" t="str">
        <v/>
      </c>
      <c r="AJ31" s="64" t="str">
        <v/>
      </c>
      <c r="AK31" s="61" t="str">
        <v/>
      </c>
      <c r="AL31" s="61" t="str">
        <v/>
      </c>
      <c r="AM31" s="61" t="str">
        <v/>
      </c>
      <c r="AN31" s="61" t="str">
        <v/>
      </c>
      <c r="AO31" s="61" t="str">
        <v/>
      </c>
      <c r="AP31" s="42"/>
      <c r="AQ31" s="76"/>
      <c r="AR31" s="74"/>
      <c r="AS31" s="74" t="str">
        <v/>
      </c>
      <c r="AT31" s="72" t="str">
        <v/>
      </c>
      <c r="AU31" s="73"/>
      <c r="AV31" s="65" t="str">
        <v/>
      </c>
      <c r="AW31" s="62" t="str">
        <v/>
      </c>
      <c r="AX31" s="62" t="str">
        <v/>
      </c>
      <c r="AY31" s="66" t="str">
        <v/>
      </c>
      <c r="AZ31" s="61" t="str">
        <v/>
      </c>
      <c r="BA31" s="61" t="str">
        <v/>
      </c>
      <c r="BB31" s="61" t="str">
        <v/>
      </c>
      <c r="BC31" s="64" t="str">
        <v/>
      </c>
      <c r="BD31" s="61" t="str">
        <v/>
      </c>
      <c r="BE31" s="61" t="str">
        <v/>
      </c>
      <c r="BF31" s="61" t="str">
        <v/>
      </c>
      <c r="BG31" s="61" t="str">
        <v/>
      </c>
      <c r="BH31" s="61" t="str">
        <v/>
      </c>
      <c r="BI31" s="42"/>
      <c r="BJ31" s="67"/>
      <c r="BK31" s="60"/>
      <c r="BL31" s="60" t="str">
        <v/>
      </c>
      <c r="BM31" s="60" t="str">
        <v/>
      </c>
      <c r="BN31" s="60" t="str">
        <v/>
      </c>
      <c r="BO31" s="60" t="str">
        <v/>
      </c>
      <c r="BP31" s="60" t="str">
        <v/>
      </c>
      <c r="BQ31" s="60" t="str">
        <v/>
      </c>
      <c r="BR31" s="60" t="str">
        <v/>
      </c>
      <c r="BS31" s="60" t="str">
        <v/>
      </c>
      <c r="BT31" s="68" t="str">
        <v/>
      </c>
      <c r="BU31" s="42"/>
      <c r="BV31" s="62" t="str">
        <v/>
      </c>
      <c r="BW31" s="62" t="str">
        <v/>
      </c>
      <c r="BX31" s="62" t="str">
        <v/>
      </c>
      <c r="BY31" s="62" t="str">
        <v/>
      </c>
      <c r="BZ31" s="62" t="str">
        <v/>
      </c>
      <c r="CA31" s="62" t="str">
        <v/>
      </c>
      <c r="CB31" s="62" t="str">
        <v/>
      </c>
      <c r="CC31" s="62" t="str">
        <v/>
      </c>
      <c r="CD31" s="62" t="str">
        <v/>
      </c>
      <c r="CE31" s="122" t="str">
        <v/>
      </c>
      <c r="CF31" s="62" t="str">
        <v/>
      </c>
      <c r="CG31" s="62" t="str">
        <v/>
      </c>
      <c r="CH31" s="62" t="str">
        <v/>
      </c>
      <c r="CI31" s="62" t="str">
        <v/>
      </c>
      <c r="CJ31" s="62" t="str">
        <v/>
      </c>
      <c r="CK31" s="62" t="str">
        <v/>
      </c>
      <c r="CL31" s="62" t="str">
        <v/>
      </c>
      <c r="CM31" s="62" t="str">
        <v/>
      </c>
      <c r="CN31" s="130" t="str">
        <v/>
      </c>
    </row>
    <row r="32" spans="1:92">
      <c r="A32" s="39"/>
      <c r="B32" s="75"/>
      <c r="C32" s="41"/>
      <c r="D32" s="41"/>
      <c r="E32" s="41"/>
      <c r="F32" s="42"/>
      <c r="G32" s="61" t="str">
        <v/>
      </c>
      <c r="H32" s="61" t="str">
        <v/>
      </c>
      <c r="I32" s="42"/>
      <c r="J32" s="61" t="str">
        <v/>
      </c>
      <c r="K32" s="61" t="str">
        <v/>
      </c>
      <c r="L32" s="61" t="str">
        <v/>
      </c>
      <c r="M32" s="61" t="str">
        <v/>
      </c>
      <c r="N32" s="62" t="str">
        <v/>
      </c>
      <c r="O32" s="61" t="str">
        <v/>
      </c>
      <c r="P32" s="61" t="str">
        <v/>
      </c>
      <c r="Q32" s="61" t="str">
        <v/>
      </c>
      <c r="R32" s="61" t="str">
        <v/>
      </c>
      <c r="S32" s="61" t="str">
        <v/>
      </c>
      <c r="T32" s="45"/>
      <c r="U32" s="46"/>
      <c r="V32" s="46"/>
      <c r="W32" s="47"/>
      <c r="X32" s="46"/>
      <c r="Y32" s="46"/>
      <c r="Z32" s="46"/>
      <c r="AA32" s="46"/>
      <c r="AB32" s="47"/>
      <c r="AC32" s="62" t="str">
        <v/>
      </c>
      <c r="AD32" s="62" t="str">
        <v/>
      </c>
      <c r="AE32" s="62" t="str">
        <v/>
      </c>
      <c r="AF32" s="62" t="str">
        <v/>
      </c>
      <c r="AG32" s="63" t="str">
        <v/>
      </c>
      <c r="AH32" s="61" t="str">
        <v/>
      </c>
      <c r="AI32" s="61" t="str">
        <v/>
      </c>
      <c r="AJ32" s="64" t="str">
        <v/>
      </c>
      <c r="AK32" s="61" t="str">
        <v/>
      </c>
      <c r="AL32" s="61" t="str">
        <v/>
      </c>
      <c r="AM32" s="61" t="str">
        <v/>
      </c>
      <c r="AN32" s="61" t="str">
        <v/>
      </c>
      <c r="AO32" s="61" t="str">
        <v/>
      </c>
      <c r="AP32" s="42"/>
      <c r="AQ32" s="76"/>
      <c r="AR32" s="74"/>
      <c r="AS32" s="74" t="str">
        <v/>
      </c>
      <c r="AT32" s="72" t="str">
        <v/>
      </c>
      <c r="AU32" s="73"/>
      <c r="AV32" s="65" t="str">
        <v/>
      </c>
      <c r="AW32" s="62" t="str">
        <v/>
      </c>
      <c r="AX32" s="62" t="str">
        <v/>
      </c>
      <c r="AY32" s="66" t="str">
        <v/>
      </c>
      <c r="AZ32" s="61" t="str">
        <v/>
      </c>
      <c r="BA32" s="61" t="str">
        <v/>
      </c>
      <c r="BB32" s="61" t="str">
        <v/>
      </c>
      <c r="BC32" s="64" t="str">
        <v/>
      </c>
      <c r="BD32" s="61" t="str">
        <v/>
      </c>
      <c r="BE32" s="61" t="str">
        <v/>
      </c>
      <c r="BF32" s="61" t="str">
        <v/>
      </c>
      <c r="BG32" s="61" t="str">
        <v/>
      </c>
      <c r="BH32" s="61" t="str">
        <v/>
      </c>
      <c r="BI32" s="42"/>
      <c r="BJ32" s="67"/>
      <c r="BK32" s="60"/>
      <c r="BL32" s="60" t="str">
        <v/>
      </c>
      <c r="BM32" s="60" t="str">
        <v/>
      </c>
      <c r="BN32" s="60" t="str">
        <v/>
      </c>
      <c r="BO32" s="60" t="str">
        <v/>
      </c>
      <c r="BP32" s="60" t="str">
        <v/>
      </c>
      <c r="BQ32" s="60" t="str">
        <v/>
      </c>
      <c r="BR32" s="60" t="str">
        <v/>
      </c>
      <c r="BS32" s="60" t="str">
        <v/>
      </c>
      <c r="BT32" s="68" t="str">
        <v/>
      </c>
      <c r="BU32" s="42"/>
      <c r="BV32" s="62" t="str">
        <v/>
      </c>
      <c r="BW32" s="62" t="str">
        <v/>
      </c>
      <c r="BX32" s="62" t="str">
        <v/>
      </c>
      <c r="BY32" s="62" t="str">
        <v/>
      </c>
      <c r="BZ32" s="62" t="str">
        <v/>
      </c>
      <c r="CA32" s="62" t="str">
        <v/>
      </c>
      <c r="CB32" s="62" t="str">
        <v/>
      </c>
      <c r="CC32" s="62" t="str">
        <v/>
      </c>
      <c r="CD32" s="62" t="str">
        <v/>
      </c>
      <c r="CE32" s="122" t="str">
        <v/>
      </c>
      <c r="CF32" s="62" t="str">
        <v/>
      </c>
      <c r="CG32" s="62" t="str">
        <v/>
      </c>
      <c r="CH32" s="62" t="str">
        <v/>
      </c>
      <c r="CI32" s="62" t="str">
        <v/>
      </c>
      <c r="CJ32" s="62" t="str">
        <v/>
      </c>
      <c r="CK32" s="62" t="str">
        <v/>
      </c>
      <c r="CL32" s="62" t="str">
        <v/>
      </c>
      <c r="CM32" s="62" t="str">
        <v/>
      </c>
      <c r="CN32" s="130" t="str">
        <v/>
      </c>
    </row>
    <row r="33" spans="1:92">
      <c r="A33" s="39"/>
      <c r="B33" s="75"/>
      <c r="C33" s="41"/>
      <c r="D33" s="41"/>
      <c r="E33" s="41"/>
      <c r="F33" s="42"/>
      <c r="G33" s="61" t="str">
        <v/>
      </c>
      <c r="H33" s="61" t="str">
        <v/>
      </c>
      <c r="I33" s="42"/>
      <c r="J33" s="61" t="str">
        <v/>
      </c>
      <c r="K33" s="61" t="str">
        <v/>
      </c>
      <c r="L33" s="61" t="str">
        <v/>
      </c>
      <c r="M33" s="61" t="str">
        <v/>
      </c>
      <c r="N33" s="62" t="str">
        <v/>
      </c>
      <c r="O33" s="61" t="str">
        <v/>
      </c>
      <c r="P33" s="61" t="str">
        <v/>
      </c>
      <c r="Q33" s="61" t="str">
        <v/>
      </c>
      <c r="R33" s="61" t="str">
        <v/>
      </c>
      <c r="S33" s="61" t="str">
        <v/>
      </c>
      <c r="T33" s="45"/>
      <c r="U33" s="46"/>
      <c r="V33" s="46"/>
      <c r="W33" s="47"/>
      <c r="X33" s="46"/>
      <c r="Y33" s="46"/>
      <c r="Z33" s="46"/>
      <c r="AA33" s="46"/>
      <c r="AB33" s="47"/>
      <c r="AC33" s="62" t="str">
        <v/>
      </c>
      <c r="AD33" s="62" t="str">
        <v/>
      </c>
      <c r="AE33" s="62" t="str">
        <v/>
      </c>
      <c r="AF33" s="62" t="str">
        <v/>
      </c>
      <c r="AG33" s="63" t="str">
        <v/>
      </c>
      <c r="AH33" s="61" t="str">
        <v/>
      </c>
      <c r="AI33" s="61" t="str">
        <v/>
      </c>
      <c r="AJ33" s="64" t="str">
        <v/>
      </c>
      <c r="AK33" s="61" t="str">
        <v/>
      </c>
      <c r="AL33" s="61" t="str">
        <v/>
      </c>
      <c r="AM33" s="61" t="str">
        <v/>
      </c>
      <c r="AN33" s="61" t="str">
        <v/>
      </c>
      <c r="AO33" s="61" t="str">
        <v/>
      </c>
      <c r="AP33" s="42"/>
      <c r="AQ33" s="76"/>
      <c r="AR33" s="74"/>
      <c r="AS33" s="74" t="str">
        <v/>
      </c>
      <c r="AT33" s="72" t="str">
        <v/>
      </c>
      <c r="AU33" s="73"/>
      <c r="AV33" s="65" t="str">
        <v/>
      </c>
      <c r="AW33" s="62" t="str">
        <v/>
      </c>
      <c r="AX33" s="62" t="str">
        <v/>
      </c>
      <c r="AY33" s="66" t="str">
        <v/>
      </c>
      <c r="AZ33" s="61" t="str">
        <v/>
      </c>
      <c r="BA33" s="61" t="str">
        <v/>
      </c>
      <c r="BB33" s="61" t="str">
        <v/>
      </c>
      <c r="BC33" s="64" t="str">
        <v/>
      </c>
      <c r="BD33" s="61" t="str">
        <v/>
      </c>
      <c r="BE33" s="61" t="str">
        <v/>
      </c>
      <c r="BF33" s="61" t="str">
        <v/>
      </c>
      <c r="BG33" s="61" t="str">
        <v/>
      </c>
      <c r="BH33" s="61" t="str">
        <v/>
      </c>
      <c r="BI33" s="42"/>
      <c r="BJ33" s="67"/>
      <c r="BK33" s="60"/>
      <c r="BL33" s="60" t="str">
        <v/>
      </c>
      <c r="BM33" s="60" t="str">
        <v/>
      </c>
      <c r="BN33" s="60" t="str">
        <v/>
      </c>
      <c r="BO33" s="60" t="str">
        <v/>
      </c>
      <c r="BP33" s="60" t="str">
        <v/>
      </c>
      <c r="BQ33" s="60" t="str">
        <v/>
      </c>
      <c r="BR33" s="60" t="str">
        <v/>
      </c>
      <c r="BS33" s="60" t="str">
        <v/>
      </c>
      <c r="BT33" s="68" t="str">
        <v/>
      </c>
      <c r="BU33" s="42"/>
      <c r="BV33" s="62" t="str">
        <v/>
      </c>
      <c r="BW33" s="62" t="str">
        <v/>
      </c>
      <c r="BX33" s="62" t="str">
        <v/>
      </c>
      <c r="BY33" s="62" t="str">
        <v/>
      </c>
      <c r="BZ33" s="62" t="str">
        <v/>
      </c>
      <c r="CA33" s="62" t="str">
        <v/>
      </c>
      <c r="CB33" s="62" t="str">
        <v/>
      </c>
      <c r="CC33" s="62" t="str">
        <v/>
      </c>
      <c r="CD33" s="62" t="str">
        <v/>
      </c>
      <c r="CE33" s="122" t="str">
        <v/>
      </c>
      <c r="CF33" s="62" t="str">
        <v/>
      </c>
      <c r="CG33" s="62" t="str">
        <v/>
      </c>
      <c r="CH33" s="62" t="str">
        <v/>
      </c>
      <c r="CI33" s="62" t="str">
        <v/>
      </c>
      <c r="CJ33" s="62" t="str">
        <v/>
      </c>
      <c r="CK33" s="62" t="str">
        <v/>
      </c>
      <c r="CL33" s="62" t="str">
        <v/>
      </c>
      <c r="CM33" s="62" t="str">
        <v/>
      </c>
      <c r="CN33" s="130" t="str">
        <v/>
      </c>
    </row>
    <row r="34" spans="1:92">
      <c r="A34" s="39"/>
      <c r="B34" s="75"/>
      <c r="C34" s="41"/>
      <c r="D34" s="41"/>
      <c r="E34" s="41"/>
      <c r="F34" s="42"/>
      <c r="G34" s="61" t="str">
        <v/>
      </c>
      <c r="H34" s="61" t="str">
        <v/>
      </c>
      <c r="I34" s="42"/>
      <c r="J34" s="61" t="str">
        <v/>
      </c>
      <c r="K34" s="61" t="str">
        <v/>
      </c>
      <c r="L34" s="61" t="str">
        <v/>
      </c>
      <c r="M34" s="61" t="str">
        <v/>
      </c>
      <c r="N34" s="62" t="str">
        <v/>
      </c>
      <c r="O34" s="61" t="str">
        <v/>
      </c>
      <c r="P34" s="61" t="str">
        <v/>
      </c>
      <c r="Q34" s="61" t="str">
        <v/>
      </c>
      <c r="R34" s="61" t="str">
        <v/>
      </c>
      <c r="S34" s="61" t="str">
        <v/>
      </c>
      <c r="T34" s="45"/>
      <c r="U34" s="46"/>
      <c r="V34" s="46"/>
      <c r="W34" s="47"/>
      <c r="X34" s="46"/>
      <c r="Y34" s="46"/>
      <c r="Z34" s="46"/>
      <c r="AA34" s="46"/>
      <c r="AB34" s="47"/>
      <c r="AC34" s="62" t="str">
        <v/>
      </c>
      <c r="AD34" s="62" t="str">
        <v/>
      </c>
      <c r="AE34" s="62" t="str">
        <v/>
      </c>
      <c r="AF34" s="62" t="str">
        <v/>
      </c>
      <c r="AG34" s="63" t="str">
        <v/>
      </c>
      <c r="AH34" s="61" t="str">
        <v/>
      </c>
      <c r="AI34" s="61" t="str">
        <v/>
      </c>
      <c r="AJ34" s="64" t="str">
        <v/>
      </c>
      <c r="AK34" s="61" t="str">
        <v/>
      </c>
      <c r="AL34" s="61" t="str">
        <v/>
      </c>
      <c r="AM34" s="61" t="str">
        <v/>
      </c>
      <c r="AN34" s="61" t="str">
        <v/>
      </c>
      <c r="AO34" s="61" t="str">
        <v/>
      </c>
      <c r="AP34" s="42"/>
      <c r="AQ34" s="76"/>
      <c r="AR34" s="74"/>
      <c r="AS34" s="74" t="str">
        <v/>
      </c>
      <c r="AT34" s="72" t="str">
        <v/>
      </c>
      <c r="AU34" s="73"/>
      <c r="AV34" s="65" t="str">
        <v/>
      </c>
      <c r="AW34" s="62" t="str">
        <v/>
      </c>
      <c r="AX34" s="62" t="str">
        <v/>
      </c>
      <c r="AY34" s="66" t="str">
        <v/>
      </c>
      <c r="AZ34" s="61" t="str">
        <v/>
      </c>
      <c r="BA34" s="61" t="str">
        <v/>
      </c>
      <c r="BB34" s="61" t="str">
        <v/>
      </c>
      <c r="BC34" s="64" t="str">
        <v/>
      </c>
      <c r="BD34" s="61" t="str">
        <v/>
      </c>
      <c r="BE34" s="61" t="str">
        <v/>
      </c>
      <c r="BF34" s="61" t="str">
        <v/>
      </c>
      <c r="BG34" s="61" t="str">
        <v/>
      </c>
      <c r="BH34" s="61" t="str">
        <v/>
      </c>
      <c r="BI34" s="42"/>
      <c r="BJ34" s="67"/>
      <c r="BK34" s="60"/>
      <c r="BL34" s="60" t="str">
        <v/>
      </c>
      <c r="BM34" s="60" t="str">
        <v/>
      </c>
      <c r="BN34" s="60" t="str">
        <v/>
      </c>
      <c r="BO34" s="60" t="str">
        <v/>
      </c>
      <c r="BP34" s="60" t="str">
        <v/>
      </c>
      <c r="BQ34" s="60" t="str">
        <v/>
      </c>
      <c r="BR34" s="60" t="str">
        <v/>
      </c>
      <c r="BS34" s="60" t="str">
        <v/>
      </c>
      <c r="BT34" s="68" t="str">
        <v/>
      </c>
      <c r="BU34" s="42"/>
      <c r="BV34" s="62" t="str">
        <v/>
      </c>
      <c r="BW34" s="62" t="str">
        <v/>
      </c>
      <c r="BX34" s="62" t="str">
        <v/>
      </c>
      <c r="BY34" s="62" t="str">
        <v/>
      </c>
      <c r="BZ34" s="62" t="str">
        <v/>
      </c>
      <c r="CA34" s="62" t="str">
        <v/>
      </c>
      <c r="CB34" s="62" t="str">
        <v/>
      </c>
      <c r="CC34" s="62" t="str">
        <v/>
      </c>
      <c r="CD34" s="62" t="str">
        <v/>
      </c>
      <c r="CE34" s="122" t="str">
        <v/>
      </c>
      <c r="CF34" s="62" t="str">
        <v/>
      </c>
      <c r="CG34" s="62" t="str">
        <v/>
      </c>
      <c r="CH34" s="62" t="str">
        <v/>
      </c>
      <c r="CI34" s="62" t="str">
        <v/>
      </c>
      <c r="CJ34" s="62" t="str">
        <v/>
      </c>
      <c r="CK34" s="62" t="str">
        <v/>
      </c>
      <c r="CL34" s="62" t="str">
        <v/>
      </c>
      <c r="CM34" s="62" t="str">
        <v/>
      </c>
      <c r="CN34" s="130" t="str">
        <v/>
      </c>
    </row>
    <row r="35" spans="1:92">
      <c r="A35" s="39"/>
      <c r="B35" s="75"/>
      <c r="C35" s="41"/>
      <c r="D35" s="41"/>
      <c r="E35" s="41"/>
      <c r="F35" s="42"/>
      <c r="G35" s="61" t="str">
        <v/>
      </c>
      <c r="H35" s="61" t="str">
        <v/>
      </c>
      <c r="I35" s="42"/>
      <c r="J35" s="61" t="str">
        <v/>
      </c>
      <c r="K35" s="61" t="str">
        <v/>
      </c>
      <c r="L35" s="61" t="str">
        <v/>
      </c>
      <c r="M35" s="61" t="str">
        <v/>
      </c>
      <c r="N35" s="62" t="str">
        <v/>
      </c>
      <c r="O35" s="61" t="str">
        <v/>
      </c>
      <c r="P35" s="61" t="str">
        <v/>
      </c>
      <c r="Q35" s="61" t="str">
        <v/>
      </c>
      <c r="R35" s="61" t="str">
        <v/>
      </c>
      <c r="S35" s="61" t="str">
        <v/>
      </c>
      <c r="T35" s="45"/>
      <c r="U35" s="46"/>
      <c r="V35" s="46"/>
      <c r="W35" s="47"/>
      <c r="X35" s="46"/>
      <c r="Y35" s="46"/>
      <c r="Z35" s="46"/>
      <c r="AA35" s="46"/>
      <c r="AB35" s="47"/>
      <c r="AC35" s="62" t="str">
        <v/>
      </c>
      <c r="AD35" s="62" t="str">
        <v/>
      </c>
      <c r="AE35" s="62" t="str">
        <v/>
      </c>
      <c r="AF35" s="62" t="str">
        <v/>
      </c>
      <c r="AG35" s="63" t="str">
        <v/>
      </c>
      <c r="AH35" s="61" t="str">
        <v/>
      </c>
      <c r="AI35" s="61" t="str">
        <v/>
      </c>
      <c r="AJ35" s="64" t="str">
        <v/>
      </c>
      <c r="AK35" s="61" t="str">
        <v/>
      </c>
      <c r="AL35" s="61" t="str">
        <v/>
      </c>
      <c r="AM35" s="61" t="str">
        <v/>
      </c>
      <c r="AN35" s="61" t="str">
        <v/>
      </c>
      <c r="AO35" s="61" t="str">
        <v/>
      </c>
      <c r="AP35" s="42"/>
      <c r="AQ35" s="76"/>
      <c r="AR35" s="74"/>
      <c r="AS35" s="74" t="str">
        <v/>
      </c>
      <c r="AT35" s="72" t="str">
        <v/>
      </c>
      <c r="AU35" s="73"/>
      <c r="AV35" s="65" t="str">
        <v/>
      </c>
      <c r="AW35" s="62" t="str">
        <v/>
      </c>
      <c r="AX35" s="62" t="str">
        <v/>
      </c>
      <c r="AY35" s="66" t="str">
        <v/>
      </c>
      <c r="AZ35" s="61" t="str">
        <v/>
      </c>
      <c r="BA35" s="61" t="str">
        <v/>
      </c>
      <c r="BB35" s="61" t="str">
        <v/>
      </c>
      <c r="BC35" s="64" t="str">
        <v/>
      </c>
      <c r="BD35" s="61" t="str">
        <v/>
      </c>
      <c r="BE35" s="61" t="str">
        <v/>
      </c>
      <c r="BF35" s="61" t="str">
        <v/>
      </c>
      <c r="BG35" s="61" t="str">
        <v/>
      </c>
      <c r="BH35" s="61" t="str">
        <v/>
      </c>
      <c r="BI35" s="42"/>
      <c r="BJ35" s="67"/>
      <c r="BK35" s="60"/>
      <c r="BL35" s="60" t="str">
        <v/>
      </c>
      <c r="BM35" s="60" t="str">
        <v/>
      </c>
      <c r="BN35" s="60" t="str">
        <v/>
      </c>
      <c r="BO35" s="60" t="str">
        <v/>
      </c>
      <c r="BP35" s="60" t="str">
        <v/>
      </c>
      <c r="BQ35" s="60" t="str">
        <v/>
      </c>
      <c r="BR35" s="60" t="str">
        <v/>
      </c>
      <c r="BS35" s="60" t="str">
        <v/>
      </c>
      <c r="BT35" s="68" t="str">
        <v/>
      </c>
      <c r="BU35" s="42"/>
      <c r="BV35" s="62" t="str">
        <v/>
      </c>
      <c r="BW35" s="62" t="str">
        <v/>
      </c>
      <c r="BX35" s="62" t="str">
        <v/>
      </c>
      <c r="BY35" s="62" t="str">
        <v/>
      </c>
      <c r="BZ35" s="62" t="str">
        <v/>
      </c>
      <c r="CA35" s="62" t="str">
        <v/>
      </c>
      <c r="CB35" s="62" t="str">
        <v/>
      </c>
      <c r="CC35" s="62" t="str">
        <v/>
      </c>
      <c r="CD35" s="62" t="str">
        <v/>
      </c>
      <c r="CE35" s="122" t="str">
        <v/>
      </c>
      <c r="CF35" s="62" t="str">
        <v/>
      </c>
      <c r="CG35" s="62" t="str">
        <v/>
      </c>
      <c r="CH35" s="62" t="str">
        <v/>
      </c>
      <c r="CI35" s="62" t="str">
        <v/>
      </c>
      <c r="CJ35" s="62" t="str">
        <v/>
      </c>
      <c r="CK35" s="62" t="str">
        <v/>
      </c>
      <c r="CL35" s="62" t="str">
        <v/>
      </c>
      <c r="CM35" s="62" t="str">
        <v/>
      </c>
      <c r="CN35" s="130" t="str">
        <v/>
      </c>
    </row>
    <row r="36" spans="1:92">
      <c r="A36" s="39"/>
      <c r="B36" s="75"/>
      <c r="C36" s="41"/>
      <c r="D36" s="41"/>
      <c r="E36" s="41"/>
      <c r="F36" s="42"/>
      <c r="G36" s="61" t="str">
        <v/>
      </c>
      <c r="H36" s="61" t="str">
        <v/>
      </c>
      <c r="I36" s="42"/>
      <c r="J36" s="61" t="str">
        <v/>
      </c>
      <c r="K36" s="61" t="str">
        <v/>
      </c>
      <c r="L36" s="61" t="str">
        <v/>
      </c>
      <c r="M36" s="61" t="str">
        <v/>
      </c>
      <c r="N36" s="62" t="str">
        <v/>
      </c>
      <c r="O36" s="61" t="str">
        <v/>
      </c>
      <c r="P36" s="61" t="str">
        <v/>
      </c>
      <c r="Q36" s="61" t="str">
        <v/>
      </c>
      <c r="R36" s="61" t="str">
        <v/>
      </c>
      <c r="S36" s="61" t="str">
        <v/>
      </c>
      <c r="T36" s="45"/>
      <c r="U36" s="46"/>
      <c r="V36" s="46"/>
      <c r="W36" s="47"/>
      <c r="X36" s="46"/>
      <c r="Y36" s="46"/>
      <c r="Z36" s="46"/>
      <c r="AA36" s="46"/>
      <c r="AB36" s="47"/>
      <c r="AC36" s="62" t="str">
        <v/>
      </c>
      <c r="AD36" s="62" t="str">
        <v/>
      </c>
      <c r="AE36" s="62" t="str">
        <v/>
      </c>
      <c r="AF36" s="62" t="str">
        <v/>
      </c>
      <c r="AG36" s="63" t="str">
        <v/>
      </c>
      <c r="AH36" s="61" t="str">
        <v/>
      </c>
      <c r="AI36" s="61" t="str">
        <v/>
      </c>
      <c r="AJ36" s="64" t="str">
        <v/>
      </c>
      <c r="AK36" s="61" t="str">
        <v/>
      </c>
      <c r="AL36" s="61" t="str">
        <v/>
      </c>
      <c r="AM36" s="61" t="str">
        <v/>
      </c>
      <c r="AN36" s="61" t="str">
        <v/>
      </c>
      <c r="AO36" s="61" t="str">
        <v/>
      </c>
      <c r="AP36" s="42"/>
      <c r="AQ36" s="76"/>
      <c r="AR36" s="74"/>
      <c r="AS36" s="74" t="str">
        <v/>
      </c>
      <c r="AT36" s="72" t="str">
        <v/>
      </c>
      <c r="AU36" s="73"/>
      <c r="AV36" s="65" t="str">
        <v/>
      </c>
      <c r="AW36" s="62" t="str">
        <v/>
      </c>
      <c r="AX36" s="62" t="str">
        <v/>
      </c>
      <c r="AY36" s="66" t="str">
        <v/>
      </c>
      <c r="AZ36" s="61" t="str">
        <v/>
      </c>
      <c r="BA36" s="61" t="str">
        <v/>
      </c>
      <c r="BB36" s="61" t="str">
        <v/>
      </c>
      <c r="BC36" s="64" t="str">
        <v/>
      </c>
      <c r="BD36" s="61" t="str">
        <v/>
      </c>
      <c r="BE36" s="61" t="str">
        <v/>
      </c>
      <c r="BF36" s="61" t="str">
        <v/>
      </c>
      <c r="BG36" s="61" t="str">
        <v/>
      </c>
      <c r="BH36" s="61" t="str">
        <v/>
      </c>
      <c r="BI36" s="42"/>
      <c r="BJ36" s="67"/>
      <c r="BK36" s="60"/>
      <c r="BL36" s="60" t="str">
        <v/>
      </c>
      <c r="BM36" s="60" t="str">
        <v/>
      </c>
      <c r="BN36" s="60" t="str">
        <v/>
      </c>
      <c r="BO36" s="60" t="str">
        <v/>
      </c>
      <c r="BP36" s="60" t="str">
        <v/>
      </c>
      <c r="BQ36" s="60" t="str">
        <v/>
      </c>
      <c r="BR36" s="60" t="str">
        <v/>
      </c>
      <c r="BS36" s="60" t="str">
        <v/>
      </c>
      <c r="BT36" s="68" t="str">
        <v/>
      </c>
      <c r="BU36" s="42"/>
      <c r="BV36" s="62" t="str">
        <v/>
      </c>
      <c r="BW36" s="62" t="str">
        <v/>
      </c>
      <c r="BX36" s="62" t="str">
        <v/>
      </c>
      <c r="BY36" s="62" t="str">
        <v/>
      </c>
      <c r="BZ36" s="62" t="str">
        <v/>
      </c>
      <c r="CA36" s="62" t="str">
        <v/>
      </c>
      <c r="CB36" s="62" t="str">
        <v/>
      </c>
      <c r="CC36" s="62" t="str">
        <v/>
      </c>
      <c r="CD36" s="62" t="str">
        <v/>
      </c>
      <c r="CE36" s="122" t="str">
        <v/>
      </c>
      <c r="CF36" s="62" t="str">
        <v/>
      </c>
      <c r="CG36" s="62" t="str">
        <v/>
      </c>
      <c r="CH36" s="62" t="str">
        <v/>
      </c>
      <c r="CI36" s="62" t="str">
        <v/>
      </c>
      <c r="CJ36" s="62" t="str">
        <v/>
      </c>
      <c r="CK36" s="62" t="str">
        <v/>
      </c>
      <c r="CL36" s="62" t="str">
        <v/>
      </c>
      <c r="CM36" s="62" t="str">
        <v/>
      </c>
      <c r="CN36" s="130" t="str">
        <v/>
      </c>
    </row>
    <row r="37" spans="1:92">
      <c r="A37" s="39"/>
      <c r="B37" s="75"/>
      <c r="C37" s="41"/>
      <c r="D37" s="41"/>
      <c r="E37" s="41"/>
      <c r="F37" s="42"/>
      <c r="G37" s="61" t="str">
        <v/>
      </c>
      <c r="H37" s="61" t="str">
        <v/>
      </c>
      <c r="I37" s="42"/>
      <c r="J37" s="61" t="str">
        <v/>
      </c>
      <c r="K37" s="61" t="str">
        <v/>
      </c>
      <c r="L37" s="61" t="str">
        <v/>
      </c>
      <c r="M37" s="61" t="str">
        <v/>
      </c>
      <c r="N37" s="62" t="str">
        <v/>
      </c>
      <c r="O37" s="61" t="str">
        <v/>
      </c>
      <c r="P37" s="61" t="str">
        <v/>
      </c>
      <c r="Q37" s="61" t="str">
        <v/>
      </c>
      <c r="R37" s="61" t="str">
        <v/>
      </c>
      <c r="S37" s="61" t="str">
        <v/>
      </c>
      <c r="T37" s="45"/>
      <c r="U37" s="46"/>
      <c r="V37" s="46"/>
      <c r="W37" s="47"/>
      <c r="X37" s="46"/>
      <c r="Y37" s="46"/>
      <c r="Z37" s="46"/>
      <c r="AA37" s="46"/>
      <c r="AB37" s="47"/>
      <c r="AC37" s="62" t="str">
        <v/>
      </c>
      <c r="AD37" s="62" t="str">
        <v/>
      </c>
      <c r="AE37" s="62" t="str">
        <v/>
      </c>
      <c r="AF37" s="62" t="str">
        <v/>
      </c>
      <c r="AG37" s="63" t="str">
        <v/>
      </c>
      <c r="AH37" s="61" t="str">
        <v/>
      </c>
      <c r="AI37" s="61" t="str">
        <v/>
      </c>
      <c r="AJ37" s="64" t="str">
        <v/>
      </c>
      <c r="AK37" s="61" t="str">
        <v/>
      </c>
      <c r="AL37" s="61" t="str">
        <v/>
      </c>
      <c r="AM37" s="61" t="str">
        <v/>
      </c>
      <c r="AN37" s="61" t="str">
        <v/>
      </c>
      <c r="AO37" s="61" t="str">
        <v/>
      </c>
      <c r="AP37" s="42"/>
      <c r="AQ37" s="76"/>
      <c r="AR37" s="74"/>
      <c r="AS37" s="74" t="str">
        <v/>
      </c>
      <c r="AT37" s="72" t="str">
        <v/>
      </c>
      <c r="AU37" s="73"/>
      <c r="AV37" s="65" t="str">
        <v/>
      </c>
      <c r="AW37" s="62" t="str">
        <v/>
      </c>
      <c r="AX37" s="62" t="str">
        <v/>
      </c>
      <c r="AY37" s="66" t="str">
        <v/>
      </c>
      <c r="AZ37" s="61" t="str">
        <v/>
      </c>
      <c r="BA37" s="61" t="str">
        <v/>
      </c>
      <c r="BB37" s="61" t="str">
        <v/>
      </c>
      <c r="BC37" s="64" t="str">
        <v/>
      </c>
      <c r="BD37" s="61" t="str">
        <v/>
      </c>
      <c r="BE37" s="61" t="str">
        <v/>
      </c>
      <c r="BF37" s="61" t="str">
        <v/>
      </c>
      <c r="BG37" s="61" t="str">
        <v/>
      </c>
      <c r="BH37" s="61" t="str">
        <v/>
      </c>
      <c r="BI37" s="42"/>
      <c r="BJ37" s="67"/>
      <c r="BK37" s="60"/>
      <c r="BL37" s="60" t="str">
        <v/>
      </c>
      <c r="BM37" s="60" t="str">
        <v/>
      </c>
      <c r="BN37" s="60" t="str">
        <v/>
      </c>
      <c r="BO37" s="60" t="str">
        <v/>
      </c>
      <c r="BP37" s="60" t="str">
        <v/>
      </c>
      <c r="BQ37" s="60" t="str">
        <v/>
      </c>
      <c r="BR37" s="60" t="str">
        <v/>
      </c>
      <c r="BS37" s="60" t="str">
        <v/>
      </c>
      <c r="BT37" s="68" t="str">
        <v/>
      </c>
      <c r="BU37" s="42"/>
      <c r="BV37" s="62" t="str">
        <v/>
      </c>
      <c r="BW37" s="62" t="str">
        <v/>
      </c>
      <c r="BX37" s="62" t="str">
        <v/>
      </c>
      <c r="BY37" s="62" t="str">
        <v/>
      </c>
      <c r="BZ37" s="62" t="str">
        <v/>
      </c>
      <c r="CA37" s="62" t="str">
        <v/>
      </c>
      <c r="CB37" s="62" t="str">
        <v/>
      </c>
      <c r="CC37" s="62" t="str">
        <v/>
      </c>
      <c r="CD37" s="62" t="str">
        <v/>
      </c>
      <c r="CE37" s="122" t="str">
        <v/>
      </c>
      <c r="CF37" s="62" t="str">
        <v/>
      </c>
      <c r="CG37" s="62" t="str">
        <v/>
      </c>
      <c r="CH37" s="62" t="str">
        <v/>
      </c>
      <c r="CI37" s="62" t="str">
        <v/>
      </c>
      <c r="CJ37" s="62" t="str">
        <v/>
      </c>
      <c r="CK37" s="62" t="str">
        <v/>
      </c>
      <c r="CL37" s="62" t="str">
        <v/>
      </c>
      <c r="CM37" s="62" t="str">
        <v/>
      </c>
      <c r="CN37" s="130" t="str">
        <v/>
      </c>
    </row>
    <row r="38" spans="1:92">
      <c r="A38" s="39"/>
      <c r="B38" s="75"/>
      <c r="C38" s="41"/>
      <c r="D38" s="41"/>
      <c r="E38" s="41"/>
      <c r="F38" s="42"/>
      <c r="G38" s="61" t="str">
        <v/>
      </c>
      <c r="H38" s="61" t="str">
        <v/>
      </c>
      <c r="I38" s="42"/>
      <c r="J38" s="61" t="str">
        <v/>
      </c>
      <c r="K38" s="61" t="str">
        <v/>
      </c>
      <c r="L38" s="61" t="str">
        <v/>
      </c>
      <c r="M38" s="61" t="str">
        <v/>
      </c>
      <c r="N38" s="62" t="str">
        <v/>
      </c>
      <c r="O38" s="61" t="str">
        <v/>
      </c>
      <c r="P38" s="61" t="str">
        <v/>
      </c>
      <c r="Q38" s="61" t="str">
        <v/>
      </c>
      <c r="R38" s="61" t="str">
        <v/>
      </c>
      <c r="S38" s="61" t="str">
        <v/>
      </c>
      <c r="T38" s="45"/>
      <c r="U38" s="46"/>
      <c r="V38" s="46"/>
      <c r="W38" s="47"/>
      <c r="X38" s="46"/>
      <c r="Y38" s="46"/>
      <c r="Z38" s="46"/>
      <c r="AA38" s="46"/>
      <c r="AB38" s="47"/>
      <c r="AC38" s="62" t="str">
        <v/>
      </c>
      <c r="AD38" s="62" t="str">
        <v/>
      </c>
      <c r="AE38" s="62" t="str">
        <v/>
      </c>
      <c r="AF38" s="62" t="str">
        <v/>
      </c>
      <c r="AG38" s="63" t="str">
        <v/>
      </c>
      <c r="AH38" s="61" t="str">
        <v/>
      </c>
      <c r="AI38" s="61" t="str">
        <v/>
      </c>
      <c r="AJ38" s="64" t="str">
        <v/>
      </c>
      <c r="AK38" s="61" t="str">
        <v/>
      </c>
      <c r="AL38" s="61" t="str">
        <v/>
      </c>
      <c r="AM38" s="61" t="str">
        <v/>
      </c>
      <c r="AN38" s="61" t="str">
        <v/>
      </c>
      <c r="AO38" s="61" t="str">
        <v/>
      </c>
      <c r="AP38" s="42"/>
      <c r="AQ38" s="76"/>
      <c r="AR38" s="74"/>
      <c r="AS38" s="74" t="str">
        <v/>
      </c>
      <c r="AT38" s="72" t="str">
        <v/>
      </c>
      <c r="AU38" s="73"/>
      <c r="AV38" s="65" t="str">
        <v/>
      </c>
      <c r="AW38" s="62" t="str">
        <v/>
      </c>
      <c r="AX38" s="62" t="str">
        <v/>
      </c>
      <c r="AY38" s="66" t="str">
        <v/>
      </c>
      <c r="AZ38" s="61" t="str">
        <v/>
      </c>
      <c r="BA38" s="61" t="str">
        <v/>
      </c>
      <c r="BB38" s="61" t="str">
        <v/>
      </c>
      <c r="BC38" s="64" t="str">
        <v/>
      </c>
      <c r="BD38" s="61" t="str">
        <v/>
      </c>
      <c r="BE38" s="61" t="str">
        <v/>
      </c>
      <c r="BF38" s="61" t="str">
        <v/>
      </c>
      <c r="BG38" s="61" t="str">
        <v/>
      </c>
      <c r="BH38" s="61" t="str">
        <v/>
      </c>
      <c r="BI38" s="42"/>
      <c r="BJ38" s="67"/>
      <c r="BK38" s="60"/>
      <c r="BL38" s="60" t="str">
        <v/>
      </c>
      <c r="BM38" s="60" t="str">
        <v/>
      </c>
      <c r="BN38" s="60" t="str">
        <v/>
      </c>
      <c r="BO38" s="60" t="str">
        <v/>
      </c>
      <c r="BP38" s="60" t="str">
        <v/>
      </c>
      <c r="BQ38" s="60" t="str">
        <v/>
      </c>
      <c r="BR38" s="60" t="str">
        <v/>
      </c>
      <c r="BS38" s="60" t="str">
        <v/>
      </c>
      <c r="BT38" s="68" t="str">
        <v/>
      </c>
      <c r="BU38" s="42"/>
      <c r="BV38" s="62" t="str">
        <v/>
      </c>
      <c r="BW38" s="62" t="str">
        <v/>
      </c>
      <c r="BX38" s="62" t="str">
        <v/>
      </c>
      <c r="BY38" s="62" t="str">
        <v/>
      </c>
      <c r="BZ38" s="62" t="str">
        <v/>
      </c>
      <c r="CA38" s="62" t="str">
        <v/>
      </c>
      <c r="CB38" s="62" t="str">
        <v/>
      </c>
      <c r="CC38" s="62" t="str">
        <v/>
      </c>
      <c r="CD38" s="62" t="str">
        <v/>
      </c>
      <c r="CE38" s="122" t="str">
        <v/>
      </c>
      <c r="CF38" s="62" t="str">
        <v/>
      </c>
      <c r="CG38" s="62" t="str">
        <v/>
      </c>
      <c r="CH38" s="62" t="str">
        <v/>
      </c>
      <c r="CI38" s="62" t="str">
        <v/>
      </c>
      <c r="CJ38" s="62" t="str">
        <v/>
      </c>
      <c r="CK38" s="62" t="str">
        <v/>
      </c>
      <c r="CL38" s="62" t="str">
        <v/>
      </c>
      <c r="CM38" s="62" t="str">
        <v/>
      </c>
      <c r="CN38" s="130" t="str">
        <v/>
      </c>
    </row>
    <row r="39" spans="1:92">
      <c r="A39" s="39"/>
      <c r="B39" s="75"/>
      <c r="C39" s="41"/>
      <c r="D39" s="41"/>
      <c r="E39" s="41"/>
      <c r="F39" s="42"/>
      <c r="G39" s="61" t="str">
        <v/>
      </c>
      <c r="H39" s="61" t="str">
        <v/>
      </c>
      <c r="I39" s="42"/>
      <c r="J39" s="61" t="str">
        <v/>
      </c>
      <c r="K39" s="61" t="str">
        <v/>
      </c>
      <c r="L39" s="61" t="str">
        <v/>
      </c>
      <c r="M39" s="61" t="str">
        <v/>
      </c>
      <c r="N39" s="62" t="str">
        <v/>
      </c>
      <c r="O39" s="61" t="str">
        <v/>
      </c>
      <c r="P39" s="61" t="str">
        <v/>
      </c>
      <c r="Q39" s="61" t="str">
        <v/>
      </c>
      <c r="R39" s="61" t="str">
        <v/>
      </c>
      <c r="S39" s="61" t="str">
        <v/>
      </c>
      <c r="T39" s="45"/>
      <c r="U39" s="46"/>
      <c r="V39" s="46"/>
      <c r="W39" s="47"/>
      <c r="X39" s="46"/>
      <c r="Y39" s="46"/>
      <c r="Z39" s="46"/>
      <c r="AA39" s="46"/>
      <c r="AB39" s="47"/>
      <c r="AC39" s="62" t="str">
        <v/>
      </c>
      <c r="AD39" s="62" t="str">
        <v/>
      </c>
      <c r="AE39" s="62" t="str">
        <v/>
      </c>
      <c r="AF39" s="62" t="str">
        <v/>
      </c>
      <c r="AG39" s="63" t="str">
        <v/>
      </c>
      <c r="AH39" s="61" t="str">
        <v/>
      </c>
      <c r="AI39" s="61" t="str">
        <v/>
      </c>
      <c r="AJ39" s="64" t="str">
        <v/>
      </c>
      <c r="AK39" s="61" t="str">
        <v/>
      </c>
      <c r="AL39" s="61" t="str">
        <v/>
      </c>
      <c r="AM39" s="61" t="str">
        <v/>
      </c>
      <c r="AN39" s="61" t="str">
        <v/>
      </c>
      <c r="AO39" s="61" t="str">
        <v/>
      </c>
      <c r="AP39" s="42"/>
      <c r="AQ39" s="76"/>
      <c r="AR39" s="74"/>
      <c r="AS39" s="74" t="str">
        <v/>
      </c>
      <c r="AT39" s="72" t="str">
        <v/>
      </c>
      <c r="AU39" s="73"/>
      <c r="AV39" s="65" t="str">
        <v/>
      </c>
      <c r="AW39" s="62" t="str">
        <v/>
      </c>
      <c r="AX39" s="62" t="str">
        <v/>
      </c>
      <c r="AY39" s="66" t="str">
        <v/>
      </c>
      <c r="AZ39" s="61" t="str">
        <v/>
      </c>
      <c r="BA39" s="61" t="str">
        <v/>
      </c>
      <c r="BB39" s="61" t="str">
        <v/>
      </c>
      <c r="BC39" s="64" t="str">
        <v/>
      </c>
      <c r="BD39" s="61" t="str">
        <v/>
      </c>
      <c r="BE39" s="61" t="str">
        <v/>
      </c>
      <c r="BF39" s="61" t="str">
        <v/>
      </c>
      <c r="BG39" s="61" t="str">
        <v/>
      </c>
      <c r="BH39" s="61" t="str">
        <v/>
      </c>
      <c r="BI39" s="42"/>
      <c r="BJ39" s="67"/>
      <c r="BK39" s="60"/>
      <c r="BL39" s="60" t="str">
        <v/>
      </c>
      <c r="BM39" s="60" t="str">
        <v/>
      </c>
      <c r="BN39" s="60" t="str">
        <v/>
      </c>
      <c r="BO39" s="60" t="str">
        <v/>
      </c>
      <c r="BP39" s="60" t="str">
        <v/>
      </c>
      <c r="BQ39" s="60" t="str">
        <v/>
      </c>
      <c r="BR39" s="60" t="str">
        <v/>
      </c>
      <c r="BS39" s="60" t="str">
        <v/>
      </c>
      <c r="BT39" s="68" t="str">
        <v/>
      </c>
      <c r="BU39" s="42"/>
      <c r="BV39" s="62" t="str">
        <v/>
      </c>
      <c r="BW39" s="62" t="str">
        <v/>
      </c>
      <c r="BX39" s="62" t="str">
        <v/>
      </c>
      <c r="BY39" s="62" t="str">
        <v/>
      </c>
      <c r="BZ39" s="62" t="str">
        <v/>
      </c>
      <c r="CA39" s="62" t="str">
        <v/>
      </c>
      <c r="CB39" s="62" t="str">
        <v/>
      </c>
      <c r="CC39" s="62" t="str">
        <v/>
      </c>
      <c r="CD39" s="62" t="str">
        <v/>
      </c>
      <c r="CE39" s="122" t="str">
        <v/>
      </c>
      <c r="CF39" s="62" t="str">
        <v/>
      </c>
      <c r="CG39" s="62" t="str">
        <v/>
      </c>
      <c r="CH39" s="62" t="str">
        <v/>
      </c>
      <c r="CI39" s="62" t="str">
        <v/>
      </c>
      <c r="CJ39" s="62" t="str">
        <v/>
      </c>
      <c r="CK39" s="62" t="str">
        <v/>
      </c>
      <c r="CL39" s="62" t="str">
        <v/>
      </c>
      <c r="CM39" s="62" t="str">
        <v/>
      </c>
      <c r="CN39" s="130" t="str">
        <v/>
      </c>
    </row>
    <row r="40" spans="1:92">
      <c r="A40" s="39"/>
      <c r="B40" s="75"/>
      <c r="C40" s="41"/>
      <c r="D40" s="41"/>
      <c r="E40" s="41"/>
      <c r="F40" s="42"/>
      <c r="G40" s="61" t="str">
        <v/>
      </c>
      <c r="H40" s="61" t="str">
        <v/>
      </c>
      <c r="I40" s="42"/>
      <c r="J40" s="61" t="str">
        <v/>
      </c>
      <c r="K40" s="61" t="str">
        <v/>
      </c>
      <c r="L40" s="61" t="str">
        <v/>
      </c>
      <c r="M40" s="61" t="str">
        <v/>
      </c>
      <c r="N40" s="62" t="str">
        <v/>
      </c>
      <c r="O40" s="61" t="str">
        <v/>
      </c>
      <c r="P40" s="61" t="str">
        <v/>
      </c>
      <c r="Q40" s="61" t="str">
        <v/>
      </c>
      <c r="R40" s="61" t="str">
        <v/>
      </c>
      <c r="S40" s="61" t="str">
        <v/>
      </c>
      <c r="T40" s="45"/>
      <c r="U40" s="46"/>
      <c r="V40" s="46"/>
      <c r="W40" s="47"/>
      <c r="X40" s="46"/>
      <c r="Y40" s="46"/>
      <c r="Z40" s="46"/>
      <c r="AA40" s="46"/>
      <c r="AB40" s="47"/>
      <c r="AC40" s="62" t="str">
        <v/>
      </c>
      <c r="AD40" s="62" t="str">
        <v/>
      </c>
      <c r="AE40" s="62" t="str">
        <v/>
      </c>
      <c r="AF40" s="62" t="str">
        <v/>
      </c>
      <c r="AG40" s="63" t="str">
        <v/>
      </c>
      <c r="AH40" s="61" t="str">
        <v/>
      </c>
      <c r="AI40" s="61" t="str">
        <v/>
      </c>
      <c r="AJ40" s="64" t="str">
        <v/>
      </c>
      <c r="AK40" s="61" t="str">
        <v/>
      </c>
      <c r="AL40" s="61" t="str">
        <v/>
      </c>
      <c r="AM40" s="61" t="str">
        <v/>
      </c>
      <c r="AN40" s="61" t="str">
        <v/>
      </c>
      <c r="AO40" s="61" t="str">
        <v/>
      </c>
      <c r="AP40" s="42"/>
      <c r="AQ40" s="76"/>
      <c r="AR40" s="74"/>
      <c r="AS40" s="74" t="str">
        <v/>
      </c>
      <c r="AT40" s="72" t="str">
        <v/>
      </c>
      <c r="AU40" s="73"/>
      <c r="AV40" s="65" t="str">
        <v/>
      </c>
      <c r="AW40" s="62" t="str">
        <v/>
      </c>
      <c r="AX40" s="62" t="str">
        <v/>
      </c>
      <c r="AY40" s="66" t="str">
        <v/>
      </c>
      <c r="AZ40" s="61" t="str">
        <v/>
      </c>
      <c r="BA40" s="61" t="str">
        <v/>
      </c>
      <c r="BB40" s="61" t="str">
        <v/>
      </c>
      <c r="BC40" s="64" t="str">
        <v/>
      </c>
      <c r="BD40" s="61" t="str">
        <v/>
      </c>
      <c r="BE40" s="61" t="str">
        <v/>
      </c>
      <c r="BF40" s="61" t="str">
        <v/>
      </c>
      <c r="BG40" s="61" t="str">
        <v/>
      </c>
      <c r="BH40" s="61" t="str">
        <v/>
      </c>
      <c r="BI40" s="42"/>
      <c r="BJ40" s="67"/>
      <c r="BK40" s="60"/>
      <c r="BL40" s="60" t="str">
        <v/>
      </c>
      <c r="BM40" s="60" t="str">
        <v/>
      </c>
      <c r="BN40" s="60" t="str">
        <v/>
      </c>
      <c r="BO40" s="60" t="str">
        <v/>
      </c>
      <c r="BP40" s="60" t="str">
        <v/>
      </c>
      <c r="BQ40" s="60" t="str">
        <v/>
      </c>
      <c r="BR40" s="60" t="str">
        <v/>
      </c>
      <c r="BS40" s="60" t="str">
        <v/>
      </c>
      <c r="BT40" s="68" t="str">
        <v/>
      </c>
      <c r="BU40" s="42"/>
      <c r="BV40" s="62" t="str">
        <v/>
      </c>
      <c r="BW40" s="62" t="str">
        <v/>
      </c>
      <c r="BX40" s="62" t="str">
        <v/>
      </c>
      <c r="BY40" s="62" t="str">
        <v/>
      </c>
      <c r="BZ40" s="62" t="str">
        <v/>
      </c>
      <c r="CA40" s="62" t="str">
        <v/>
      </c>
      <c r="CB40" s="62" t="str">
        <v/>
      </c>
      <c r="CC40" s="62" t="str">
        <v/>
      </c>
      <c r="CD40" s="62" t="str">
        <v/>
      </c>
      <c r="CE40" s="122" t="str">
        <v/>
      </c>
      <c r="CF40" s="62" t="str">
        <v/>
      </c>
      <c r="CG40" s="62" t="str">
        <v/>
      </c>
      <c r="CH40" s="62" t="str">
        <v/>
      </c>
      <c r="CI40" s="62" t="str">
        <v/>
      </c>
      <c r="CJ40" s="62" t="str">
        <v/>
      </c>
      <c r="CK40" s="62" t="str">
        <v/>
      </c>
      <c r="CL40" s="62" t="str">
        <v/>
      </c>
      <c r="CM40" s="62" t="str">
        <v/>
      </c>
      <c r="CN40" s="130" t="str">
        <v/>
      </c>
    </row>
    <row r="41" spans="1:92">
      <c r="A41" s="39"/>
      <c r="B41" s="75"/>
      <c r="C41" s="41"/>
      <c r="D41" s="41"/>
      <c r="E41" s="41"/>
      <c r="F41" s="42"/>
      <c r="G41" s="61" t="str">
        <v/>
      </c>
      <c r="H41" s="61" t="str">
        <v/>
      </c>
      <c r="I41" s="42"/>
      <c r="J41" s="61" t="str">
        <v/>
      </c>
      <c r="K41" s="61" t="str">
        <v/>
      </c>
      <c r="L41" s="61" t="str">
        <v/>
      </c>
      <c r="M41" s="61" t="str">
        <v/>
      </c>
      <c r="N41" s="62" t="str">
        <v/>
      </c>
      <c r="O41" s="61" t="str">
        <v/>
      </c>
      <c r="P41" s="61" t="str">
        <v/>
      </c>
      <c r="Q41" s="61" t="str">
        <v/>
      </c>
      <c r="R41" s="61" t="str">
        <v/>
      </c>
      <c r="S41" s="61" t="str">
        <v/>
      </c>
      <c r="T41" s="45"/>
      <c r="U41" s="46"/>
      <c r="V41" s="46"/>
      <c r="W41" s="47"/>
      <c r="X41" s="46"/>
      <c r="Y41" s="46"/>
      <c r="Z41" s="46"/>
      <c r="AA41" s="46"/>
      <c r="AB41" s="47"/>
      <c r="AC41" s="62" t="str">
        <v/>
      </c>
      <c r="AD41" s="62" t="str">
        <v/>
      </c>
      <c r="AE41" s="62" t="str">
        <v/>
      </c>
      <c r="AF41" s="62" t="str">
        <v/>
      </c>
      <c r="AG41" s="63" t="str">
        <v/>
      </c>
      <c r="AH41" s="61" t="str">
        <v/>
      </c>
      <c r="AI41" s="61" t="str">
        <v/>
      </c>
      <c r="AJ41" s="64" t="str">
        <v/>
      </c>
      <c r="AK41" s="61" t="str">
        <v/>
      </c>
      <c r="AL41" s="61" t="str">
        <v/>
      </c>
      <c r="AM41" s="61" t="str">
        <v/>
      </c>
      <c r="AN41" s="61" t="str">
        <v/>
      </c>
      <c r="AO41" s="61" t="str">
        <v/>
      </c>
      <c r="AP41" s="42"/>
      <c r="AQ41" s="76"/>
      <c r="AR41" s="74"/>
      <c r="AS41" s="74" t="str">
        <v/>
      </c>
      <c r="AT41" s="72" t="str">
        <v/>
      </c>
      <c r="AU41" s="73"/>
      <c r="AV41" s="65" t="str">
        <v/>
      </c>
      <c r="AW41" s="62" t="str">
        <v/>
      </c>
      <c r="AX41" s="62" t="str">
        <v/>
      </c>
      <c r="AY41" s="66" t="str">
        <v/>
      </c>
      <c r="AZ41" s="61" t="str">
        <v/>
      </c>
      <c r="BA41" s="61" t="str">
        <v/>
      </c>
      <c r="BB41" s="61" t="str">
        <v/>
      </c>
      <c r="BC41" s="64" t="str">
        <v/>
      </c>
      <c r="BD41" s="61" t="str">
        <v/>
      </c>
      <c r="BE41" s="61" t="str">
        <v/>
      </c>
      <c r="BF41" s="61" t="str">
        <v/>
      </c>
      <c r="BG41" s="61" t="str">
        <v/>
      </c>
      <c r="BH41" s="61" t="str">
        <v/>
      </c>
      <c r="BI41" s="42"/>
      <c r="BJ41" s="67"/>
      <c r="BK41" s="60"/>
      <c r="BL41" s="60" t="str">
        <v/>
      </c>
      <c r="BM41" s="60" t="str">
        <v/>
      </c>
      <c r="BN41" s="60" t="str">
        <v/>
      </c>
      <c r="BO41" s="60" t="str">
        <v/>
      </c>
      <c r="BP41" s="60" t="str">
        <v/>
      </c>
      <c r="BQ41" s="60" t="str">
        <v/>
      </c>
      <c r="BR41" s="60" t="str">
        <v/>
      </c>
      <c r="BS41" s="60" t="str">
        <v/>
      </c>
      <c r="BT41" s="68" t="str">
        <v/>
      </c>
      <c r="BU41" s="42"/>
      <c r="BV41" s="62" t="str">
        <v/>
      </c>
      <c r="BW41" s="62" t="str">
        <v/>
      </c>
      <c r="BX41" s="62" t="str">
        <v/>
      </c>
      <c r="BY41" s="62" t="str">
        <v/>
      </c>
      <c r="BZ41" s="62" t="str">
        <v/>
      </c>
      <c r="CA41" s="62" t="str">
        <v/>
      </c>
      <c r="CB41" s="62" t="str">
        <v/>
      </c>
      <c r="CC41" s="62" t="str">
        <v/>
      </c>
      <c r="CD41" s="62" t="str">
        <v/>
      </c>
      <c r="CE41" s="122" t="str">
        <v/>
      </c>
      <c r="CF41" s="62" t="str">
        <v/>
      </c>
      <c r="CG41" s="62" t="str">
        <v/>
      </c>
      <c r="CH41" s="62" t="str">
        <v/>
      </c>
      <c r="CI41" s="62" t="str">
        <v/>
      </c>
      <c r="CJ41" s="62" t="str">
        <v/>
      </c>
      <c r="CK41" s="62" t="str">
        <v/>
      </c>
      <c r="CL41" s="62" t="str">
        <v/>
      </c>
      <c r="CM41" s="62" t="str">
        <v/>
      </c>
      <c r="CN41" s="130" t="str">
        <v/>
      </c>
    </row>
    <row r="42" spans="1:92">
      <c r="A42" s="39"/>
      <c r="B42" s="75"/>
      <c r="C42" s="41"/>
      <c r="D42" s="41"/>
      <c r="E42" s="41"/>
      <c r="F42" s="42"/>
      <c r="G42" s="61" t="str">
        <v/>
      </c>
      <c r="H42" s="61" t="str">
        <v/>
      </c>
      <c r="I42" s="42"/>
      <c r="J42" s="61" t="str">
        <v/>
      </c>
      <c r="K42" s="61" t="str">
        <v/>
      </c>
      <c r="L42" s="61" t="str">
        <v/>
      </c>
      <c r="M42" s="61" t="str">
        <v/>
      </c>
      <c r="N42" s="62" t="str">
        <v/>
      </c>
      <c r="O42" s="61" t="str">
        <v/>
      </c>
      <c r="P42" s="61" t="str">
        <v/>
      </c>
      <c r="Q42" s="61" t="str">
        <v/>
      </c>
      <c r="R42" s="61" t="str">
        <v/>
      </c>
      <c r="S42" s="61" t="str">
        <v/>
      </c>
      <c r="T42" s="45"/>
      <c r="U42" s="46"/>
      <c r="V42" s="46"/>
      <c r="W42" s="47"/>
      <c r="X42" s="46"/>
      <c r="Y42" s="46"/>
      <c r="Z42" s="46"/>
      <c r="AA42" s="46"/>
      <c r="AB42" s="47"/>
      <c r="AC42" s="62" t="str">
        <v/>
      </c>
      <c r="AD42" s="62" t="str">
        <v/>
      </c>
      <c r="AE42" s="62" t="str">
        <v/>
      </c>
      <c r="AF42" s="62" t="str">
        <v/>
      </c>
      <c r="AG42" s="63" t="str">
        <v/>
      </c>
      <c r="AH42" s="61" t="str">
        <v/>
      </c>
      <c r="AI42" s="61" t="str">
        <v/>
      </c>
      <c r="AJ42" s="64" t="str">
        <v/>
      </c>
      <c r="AK42" s="61" t="str">
        <v/>
      </c>
      <c r="AL42" s="61" t="str">
        <v/>
      </c>
      <c r="AM42" s="61" t="str">
        <v/>
      </c>
      <c r="AN42" s="61" t="str">
        <v/>
      </c>
      <c r="AO42" s="61" t="str">
        <v/>
      </c>
      <c r="AP42" s="42"/>
      <c r="AQ42" s="76"/>
      <c r="AR42" s="74"/>
      <c r="AS42" s="74" t="str">
        <v/>
      </c>
      <c r="AT42" s="72" t="str">
        <v/>
      </c>
      <c r="AU42" s="73"/>
      <c r="AV42" s="65" t="str">
        <v/>
      </c>
      <c r="AW42" s="62" t="str">
        <v/>
      </c>
      <c r="AX42" s="62" t="str">
        <v/>
      </c>
      <c r="AY42" s="66" t="str">
        <v/>
      </c>
      <c r="AZ42" s="61" t="str">
        <v/>
      </c>
      <c r="BA42" s="61" t="str">
        <v/>
      </c>
      <c r="BB42" s="61" t="str">
        <v/>
      </c>
      <c r="BC42" s="64" t="str">
        <v/>
      </c>
      <c r="BD42" s="61" t="str">
        <v/>
      </c>
      <c r="BE42" s="61" t="str">
        <v/>
      </c>
      <c r="BF42" s="61" t="str">
        <v/>
      </c>
      <c r="BG42" s="61" t="str">
        <v/>
      </c>
      <c r="BH42" s="61" t="str">
        <v/>
      </c>
      <c r="BI42" s="42"/>
      <c r="BJ42" s="67"/>
      <c r="BK42" s="60"/>
      <c r="BL42" s="60" t="str">
        <v/>
      </c>
      <c r="BM42" s="60" t="str">
        <v/>
      </c>
      <c r="BN42" s="60" t="str">
        <v/>
      </c>
      <c r="BO42" s="60" t="str">
        <v/>
      </c>
      <c r="BP42" s="60" t="str">
        <v/>
      </c>
      <c r="BQ42" s="60" t="str">
        <v/>
      </c>
      <c r="BR42" s="60" t="str">
        <v/>
      </c>
      <c r="BS42" s="60" t="str">
        <v/>
      </c>
      <c r="BT42" s="68" t="str">
        <v/>
      </c>
      <c r="BU42" s="42"/>
      <c r="BV42" s="62" t="str">
        <v/>
      </c>
      <c r="BW42" s="62" t="str">
        <v/>
      </c>
      <c r="BX42" s="62" t="str">
        <v/>
      </c>
      <c r="BY42" s="62" t="str">
        <v/>
      </c>
      <c r="BZ42" s="62" t="str">
        <v/>
      </c>
      <c r="CA42" s="62" t="str">
        <v/>
      </c>
      <c r="CB42" s="62" t="str">
        <v/>
      </c>
      <c r="CC42" s="62" t="str">
        <v/>
      </c>
      <c r="CD42" s="62" t="str">
        <v/>
      </c>
      <c r="CE42" s="122" t="str">
        <v/>
      </c>
      <c r="CF42" s="62" t="str">
        <v/>
      </c>
      <c r="CG42" s="62" t="str">
        <v/>
      </c>
      <c r="CH42" s="62" t="str">
        <v/>
      </c>
      <c r="CI42" s="62" t="str">
        <v/>
      </c>
      <c r="CJ42" s="62" t="str">
        <v/>
      </c>
      <c r="CK42" s="62" t="str">
        <v/>
      </c>
      <c r="CL42" s="62" t="str">
        <v/>
      </c>
      <c r="CM42" s="62" t="str">
        <v/>
      </c>
      <c r="CN42" s="130" t="str">
        <v/>
      </c>
    </row>
    <row r="43" spans="1:92">
      <c r="A43" s="39"/>
      <c r="B43" s="75"/>
      <c r="C43" s="41"/>
      <c r="D43" s="41"/>
      <c r="E43" s="41"/>
      <c r="F43" s="42"/>
      <c r="G43" s="61" t="str">
        <v/>
      </c>
      <c r="H43" s="61" t="str">
        <v/>
      </c>
      <c r="I43" s="42"/>
      <c r="J43" s="61" t="str">
        <v/>
      </c>
      <c r="K43" s="61" t="str">
        <v/>
      </c>
      <c r="L43" s="61" t="str">
        <v/>
      </c>
      <c r="M43" s="61" t="str">
        <v/>
      </c>
      <c r="N43" s="62" t="str">
        <v/>
      </c>
      <c r="O43" s="61" t="str">
        <v/>
      </c>
      <c r="P43" s="61" t="str">
        <v/>
      </c>
      <c r="Q43" s="61" t="str">
        <v/>
      </c>
      <c r="R43" s="61" t="str">
        <v/>
      </c>
      <c r="S43" s="61" t="str">
        <v/>
      </c>
      <c r="T43" s="45"/>
      <c r="U43" s="46"/>
      <c r="V43" s="46"/>
      <c r="W43" s="47"/>
      <c r="X43" s="46"/>
      <c r="Y43" s="46"/>
      <c r="Z43" s="46"/>
      <c r="AA43" s="46"/>
      <c r="AB43" s="47"/>
      <c r="AC43" s="62" t="str">
        <v/>
      </c>
      <c r="AD43" s="62" t="str">
        <v/>
      </c>
      <c r="AE43" s="62" t="str">
        <v/>
      </c>
      <c r="AF43" s="62" t="str">
        <v/>
      </c>
      <c r="AG43" s="63" t="str">
        <v/>
      </c>
      <c r="AH43" s="61" t="str">
        <v/>
      </c>
      <c r="AI43" s="61" t="str">
        <v/>
      </c>
      <c r="AJ43" s="64" t="str">
        <v/>
      </c>
      <c r="AK43" s="61" t="str">
        <v/>
      </c>
      <c r="AL43" s="61" t="str">
        <v/>
      </c>
      <c r="AM43" s="61" t="str">
        <v/>
      </c>
      <c r="AN43" s="61" t="str">
        <v/>
      </c>
      <c r="AO43" s="61" t="str">
        <v/>
      </c>
      <c r="AP43" s="42"/>
      <c r="AQ43" s="76"/>
      <c r="AR43" s="74"/>
      <c r="AS43" s="74" t="str">
        <v/>
      </c>
      <c r="AT43" s="72" t="str">
        <v/>
      </c>
      <c r="AU43" s="73"/>
      <c r="AV43" s="65" t="str">
        <v/>
      </c>
      <c r="AW43" s="62" t="str">
        <v/>
      </c>
      <c r="AX43" s="62" t="str">
        <v/>
      </c>
      <c r="AY43" s="66" t="str">
        <v/>
      </c>
      <c r="AZ43" s="61" t="str">
        <v/>
      </c>
      <c r="BA43" s="61" t="str">
        <v/>
      </c>
      <c r="BB43" s="61" t="str">
        <v/>
      </c>
      <c r="BC43" s="64" t="str">
        <v/>
      </c>
      <c r="BD43" s="61" t="str">
        <v/>
      </c>
      <c r="BE43" s="61" t="str">
        <v/>
      </c>
      <c r="BF43" s="61" t="str">
        <v/>
      </c>
      <c r="BG43" s="61" t="str">
        <v/>
      </c>
      <c r="BH43" s="61" t="str">
        <v/>
      </c>
      <c r="BI43" s="42"/>
      <c r="BJ43" s="67"/>
      <c r="BK43" s="60"/>
      <c r="BL43" s="60" t="str">
        <v/>
      </c>
      <c r="BM43" s="60" t="str">
        <v/>
      </c>
      <c r="BN43" s="60" t="str">
        <v/>
      </c>
      <c r="BO43" s="60" t="str">
        <v/>
      </c>
      <c r="BP43" s="60" t="str">
        <v/>
      </c>
      <c r="BQ43" s="60" t="str">
        <v/>
      </c>
      <c r="BR43" s="60" t="str">
        <v/>
      </c>
      <c r="BS43" s="60" t="str">
        <v/>
      </c>
      <c r="BT43" s="68" t="str">
        <v/>
      </c>
      <c r="BU43" s="42"/>
      <c r="BV43" s="62" t="str">
        <v/>
      </c>
      <c r="BW43" s="62" t="str">
        <v/>
      </c>
      <c r="BX43" s="62" t="str">
        <v/>
      </c>
      <c r="BY43" s="62" t="str">
        <v/>
      </c>
      <c r="BZ43" s="62" t="str">
        <v/>
      </c>
      <c r="CA43" s="62" t="str">
        <v/>
      </c>
      <c r="CB43" s="62" t="str">
        <v/>
      </c>
      <c r="CC43" s="62" t="str">
        <v/>
      </c>
      <c r="CD43" s="62" t="str">
        <v/>
      </c>
      <c r="CE43" s="122" t="str">
        <v/>
      </c>
      <c r="CF43" s="62" t="str">
        <v/>
      </c>
      <c r="CG43" s="62" t="str">
        <v/>
      </c>
      <c r="CH43" s="62" t="str">
        <v/>
      </c>
      <c r="CI43" s="62" t="str">
        <v/>
      </c>
      <c r="CJ43" s="62" t="str">
        <v/>
      </c>
      <c r="CK43" s="62" t="str">
        <v/>
      </c>
      <c r="CL43" s="62" t="str">
        <v/>
      </c>
      <c r="CM43" s="62" t="str">
        <v/>
      </c>
      <c r="CN43" s="130" t="str">
        <v/>
      </c>
    </row>
    <row r="44" spans="1:92">
      <c r="A44" s="39"/>
      <c r="B44" s="75"/>
      <c r="C44" s="41"/>
      <c r="D44" s="41"/>
      <c r="E44" s="41"/>
      <c r="F44" s="42"/>
      <c r="G44" s="61" t="str">
        <v/>
      </c>
      <c r="H44" s="61" t="str">
        <v/>
      </c>
      <c r="I44" s="42"/>
      <c r="J44" s="61" t="str">
        <v/>
      </c>
      <c r="K44" s="61" t="str">
        <v/>
      </c>
      <c r="L44" s="61" t="str">
        <v/>
      </c>
      <c r="M44" s="61" t="str">
        <v/>
      </c>
      <c r="N44" s="62" t="str">
        <v/>
      </c>
      <c r="O44" s="61" t="str">
        <v/>
      </c>
      <c r="P44" s="61" t="str">
        <v/>
      </c>
      <c r="Q44" s="61" t="str">
        <v/>
      </c>
      <c r="R44" s="61" t="str">
        <v/>
      </c>
      <c r="S44" s="61" t="str">
        <v/>
      </c>
      <c r="T44" s="45"/>
      <c r="U44" s="46"/>
      <c r="V44" s="46"/>
      <c r="W44" s="47"/>
      <c r="X44" s="46"/>
      <c r="Y44" s="46"/>
      <c r="Z44" s="46"/>
      <c r="AA44" s="46"/>
      <c r="AB44" s="47"/>
      <c r="AC44" s="62" t="str">
        <v/>
      </c>
      <c r="AD44" s="62" t="str">
        <v/>
      </c>
      <c r="AE44" s="62" t="str">
        <v/>
      </c>
      <c r="AF44" s="62" t="str">
        <v/>
      </c>
      <c r="AG44" s="63" t="str">
        <v/>
      </c>
      <c r="AH44" s="61" t="str">
        <v/>
      </c>
      <c r="AI44" s="61" t="str">
        <v/>
      </c>
      <c r="AJ44" s="64" t="str">
        <v/>
      </c>
      <c r="AK44" s="61" t="str">
        <v/>
      </c>
      <c r="AL44" s="61" t="str">
        <v/>
      </c>
      <c r="AM44" s="61" t="str">
        <v/>
      </c>
      <c r="AN44" s="61" t="str">
        <v/>
      </c>
      <c r="AO44" s="61" t="str">
        <v/>
      </c>
      <c r="AP44" s="42"/>
      <c r="AQ44" s="76"/>
      <c r="AR44" s="74"/>
      <c r="AS44" s="74" t="str">
        <v/>
      </c>
      <c r="AT44" s="72" t="str">
        <v/>
      </c>
      <c r="AU44" s="73"/>
      <c r="AV44" s="65" t="str">
        <v/>
      </c>
      <c r="AW44" s="62" t="str">
        <v/>
      </c>
      <c r="AX44" s="62" t="str">
        <v/>
      </c>
      <c r="AY44" s="66" t="str">
        <v/>
      </c>
      <c r="AZ44" s="61" t="str">
        <v/>
      </c>
      <c r="BA44" s="61" t="str">
        <v/>
      </c>
      <c r="BB44" s="61" t="str">
        <v/>
      </c>
      <c r="BC44" s="64" t="str">
        <v/>
      </c>
      <c r="BD44" s="61" t="str">
        <v/>
      </c>
      <c r="BE44" s="61" t="str">
        <v/>
      </c>
      <c r="BF44" s="61" t="str">
        <v/>
      </c>
      <c r="BG44" s="61" t="str">
        <v/>
      </c>
      <c r="BH44" s="61" t="str">
        <v/>
      </c>
      <c r="BI44" s="42"/>
      <c r="BJ44" s="67"/>
      <c r="BK44" s="60"/>
      <c r="BL44" s="60" t="str">
        <v/>
      </c>
      <c r="BM44" s="60" t="str">
        <v/>
      </c>
      <c r="BN44" s="60" t="str">
        <v/>
      </c>
      <c r="BO44" s="60" t="str">
        <v/>
      </c>
      <c r="BP44" s="60" t="str">
        <v/>
      </c>
      <c r="BQ44" s="60" t="str">
        <v/>
      </c>
      <c r="BR44" s="60" t="str">
        <v/>
      </c>
      <c r="BS44" s="60" t="str">
        <v/>
      </c>
      <c r="BT44" s="68" t="str">
        <v/>
      </c>
      <c r="BU44" s="42"/>
      <c r="BV44" s="62" t="str">
        <v/>
      </c>
      <c r="BW44" s="62" t="str">
        <v/>
      </c>
      <c r="BX44" s="62" t="str">
        <v/>
      </c>
      <c r="BY44" s="62" t="str">
        <v/>
      </c>
      <c r="BZ44" s="62" t="str">
        <v/>
      </c>
      <c r="CA44" s="62" t="str">
        <v/>
      </c>
      <c r="CB44" s="62" t="str">
        <v/>
      </c>
      <c r="CC44" s="62" t="str">
        <v/>
      </c>
      <c r="CD44" s="62" t="str">
        <v/>
      </c>
      <c r="CE44" s="122" t="str">
        <v/>
      </c>
      <c r="CF44" s="62" t="str">
        <v/>
      </c>
      <c r="CG44" s="62" t="str">
        <v/>
      </c>
      <c r="CH44" s="62" t="str">
        <v/>
      </c>
      <c r="CI44" s="62" t="str">
        <v/>
      </c>
      <c r="CJ44" s="62" t="str">
        <v/>
      </c>
      <c r="CK44" s="62" t="str">
        <v/>
      </c>
      <c r="CL44" s="62" t="str">
        <v/>
      </c>
      <c r="CM44" s="62" t="str">
        <v/>
      </c>
      <c r="CN44" s="130" t="str">
        <v/>
      </c>
    </row>
    <row r="45" spans="1:92">
      <c r="A45" s="39"/>
      <c r="B45" s="75"/>
      <c r="C45" s="41"/>
      <c r="D45" s="41"/>
      <c r="E45" s="41"/>
      <c r="F45" s="42"/>
      <c r="G45" s="61" t="str">
        <v/>
      </c>
      <c r="H45" s="61" t="str">
        <v/>
      </c>
      <c r="I45" s="42"/>
      <c r="J45" s="61" t="str">
        <v/>
      </c>
      <c r="K45" s="61" t="str">
        <v/>
      </c>
      <c r="L45" s="61" t="str">
        <v/>
      </c>
      <c r="M45" s="61" t="str">
        <v/>
      </c>
      <c r="N45" s="62" t="str">
        <v/>
      </c>
      <c r="O45" s="61" t="str">
        <v/>
      </c>
      <c r="P45" s="61" t="str">
        <v/>
      </c>
      <c r="Q45" s="61" t="str">
        <v/>
      </c>
      <c r="R45" s="61" t="str">
        <v/>
      </c>
      <c r="S45" s="61" t="str">
        <v/>
      </c>
      <c r="T45" s="45"/>
      <c r="U45" s="46"/>
      <c r="V45" s="46"/>
      <c r="W45" s="47"/>
      <c r="X45" s="46"/>
      <c r="Y45" s="46"/>
      <c r="Z45" s="46"/>
      <c r="AA45" s="46"/>
      <c r="AB45" s="47"/>
      <c r="AC45" s="62" t="str">
        <v/>
      </c>
      <c r="AD45" s="62" t="str">
        <v/>
      </c>
      <c r="AE45" s="62" t="str">
        <v/>
      </c>
      <c r="AF45" s="62" t="str">
        <v/>
      </c>
      <c r="AG45" s="63" t="str">
        <v/>
      </c>
      <c r="AH45" s="61" t="str">
        <v/>
      </c>
      <c r="AI45" s="61" t="str">
        <v/>
      </c>
      <c r="AJ45" s="64" t="str">
        <v/>
      </c>
      <c r="AK45" s="61" t="str">
        <v/>
      </c>
      <c r="AL45" s="61" t="str">
        <v/>
      </c>
      <c r="AM45" s="61" t="str">
        <v/>
      </c>
      <c r="AN45" s="61" t="str">
        <v/>
      </c>
      <c r="AO45" s="61" t="str">
        <v/>
      </c>
      <c r="AP45" s="42"/>
      <c r="AQ45" s="76"/>
      <c r="AR45" s="74"/>
      <c r="AS45" s="74" t="str">
        <v/>
      </c>
      <c r="AT45" s="72" t="str">
        <v/>
      </c>
      <c r="AU45" s="73"/>
      <c r="AV45" s="65" t="str">
        <v/>
      </c>
      <c r="AW45" s="62" t="str">
        <v/>
      </c>
      <c r="AX45" s="62" t="str">
        <v/>
      </c>
      <c r="AY45" s="66" t="str">
        <v/>
      </c>
      <c r="AZ45" s="61" t="str">
        <v/>
      </c>
      <c r="BA45" s="61" t="str">
        <v/>
      </c>
      <c r="BB45" s="61" t="str">
        <v/>
      </c>
      <c r="BC45" s="64" t="str">
        <v/>
      </c>
      <c r="BD45" s="61" t="str">
        <v/>
      </c>
      <c r="BE45" s="61" t="str">
        <v/>
      </c>
      <c r="BF45" s="61" t="str">
        <v/>
      </c>
      <c r="BG45" s="61" t="str">
        <v/>
      </c>
      <c r="BH45" s="61" t="str">
        <v/>
      </c>
      <c r="BI45" s="42"/>
      <c r="BJ45" s="67"/>
      <c r="BK45" s="60"/>
      <c r="BL45" s="60" t="str">
        <v/>
      </c>
      <c r="BM45" s="60" t="str">
        <v/>
      </c>
      <c r="BN45" s="60" t="str">
        <v/>
      </c>
      <c r="BO45" s="60" t="str">
        <v/>
      </c>
      <c r="BP45" s="60" t="str">
        <v/>
      </c>
      <c r="BQ45" s="60" t="str">
        <v/>
      </c>
      <c r="BR45" s="60" t="str">
        <v/>
      </c>
      <c r="BS45" s="60" t="str">
        <v/>
      </c>
      <c r="BT45" s="68" t="str">
        <v/>
      </c>
      <c r="BU45" s="42"/>
      <c r="BV45" s="62" t="str">
        <v/>
      </c>
      <c r="BW45" s="62" t="str">
        <v/>
      </c>
      <c r="BX45" s="62" t="str">
        <v/>
      </c>
      <c r="BY45" s="62" t="str">
        <v/>
      </c>
      <c r="BZ45" s="62" t="str">
        <v/>
      </c>
      <c r="CA45" s="62" t="str">
        <v/>
      </c>
      <c r="CB45" s="62" t="str">
        <v/>
      </c>
      <c r="CC45" s="62" t="str">
        <v/>
      </c>
      <c r="CD45" s="62" t="str">
        <v/>
      </c>
      <c r="CE45" s="122" t="str">
        <v/>
      </c>
      <c r="CF45" s="62" t="str">
        <v/>
      </c>
      <c r="CG45" s="62" t="str">
        <v/>
      </c>
      <c r="CH45" s="62" t="str">
        <v/>
      </c>
      <c r="CI45" s="62" t="str">
        <v/>
      </c>
      <c r="CJ45" s="62" t="str">
        <v/>
      </c>
      <c r="CK45" s="62" t="str">
        <v/>
      </c>
      <c r="CL45" s="62" t="str">
        <v/>
      </c>
      <c r="CM45" s="62" t="str">
        <v/>
      </c>
      <c r="CN45" s="130" t="str">
        <v/>
      </c>
    </row>
    <row r="46" spans="1:92">
      <c r="A46" s="39"/>
      <c r="B46" s="75"/>
      <c r="C46" s="41"/>
      <c r="D46" s="41"/>
      <c r="E46" s="41"/>
      <c r="F46" s="42"/>
      <c r="G46" s="61" t="str">
        <v/>
      </c>
      <c r="H46" s="61" t="str">
        <v/>
      </c>
      <c r="I46" s="42"/>
      <c r="J46" s="61" t="str">
        <v/>
      </c>
      <c r="K46" s="61" t="str">
        <v/>
      </c>
      <c r="L46" s="61" t="str">
        <v/>
      </c>
      <c r="M46" s="61" t="str">
        <v/>
      </c>
      <c r="N46" s="62" t="str">
        <v/>
      </c>
      <c r="O46" s="61" t="str">
        <v/>
      </c>
      <c r="P46" s="61" t="str">
        <v/>
      </c>
      <c r="Q46" s="61" t="str">
        <v/>
      </c>
      <c r="R46" s="61" t="str">
        <v/>
      </c>
      <c r="S46" s="61" t="str">
        <v/>
      </c>
      <c r="T46" s="45"/>
      <c r="U46" s="46"/>
      <c r="V46" s="46"/>
      <c r="W46" s="47"/>
      <c r="X46" s="46"/>
      <c r="Y46" s="46"/>
      <c r="Z46" s="46"/>
      <c r="AA46" s="46"/>
      <c r="AB46" s="47"/>
      <c r="AC46" s="62" t="str">
        <v/>
      </c>
      <c r="AD46" s="62" t="str">
        <v/>
      </c>
      <c r="AE46" s="62" t="str">
        <v/>
      </c>
      <c r="AF46" s="62" t="str">
        <v/>
      </c>
      <c r="AG46" s="63" t="str">
        <v/>
      </c>
      <c r="AH46" s="61" t="str">
        <v/>
      </c>
      <c r="AI46" s="61" t="str">
        <v/>
      </c>
      <c r="AJ46" s="64" t="str">
        <v/>
      </c>
      <c r="AK46" s="61" t="str">
        <v/>
      </c>
      <c r="AL46" s="61" t="str">
        <v/>
      </c>
      <c r="AM46" s="61" t="str">
        <v/>
      </c>
      <c r="AN46" s="61" t="str">
        <v/>
      </c>
      <c r="AO46" s="61" t="str">
        <v/>
      </c>
      <c r="AP46" s="42"/>
      <c r="AQ46" s="76"/>
      <c r="AR46" s="74"/>
      <c r="AS46" s="74" t="str">
        <v/>
      </c>
      <c r="AT46" s="72" t="str">
        <v/>
      </c>
      <c r="AU46" s="73"/>
      <c r="AV46" s="65" t="str">
        <v/>
      </c>
      <c r="AW46" s="62" t="str">
        <v/>
      </c>
      <c r="AX46" s="62" t="str">
        <v/>
      </c>
      <c r="AY46" s="66" t="str">
        <v/>
      </c>
      <c r="AZ46" s="61" t="str">
        <v/>
      </c>
      <c r="BA46" s="61" t="str">
        <v/>
      </c>
      <c r="BB46" s="61" t="str">
        <v/>
      </c>
      <c r="BC46" s="64" t="str">
        <v/>
      </c>
      <c r="BD46" s="61" t="str">
        <v/>
      </c>
      <c r="BE46" s="61" t="str">
        <v/>
      </c>
      <c r="BF46" s="61" t="str">
        <v/>
      </c>
      <c r="BG46" s="61" t="str">
        <v/>
      </c>
      <c r="BH46" s="61" t="str">
        <v/>
      </c>
      <c r="BI46" s="42"/>
      <c r="BJ46" s="67"/>
      <c r="BK46" s="60"/>
      <c r="BL46" s="60" t="str">
        <v/>
      </c>
      <c r="BM46" s="60" t="str">
        <v/>
      </c>
      <c r="BN46" s="60" t="str">
        <v/>
      </c>
      <c r="BO46" s="60" t="str">
        <v/>
      </c>
      <c r="BP46" s="60" t="str">
        <v/>
      </c>
      <c r="BQ46" s="60" t="str">
        <v/>
      </c>
      <c r="BR46" s="60" t="str">
        <v/>
      </c>
      <c r="BS46" s="60" t="str">
        <v/>
      </c>
      <c r="BT46" s="68" t="str">
        <v/>
      </c>
      <c r="BU46" s="42"/>
      <c r="BV46" s="62" t="str">
        <v/>
      </c>
      <c r="BW46" s="62" t="str">
        <v/>
      </c>
      <c r="BX46" s="62" t="str">
        <v/>
      </c>
      <c r="BY46" s="62" t="str">
        <v/>
      </c>
      <c r="BZ46" s="62" t="str">
        <v/>
      </c>
      <c r="CA46" s="62" t="str">
        <v/>
      </c>
      <c r="CB46" s="62" t="str">
        <v/>
      </c>
      <c r="CC46" s="62" t="str">
        <v/>
      </c>
      <c r="CD46" s="62" t="str">
        <v/>
      </c>
      <c r="CE46" s="122" t="str">
        <v/>
      </c>
      <c r="CF46" s="62" t="str">
        <v/>
      </c>
      <c r="CG46" s="62" t="str">
        <v/>
      </c>
      <c r="CH46" s="62" t="str">
        <v/>
      </c>
      <c r="CI46" s="62" t="str">
        <v/>
      </c>
      <c r="CJ46" s="62" t="str">
        <v/>
      </c>
      <c r="CK46" s="62" t="str">
        <v/>
      </c>
      <c r="CL46" s="62" t="str">
        <v/>
      </c>
      <c r="CM46" s="62" t="str">
        <v/>
      </c>
      <c r="CN46" s="130" t="str">
        <v/>
      </c>
    </row>
    <row r="47" spans="1:92">
      <c r="A47" s="39"/>
      <c r="B47" s="75"/>
      <c r="C47" s="41"/>
      <c r="D47" s="41"/>
      <c r="E47" s="41"/>
      <c r="F47" s="42"/>
      <c r="G47" s="61" t="str">
        <v/>
      </c>
      <c r="H47" s="61" t="str">
        <v/>
      </c>
      <c r="I47" s="42"/>
      <c r="J47" s="61" t="str">
        <v/>
      </c>
      <c r="K47" s="61" t="str">
        <v/>
      </c>
      <c r="L47" s="61" t="str">
        <v/>
      </c>
      <c r="M47" s="61" t="str">
        <v/>
      </c>
      <c r="N47" s="62" t="str">
        <v/>
      </c>
      <c r="O47" s="61" t="str">
        <v/>
      </c>
      <c r="P47" s="61" t="str">
        <v/>
      </c>
      <c r="Q47" s="61" t="str">
        <v/>
      </c>
      <c r="R47" s="61" t="str">
        <v/>
      </c>
      <c r="S47" s="61" t="str">
        <v/>
      </c>
      <c r="T47" s="45"/>
      <c r="U47" s="46"/>
      <c r="V47" s="46"/>
      <c r="W47" s="47"/>
      <c r="X47" s="46"/>
      <c r="Y47" s="46"/>
      <c r="Z47" s="46"/>
      <c r="AA47" s="46"/>
      <c r="AB47" s="47"/>
      <c r="AC47" s="62" t="str">
        <v/>
      </c>
      <c r="AD47" s="62" t="str">
        <v/>
      </c>
      <c r="AE47" s="62" t="str">
        <v/>
      </c>
      <c r="AF47" s="62" t="str">
        <v/>
      </c>
      <c r="AG47" s="63" t="str">
        <v/>
      </c>
      <c r="AH47" s="61" t="str">
        <v/>
      </c>
      <c r="AI47" s="61" t="str">
        <v/>
      </c>
      <c r="AJ47" s="64" t="str">
        <v/>
      </c>
      <c r="AK47" s="61" t="str">
        <v/>
      </c>
      <c r="AL47" s="61" t="str">
        <v/>
      </c>
      <c r="AM47" s="61" t="str">
        <v/>
      </c>
      <c r="AN47" s="61" t="str">
        <v/>
      </c>
      <c r="AO47" s="61" t="str">
        <v/>
      </c>
      <c r="AP47" s="42"/>
      <c r="AQ47" s="76"/>
      <c r="AR47" s="74"/>
      <c r="AS47" s="74" t="str">
        <v/>
      </c>
      <c r="AT47" s="72" t="str">
        <v/>
      </c>
      <c r="AU47" s="73"/>
      <c r="AV47" s="65" t="str">
        <v/>
      </c>
      <c r="AW47" s="62" t="str">
        <v/>
      </c>
      <c r="AX47" s="62" t="str">
        <v/>
      </c>
      <c r="AY47" s="66" t="str">
        <v/>
      </c>
      <c r="AZ47" s="61" t="str">
        <v/>
      </c>
      <c r="BA47" s="61" t="str">
        <v/>
      </c>
      <c r="BB47" s="61" t="str">
        <v/>
      </c>
      <c r="BC47" s="64" t="str">
        <v/>
      </c>
      <c r="BD47" s="61" t="str">
        <v/>
      </c>
      <c r="BE47" s="61" t="str">
        <v/>
      </c>
      <c r="BF47" s="61" t="str">
        <v/>
      </c>
      <c r="BG47" s="61" t="str">
        <v/>
      </c>
      <c r="BH47" s="61" t="str">
        <v/>
      </c>
      <c r="BI47" s="42"/>
      <c r="BJ47" s="67"/>
      <c r="BK47" s="60"/>
      <c r="BL47" s="60" t="str">
        <v/>
      </c>
      <c r="BM47" s="60" t="str">
        <v/>
      </c>
      <c r="BN47" s="60" t="str">
        <v/>
      </c>
      <c r="BO47" s="60" t="str">
        <v/>
      </c>
      <c r="BP47" s="60" t="str">
        <v/>
      </c>
      <c r="BQ47" s="60" t="str">
        <v/>
      </c>
      <c r="BR47" s="60" t="str">
        <v/>
      </c>
      <c r="BS47" s="60" t="str">
        <v/>
      </c>
      <c r="BT47" s="68" t="str">
        <v/>
      </c>
      <c r="BU47" s="42"/>
      <c r="BV47" s="62" t="str">
        <v/>
      </c>
      <c r="BW47" s="62" t="str">
        <v/>
      </c>
      <c r="BX47" s="62" t="str">
        <v/>
      </c>
      <c r="BY47" s="62" t="str">
        <v/>
      </c>
      <c r="BZ47" s="62" t="str">
        <v/>
      </c>
      <c r="CA47" s="62" t="str">
        <v/>
      </c>
      <c r="CB47" s="62" t="str">
        <v/>
      </c>
      <c r="CC47" s="62" t="str">
        <v/>
      </c>
      <c r="CD47" s="62" t="str">
        <v/>
      </c>
      <c r="CE47" s="122" t="str">
        <v/>
      </c>
      <c r="CF47" s="62" t="str">
        <v/>
      </c>
      <c r="CG47" s="62" t="str">
        <v/>
      </c>
      <c r="CH47" s="62" t="str">
        <v/>
      </c>
      <c r="CI47" s="62" t="str">
        <v/>
      </c>
      <c r="CJ47" s="62" t="str">
        <v/>
      </c>
      <c r="CK47" s="62" t="str">
        <v/>
      </c>
      <c r="CL47" s="62" t="str">
        <v/>
      </c>
      <c r="CM47" s="62" t="str">
        <v/>
      </c>
      <c r="CN47" s="130" t="str">
        <v/>
      </c>
    </row>
    <row r="48" spans="1:92">
      <c r="A48" s="39"/>
      <c r="B48" s="75"/>
      <c r="C48" s="41"/>
      <c r="D48" s="41"/>
      <c r="E48" s="41"/>
      <c r="F48" s="42"/>
      <c r="G48" s="61" t="str">
        <v/>
      </c>
      <c r="H48" s="61" t="str">
        <v/>
      </c>
      <c r="I48" s="42"/>
      <c r="J48" s="61" t="str">
        <v/>
      </c>
      <c r="K48" s="61" t="str">
        <v/>
      </c>
      <c r="L48" s="61" t="str">
        <v/>
      </c>
      <c r="M48" s="61" t="str">
        <v/>
      </c>
      <c r="N48" s="62" t="str">
        <v/>
      </c>
      <c r="O48" s="61" t="str">
        <v/>
      </c>
      <c r="P48" s="61" t="str">
        <v/>
      </c>
      <c r="Q48" s="61" t="str">
        <v/>
      </c>
      <c r="R48" s="61" t="str">
        <v/>
      </c>
      <c r="S48" s="61" t="str">
        <v/>
      </c>
      <c r="T48" s="45"/>
      <c r="U48" s="46"/>
      <c r="V48" s="46"/>
      <c r="W48" s="47"/>
      <c r="X48" s="46"/>
      <c r="Y48" s="46"/>
      <c r="Z48" s="46"/>
      <c r="AA48" s="46"/>
      <c r="AB48" s="47"/>
      <c r="AC48" s="62" t="str">
        <v/>
      </c>
      <c r="AD48" s="62" t="str">
        <v/>
      </c>
      <c r="AE48" s="62" t="str">
        <v/>
      </c>
      <c r="AF48" s="62" t="str">
        <v/>
      </c>
      <c r="AG48" s="63" t="str">
        <v/>
      </c>
      <c r="AH48" s="61" t="str">
        <v/>
      </c>
      <c r="AI48" s="61" t="str">
        <v/>
      </c>
      <c r="AJ48" s="64" t="str">
        <v/>
      </c>
      <c r="AK48" s="61" t="str">
        <v/>
      </c>
      <c r="AL48" s="61" t="str">
        <v/>
      </c>
      <c r="AM48" s="61" t="str">
        <v/>
      </c>
      <c r="AN48" s="61" t="str">
        <v/>
      </c>
      <c r="AO48" s="61" t="str">
        <v/>
      </c>
      <c r="AP48" s="42"/>
      <c r="AQ48" s="76"/>
      <c r="AR48" s="74"/>
      <c r="AS48" s="74" t="str">
        <v/>
      </c>
      <c r="AT48" s="72" t="str">
        <v/>
      </c>
      <c r="AU48" s="73"/>
      <c r="AV48" s="65" t="str">
        <v/>
      </c>
      <c r="AW48" s="62" t="str">
        <v/>
      </c>
      <c r="AX48" s="62" t="str">
        <v/>
      </c>
      <c r="AY48" s="66" t="str">
        <v/>
      </c>
      <c r="AZ48" s="61" t="str">
        <v/>
      </c>
      <c r="BA48" s="61" t="str">
        <v/>
      </c>
      <c r="BB48" s="61" t="str">
        <v/>
      </c>
      <c r="BC48" s="64" t="str">
        <v/>
      </c>
      <c r="BD48" s="61" t="str">
        <v/>
      </c>
      <c r="BE48" s="61" t="str">
        <v/>
      </c>
      <c r="BF48" s="61" t="str">
        <v/>
      </c>
      <c r="BG48" s="61" t="str">
        <v/>
      </c>
      <c r="BH48" s="61" t="str">
        <v/>
      </c>
      <c r="BI48" s="42"/>
      <c r="BJ48" s="67"/>
      <c r="BK48" s="60"/>
      <c r="BL48" s="60" t="str">
        <v/>
      </c>
      <c r="BM48" s="60" t="str">
        <v/>
      </c>
      <c r="BN48" s="60" t="str">
        <v/>
      </c>
      <c r="BO48" s="60" t="str">
        <v/>
      </c>
      <c r="BP48" s="60" t="str">
        <v/>
      </c>
      <c r="BQ48" s="60" t="str">
        <v/>
      </c>
      <c r="BR48" s="60" t="str">
        <v/>
      </c>
      <c r="BS48" s="60" t="str">
        <v/>
      </c>
      <c r="BT48" s="68" t="str">
        <v/>
      </c>
      <c r="BU48" s="42"/>
      <c r="BV48" s="62" t="str">
        <v/>
      </c>
      <c r="BW48" s="62" t="str">
        <v/>
      </c>
      <c r="BX48" s="62" t="str">
        <v/>
      </c>
      <c r="BY48" s="62" t="str">
        <v/>
      </c>
      <c r="BZ48" s="62" t="str">
        <v/>
      </c>
      <c r="CA48" s="62" t="str">
        <v/>
      </c>
      <c r="CB48" s="62" t="str">
        <v/>
      </c>
      <c r="CC48" s="62" t="str">
        <v/>
      </c>
      <c r="CD48" s="62" t="str">
        <v/>
      </c>
      <c r="CE48" s="122" t="str">
        <v/>
      </c>
      <c r="CF48" s="62" t="str">
        <v/>
      </c>
      <c r="CG48" s="62" t="str">
        <v/>
      </c>
      <c r="CH48" s="62" t="str">
        <v/>
      </c>
      <c r="CI48" s="62" t="str">
        <v/>
      </c>
      <c r="CJ48" s="62" t="str">
        <v/>
      </c>
      <c r="CK48" s="62" t="str">
        <v/>
      </c>
      <c r="CL48" s="62" t="str">
        <v/>
      </c>
      <c r="CM48" s="62" t="str">
        <v/>
      </c>
      <c r="CN48" s="130" t="str">
        <v/>
      </c>
    </row>
    <row r="49" spans="1:92">
      <c r="A49" s="39"/>
      <c r="B49" s="75"/>
      <c r="C49" s="41"/>
      <c r="D49" s="41"/>
      <c r="E49" s="41"/>
      <c r="F49" s="42"/>
      <c r="G49" s="61" t="str">
        <v/>
      </c>
      <c r="H49" s="61" t="str">
        <v/>
      </c>
      <c r="I49" s="42"/>
      <c r="J49" s="61" t="str">
        <v/>
      </c>
      <c r="K49" s="61" t="str">
        <v/>
      </c>
      <c r="L49" s="61" t="str">
        <v/>
      </c>
      <c r="M49" s="61" t="str">
        <v/>
      </c>
      <c r="N49" s="62" t="str">
        <v/>
      </c>
      <c r="O49" s="61" t="str">
        <v/>
      </c>
      <c r="P49" s="61" t="str">
        <v/>
      </c>
      <c r="Q49" s="61" t="str">
        <v/>
      </c>
      <c r="R49" s="61" t="str">
        <v/>
      </c>
      <c r="S49" s="61" t="str">
        <v/>
      </c>
      <c r="T49" s="45"/>
      <c r="U49" s="46"/>
      <c r="V49" s="46"/>
      <c r="W49" s="47"/>
      <c r="X49" s="46"/>
      <c r="Y49" s="46"/>
      <c r="Z49" s="46"/>
      <c r="AA49" s="46"/>
      <c r="AB49" s="47"/>
      <c r="AC49" s="62" t="str">
        <v/>
      </c>
      <c r="AD49" s="62" t="str">
        <v/>
      </c>
      <c r="AE49" s="62" t="str">
        <v/>
      </c>
      <c r="AF49" s="62" t="str">
        <v/>
      </c>
      <c r="AG49" s="63" t="str">
        <v/>
      </c>
      <c r="AH49" s="61" t="str">
        <v/>
      </c>
      <c r="AI49" s="61" t="str">
        <v/>
      </c>
      <c r="AJ49" s="64" t="str">
        <v/>
      </c>
      <c r="AK49" s="61" t="str">
        <v/>
      </c>
      <c r="AL49" s="61" t="str">
        <v/>
      </c>
      <c r="AM49" s="61" t="str">
        <v/>
      </c>
      <c r="AN49" s="61" t="str">
        <v/>
      </c>
      <c r="AO49" s="61" t="str">
        <v/>
      </c>
      <c r="AP49" s="42"/>
      <c r="AQ49" s="76"/>
      <c r="AR49" s="74"/>
      <c r="AS49" s="74" t="str">
        <v/>
      </c>
      <c r="AT49" s="72" t="str">
        <v/>
      </c>
      <c r="AU49" s="73"/>
      <c r="AV49" s="65" t="str">
        <v/>
      </c>
      <c r="AW49" s="62" t="str">
        <v/>
      </c>
      <c r="AX49" s="62" t="str">
        <v/>
      </c>
      <c r="AY49" s="66" t="str">
        <v/>
      </c>
      <c r="AZ49" s="61" t="str">
        <v/>
      </c>
      <c r="BA49" s="61" t="str">
        <v/>
      </c>
      <c r="BB49" s="61" t="str">
        <v/>
      </c>
      <c r="BC49" s="64" t="str">
        <v/>
      </c>
      <c r="BD49" s="61" t="str">
        <v/>
      </c>
      <c r="BE49" s="61" t="str">
        <v/>
      </c>
      <c r="BF49" s="61" t="str">
        <v/>
      </c>
      <c r="BG49" s="61" t="str">
        <v/>
      </c>
      <c r="BH49" s="61" t="str">
        <v/>
      </c>
      <c r="BI49" s="42"/>
      <c r="BJ49" s="67"/>
      <c r="BK49" s="60"/>
      <c r="BL49" s="60" t="str">
        <v/>
      </c>
      <c r="BM49" s="60" t="str">
        <v/>
      </c>
      <c r="BN49" s="60" t="str">
        <v/>
      </c>
      <c r="BO49" s="60" t="str">
        <v/>
      </c>
      <c r="BP49" s="60" t="str">
        <v/>
      </c>
      <c r="BQ49" s="60" t="str">
        <v/>
      </c>
      <c r="BR49" s="60" t="str">
        <v/>
      </c>
      <c r="BS49" s="60" t="str">
        <v/>
      </c>
      <c r="BT49" s="68" t="str">
        <v/>
      </c>
      <c r="BU49" s="42"/>
      <c r="BV49" s="62" t="str">
        <v/>
      </c>
      <c r="BW49" s="62" t="str">
        <v/>
      </c>
      <c r="BX49" s="62" t="str">
        <v/>
      </c>
      <c r="BY49" s="62" t="str">
        <v/>
      </c>
      <c r="BZ49" s="62" t="str">
        <v/>
      </c>
      <c r="CA49" s="62" t="str">
        <v/>
      </c>
      <c r="CB49" s="62" t="str">
        <v/>
      </c>
      <c r="CC49" s="62" t="str">
        <v/>
      </c>
      <c r="CD49" s="62" t="str">
        <v/>
      </c>
      <c r="CE49" s="122" t="str">
        <v/>
      </c>
      <c r="CF49" s="62" t="str">
        <v/>
      </c>
      <c r="CG49" s="62" t="str">
        <v/>
      </c>
      <c r="CH49" s="62" t="str">
        <v/>
      </c>
      <c r="CI49" s="62" t="str">
        <v/>
      </c>
      <c r="CJ49" s="62" t="str">
        <v/>
      </c>
      <c r="CK49" s="62" t="str">
        <v/>
      </c>
      <c r="CL49" s="62" t="str">
        <v/>
      </c>
      <c r="CM49" s="62" t="str">
        <v/>
      </c>
      <c r="CN49" s="130" t="str">
        <v/>
      </c>
    </row>
    <row r="50" spans="1:92">
      <c r="A50" s="39"/>
      <c r="B50" s="75"/>
      <c r="C50" s="41"/>
      <c r="D50" s="41"/>
      <c r="E50" s="41"/>
      <c r="F50" s="42"/>
      <c r="G50" s="61" t="str">
        <v/>
      </c>
      <c r="H50" s="61" t="str">
        <v/>
      </c>
      <c r="I50" s="42"/>
      <c r="J50" s="61" t="str">
        <v/>
      </c>
      <c r="K50" s="61" t="str">
        <v/>
      </c>
      <c r="L50" s="61" t="str">
        <v/>
      </c>
      <c r="M50" s="61" t="str">
        <v/>
      </c>
      <c r="N50" s="62" t="str">
        <v/>
      </c>
      <c r="O50" s="61" t="str">
        <v/>
      </c>
      <c r="P50" s="61" t="str">
        <v/>
      </c>
      <c r="Q50" s="61" t="str">
        <v/>
      </c>
      <c r="R50" s="61" t="str">
        <v/>
      </c>
      <c r="S50" s="61" t="str">
        <v/>
      </c>
      <c r="T50" s="45"/>
      <c r="U50" s="46"/>
      <c r="V50" s="46"/>
      <c r="W50" s="47"/>
      <c r="X50" s="46"/>
      <c r="Y50" s="46"/>
      <c r="Z50" s="46"/>
      <c r="AA50" s="46"/>
      <c r="AB50" s="47"/>
      <c r="AC50" s="62" t="str">
        <v/>
      </c>
      <c r="AD50" s="62" t="str">
        <v/>
      </c>
      <c r="AE50" s="62" t="str">
        <v/>
      </c>
      <c r="AF50" s="62" t="str">
        <v/>
      </c>
      <c r="AG50" s="63" t="str">
        <v/>
      </c>
      <c r="AH50" s="61" t="str">
        <v/>
      </c>
      <c r="AI50" s="61" t="str">
        <v/>
      </c>
      <c r="AJ50" s="64" t="str">
        <v/>
      </c>
      <c r="AK50" s="61" t="str">
        <v/>
      </c>
      <c r="AL50" s="61" t="str">
        <v/>
      </c>
      <c r="AM50" s="61" t="str">
        <v/>
      </c>
      <c r="AN50" s="61" t="str">
        <v/>
      </c>
      <c r="AO50" s="61" t="str">
        <v/>
      </c>
      <c r="AP50" s="42"/>
      <c r="AQ50" s="76"/>
      <c r="AR50" s="74"/>
      <c r="AS50" s="74" t="str">
        <v/>
      </c>
      <c r="AT50" s="72" t="str">
        <v/>
      </c>
      <c r="AU50" s="73"/>
      <c r="AV50" s="65" t="str">
        <v/>
      </c>
      <c r="AW50" s="62" t="str">
        <v/>
      </c>
      <c r="AX50" s="62" t="str">
        <v/>
      </c>
      <c r="AY50" s="66" t="str">
        <v/>
      </c>
      <c r="AZ50" s="61" t="str">
        <v/>
      </c>
      <c r="BA50" s="61" t="str">
        <v/>
      </c>
      <c r="BB50" s="61" t="str">
        <v/>
      </c>
      <c r="BC50" s="64" t="str">
        <v/>
      </c>
      <c r="BD50" s="61" t="str">
        <v/>
      </c>
      <c r="BE50" s="61" t="str">
        <v/>
      </c>
      <c r="BF50" s="61" t="str">
        <v/>
      </c>
      <c r="BG50" s="61" t="str">
        <v/>
      </c>
      <c r="BH50" s="61" t="str">
        <v/>
      </c>
      <c r="BI50" s="42"/>
      <c r="BJ50" s="67"/>
      <c r="BK50" s="60"/>
      <c r="BL50" s="60" t="str">
        <v/>
      </c>
      <c r="BM50" s="60" t="str">
        <v/>
      </c>
      <c r="BN50" s="60" t="str">
        <v/>
      </c>
      <c r="BO50" s="60" t="str">
        <v/>
      </c>
      <c r="BP50" s="60" t="str">
        <v/>
      </c>
      <c r="BQ50" s="60" t="str">
        <v/>
      </c>
      <c r="BR50" s="60" t="str">
        <v/>
      </c>
      <c r="BS50" s="60" t="str">
        <v/>
      </c>
      <c r="BT50" s="68" t="str">
        <v/>
      </c>
      <c r="BU50" s="42"/>
      <c r="BV50" s="62" t="str">
        <v/>
      </c>
      <c r="BW50" s="62" t="str">
        <v/>
      </c>
      <c r="BX50" s="62" t="str">
        <v/>
      </c>
      <c r="BY50" s="62" t="str">
        <v/>
      </c>
      <c r="BZ50" s="62" t="str">
        <v/>
      </c>
      <c r="CA50" s="62" t="str">
        <v/>
      </c>
      <c r="CB50" s="62" t="str">
        <v/>
      </c>
      <c r="CC50" s="62" t="str">
        <v/>
      </c>
      <c r="CD50" s="62" t="str">
        <v/>
      </c>
      <c r="CE50" s="122" t="str">
        <v/>
      </c>
      <c r="CF50" s="62" t="str">
        <v/>
      </c>
      <c r="CG50" s="62" t="str">
        <v/>
      </c>
      <c r="CH50" s="62" t="str">
        <v/>
      </c>
      <c r="CI50" s="62" t="str">
        <v/>
      </c>
      <c r="CJ50" s="62" t="str">
        <v/>
      </c>
      <c r="CK50" s="62" t="str">
        <v/>
      </c>
      <c r="CL50" s="62" t="str">
        <v/>
      </c>
      <c r="CM50" s="62" t="str">
        <v/>
      </c>
      <c r="CN50" s="130" t="str">
        <v/>
      </c>
    </row>
    <row r="51" spans="1:92">
      <c r="A51" s="39"/>
      <c r="B51" s="75"/>
      <c r="C51" s="41"/>
      <c r="D51" s="41"/>
      <c r="E51" s="41"/>
      <c r="F51" s="42"/>
      <c r="G51" s="61" t="str">
        <v/>
      </c>
      <c r="H51" s="61" t="str">
        <v/>
      </c>
      <c r="I51" s="42"/>
      <c r="J51" s="61" t="str">
        <v/>
      </c>
      <c r="K51" s="61" t="str">
        <v/>
      </c>
      <c r="L51" s="61" t="str">
        <v/>
      </c>
      <c r="M51" s="61" t="str">
        <v/>
      </c>
      <c r="N51" s="62" t="str">
        <v/>
      </c>
      <c r="O51" s="61" t="str">
        <v/>
      </c>
      <c r="P51" s="61" t="str">
        <v/>
      </c>
      <c r="Q51" s="61" t="str">
        <v/>
      </c>
      <c r="R51" s="61" t="str">
        <v/>
      </c>
      <c r="S51" s="61" t="str">
        <v/>
      </c>
      <c r="T51" s="45"/>
      <c r="U51" s="46"/>
      <c r="V51" s="46"/>
      <c r="W51" s="47"/>
      <c r="X51" s="46"/>
      <c r="Y51" s="46"/>
      <c r="Z51" s="46"/>
      <c r="AA51" s="46"/>
      <c r="AB51" s="47"/>
      <c r="AC51" s="62" t="str">
        <v/>
      </c>
      <c r="AD51" s="62" t="str">
        <v/>
      </c>
      <c r="AE51" s="62" t="str">
        <v/>
      </c>
      <c r="AF51" s="62" t="str">
        <v/>
      </c>
      <c r="AG51" s="63" t="str">
        <v/>
      </c>
      <c r="AH51" s="61" t="str">
        <v/>
      </c>
      <c r="AI51" s="61" t="str">
        <v/>
      </c>
      <c r="AJ51" s="64" t="str">
        <v/>
      </c>
      <c r="AK51" s="61" t="str">
        <v/>
      </c>
      <c r="AL51" s="61" t="str">
        <v/>
      </c>
      <c r="AM51" s="61" t="str">
        <v/>
      </c>
      <c r="AN51" s="61" t="str">
        <v/>
      </c>
      <c r="AO51" s="61" t="str">
        <v/>
      </c>
      <c r="AP51" s="42"/>
      <c r="AQ51" s="76"/>
      <c r="AR51" s="74"/>
      <c r="AS51" s="74" t="str">
        <v/>
      </c>
      <c r="AT51" s="72" t="str">
        <v/>
      </c>
      <c r="AU51" s="73"/>
      <c r="AV51" s="65" t="str">
        <v/>
      </c>
      <c r="AW51" s="62" t="str">
        <v/>
      </c>
      <c r="AX51" s="62" t="str">
        <v/>
      </c>
      <c r="AY51" s="66" t="str">
        <v/>
      </c>
      <c r="AZ51" s="61" t="str">
        <v/>
      </c>
      <c r="BA51" s="61" t="str">
        <v/>
      </c>
      <c r="BB51" s="61" t="str">
        <v/>
      </c>
      <c r="BC51" s="64" t="str">
        <v/>
      </c>
      <c r="BD51" s="61" t="str">
        <v/>
      </c>
      <c r="BE51" s="61" t="str">
        <v/>
      </c>
      <c r="BF51" s="61" t="str">
        <v/>
      </c>
      <c r="BG51" s="61" t="str">
        <v/>
      </c>
      <c r="BH51" s="61" t="str">
        <v/>
      </c>
      <c r="BI51" s="42"/>
      <c r="BJ51" s="67"/>
      <c r="BK51" s="60"/>
      <c r="BL51" s="60" t="str">
        <v/>
      </c>
      <c r="BM51" s="60" t="str">
        <v/>
      </c>
      <c r="BN51" s="60" t="str">
        <v/>
      </c>
      <c r="BO51" s="60" t="str">
        <v/>
      </c>
      <c r="BP51" s="60" t="str">
        <v/>
      </c>
      <c r="BQ51" s="60" t="str">
        <v/>
      </c>
      <c r="BR51" s="60" t="str">
        <v/>
      </c>
      <c r="BS51" s="60" t="str">
        <v/>
      </c>
      <c r="BT51" s="68" t="str">
        <v/>
      </c>
      <c r="BU51" s="42"/>
      <c r="BV51" s="62" t="str">
        <v/>
      </c>
      <c r="BW51" s="62" t="str">
        <v/>
      </c>
      <c r="BX51" s="62" t="str">
        <v/>
      </c>
      <c r="BY51" s="62" t="str">
        <v/>
      </c>
      <c r="BZ51" s="62" t="str">
        <v/>
      </c>
      <c r="CA51" s="62" t="str">
        <v/>
      </c>
      <c r="CB51" s="62" t="str">
        <v/>
      </c>
      <c r="CC51" s="62" t="str">
        <v/>
      </c>
      <c r="CD51" s="62" t="str">
        <v/>
      </c>
      <c r="CE51" s="122" t="str">
        <v/>
      </c>
      <c r="CF51" s="62" t="str">
        <v/>
      </c>
      <c r="CG51" s="62" t="str">
        <v/>
      </c>
      <c r="CH51" s="62" t="str">
        <v/>
      </c>
      <c r="CI51" s="62" t="str">
        <v/>
      </c>
      <c r="CJ51" s="62" t="str">
        <v/>
      </c>
      <c r="CK51" s="62" t="str">
        <v/>
      </c>
      <c r="CL51" s="62" t="str">
        <v/>
      </c>
      <c r="CM51" s="62" t="str">
        <v/>
      </c>
      <c r="CN51" s="130" t="str">
        <v/>
      </c>
    </row>
    <row r="52" spans="1:92">
      <c r="A52" s="39"/>
      <c r="B52" s="75"/>
      <c r="C52" s="41"/>
      <c r="D52" s="41"/>
      <c r="E52" s="41"/>
      <c r="F52" s="42"/>
      <c r="G52" s="61" t="str">
        <v/>
      </c>
      <c r="H52" s="61" t="str">
        <v/>
      </c>
      <c r="I52" s="42"/>
      <c r="J52" s="61" t="str">
        <v/>
      </c>
      <c r="K52" s="61" t="str">
        <v/>
      </c>
      <c r="L52" s="61" t="str">
        <v/>
      </c>
      <c r="M52" s="61" t="str">
        <v/>
      </c>
      <c r="N52" s="62" t="str">
        <v/>
      </c>
      <c r="O52" s="61" t="str">
        <v/>
      </c>
      <c r="P52" s="61" t="str">
        <v/>
      </c>
      <c r="Q52" s="61" t="str">
        <v/>
      </c>
      <c r="R52" s="61" t="str">
        <v/>
      </c>
      <c r="S52" s="61" t="str">
        <v/>
      </c>
      <c r="T52" s="45"/>
      <c r="U52" s="46"/>
      <c r="V52" s="46"/>
      <c r="W52" s="47"/>
      <c r="X52" s="46"/>
      <c r="Y52" s="46"/>
      <c r="Z52" s="46"/>
      <c r="AA52" s="46"/>
      <c r="AB52" s="47"/>
      <c r="AC52" s="62" t="str">
        <v/>
      </c>
      <c r="AD52" s="62" t="str">
        <v/>
      </c>
      <c r="AE52" s="62" t="str">
        <v/>
      </c>
      <c r="AF52" s="62" t="str">
        <v/>
      </c>
      <c r="AG52" s="63" t="str">
        <v/>
      </c>
      <c r="AH52" s="61" t="str">
        <v/>
      </c>
      <c r="AI52" s="61" t="str">
        <v/>
      </c>
      <c r="AJ52" s="64" t="str">
        <v/>
      </c>
      <c r="AK52" s="61" t="str">
        <v/>
      </c>
      <c r="AL52" s="61" t="str">
        <v/>
      </c>
      <c r="AM52" s="61" t="str">
        <v/>
      </c>
      <c r="AN52" s="61" t="str">
        <v/>
      </c>
      <c r="AO52" s="61" t="str">
        <v/>
      </c>
      <c r="AP52" s="42"/>
      <c r="AQ52" s="76"/>
      <c r="AR52" s="74"/>
      <c r="AS52" s="74" t="str">
        <v/>
      </c>
      <c r="AT52" s="72" t="str">
        <v/>
      </c>
      <c r="AU52" s="73"/>
      <c r="AV52" s="65" t="str">
        <v/>
      </c>
      <c r="AW52" s="62" t="str">
        <v/>
      </c>
      <c r="AX52" s="62" t="str">
        <v/>
      </c>
      <c r="AY52" s="66" t="str">
        <v/>
      </c>
      <c r="AZ52" s="61" t="str">
        <v/>
      </c>
      <c r="BA52" s="61" t="str">
        <v/>
      </c>
      <c r="BB52" s="61" t="str">
        <v/>
      </c>
      <c r="BC52" s="64" t="str">
        <v/>
      </c>
      <c r="BD52" s="61" t="str">
        <v/>
      </c>
      <c r="BE52" s="61" t="str">
        <v/>
      </c>
      <c r="BF52" s="61" t="str">
        <v/>
      </c>
      <c r="BG52" s="61" t="str">
        <v/>
      </c>
      <c r="BH52" s="61" t="str">
        <v/>
      </c>
      <c r="BI52" s="42"/>
      <c r="BJ52" s="67"/>
      <c r="BK52" s="60"/>
      <c r="BL52" s="60" t="str">
        <v/>
      </c>
      <c r="BM52" s="60" t="str">
        <v/>
      </c>
      <c r="BN52" s="60" t="str">
        <v/>
      </c>
      <c r="BO52" s="60" t="str">
        <v/>
      </c>
      <c r="BP52" s="60" t="str">
        <v/>
      </c>
      <c r="BQ52" s="60" t="str">
        <v/>
      </c>
      <c r="BR52" s="60" t="str">
        <v/>
      </c>
      <c r="BS52" s="60" t="str">
        <v/>
      </c>
      <c r="BT52" s="68" t="str">
        <v/>
      </c>
      <c r="BU52" s="42"/>
      <c r="BV52" s="62" t="str">
        <v/>
      </c>
      <c r="BW52" s="62" t="str">
        <v/>
      </c>
      <c r="BX52" s="62" t="str">
        <v/>
      </c>
      <c r="BY52" s="62" t="str">
        <v/>
      </c>
      <c r="BZ52" s="62" t="str">
        <v/>
      </c>
      <c r="CA52" s="62" t="str">
        <v/>
      </c>
      <c r="CB52" s="62" t="str">
        <v/>
      </c>
      <c r="CC52" s="62" t="str">
        <v/>
      </c>
      <c r="CD52" s="62" t="str">
        <v/>
      </c>
      <c r="CE52" s="122" t="str">
        <v/>
      </c>
      <c r="CF52" s="62" t="str">
        <v/>
      </c>
      <c r="CG52" s="62" t="str">
        <v/>
      </c>
      <c r="CH52" s="62" t="str">
        <v/>
      </c>
      <c r="CI52" s="62" t="str">
        <v/>
      </c>
      <c r="CJ52" s="62" t="str">
        <v/>
      </c>
      <c r="CK52" s="62" t="str">
        <v/>
      </c>
      <c r="CL52" s="62" t="str">
        <v/>
      </c>
      <c r="CM52" s="62" t="str">
        <v/>
      </c>
      <c r="CN52" s="130" t="str">
        <v/>
      </c>
    </row>
    <row r="53" spans="1:92">
      <c r="A53" s="39"/>
      <c r="B53" s="75"/>
      <c r="C53" s="41"/>
      <c r="D53" s="41"/>
      <c r="E53" s="41"/>
      <c r="F53" s="42"/>
      <c r="G53" s="61" t="str">
        <v/>
      </c>
      <c r="H53" s="61" t="str">
        <v/>
      </c>
      <c r="I53" s="42"/>
      <c r="J53" s="61" t="str">
        <v/>
      </c>
      <c r="K53" s="61" t="str">
        <v/>
      </c>
      <c r="L53" s="61" t="str">
        <v/>
      </c>
      <c r="M53" s="61" t="str">
        <v/>
      </c>
      <c r="N53" s="62" t="str">
        <v/>
      </c>
      <c r="O53" s="61" t="str">
        <v/>
      </c>
      <c r="P53" s="61" t="str">
        <v/>
      </c>
      <c r="Q53" s="61" t="str">
        <v/>
      </c>
      <c r="R53" s="61" t="str">
        <v/>
      </c>
      <c r="S53" s="61" t="str">
        <v/>
      </c>
      <c r="T53" s="45"/>
      <c r="U53" s="46"/>
      <c r="V53" s="46"/>
      <c r="W53" s="47"/>
      <c r="X53" s="46"/>
      <c r="Y53" s="46"/>
      <c r="Z53" s="46"/>
      <c r="AA53" s="46"/>
      <c r="AB53" s="47"/>
      <c r="AC53" s="62" t="str">
        <v/>
      </c>
      <c r="AD53" s="62" t="str">
        <v/>
      </c>
      <c r="AE53" s="62" t="str">
        <v/>
      </c>
      <c r="AF53" s="62" t="str">
        <v/>
      </c>
      <c r="AG53" s="63" t="str">
        <v/>
      </c>
      <c r="AH53" s="61" t="str">
        <v/>
      </c>
      <c r="AI53" s="61" t="str">
        <v/>
      </c>
      <c r="AJ53" s="64" t="str">
        <v/>
      </c>
      <c r="AK53" s="61" t="str">
        <v/>
      </c>
      <c r="AL53" s="61" t="str">
        <v/>
      </c>
      <c r="AM53" s="61" t="str">
        <v/>
      </c>
      <c r="AN53" s="61" t="str">
        <v/>
      </c>
      <c r="AO53" s="61" t="str">
        <v/>
      </c>
      <c r="AP53" s="42"/>
      <c r="AQ53" s="76"/>
      <c r="AR53" s="74"/>
      <c r="AS53" s="74" t="str">
        <v/>
      </c>
      <c r="AT53" s="72" t="str">
        <v/>
      </c>
      <c r="AU53" s="73"/>
      <c r="AV53" s="65" t="str">
        <v/>
      </c>
      <c r="AW53" s="62" t="str">
        <v/>
      </c>
      <c r="AX53" s="62" t="str">
        <v/>
      </c>
      <c r="AY53" s="66" t="str">
        <v/>
      </c>
      <c r="AZ53" s="61" t="str">
        <v/>
      </c>
      <c r="BA53" s="61" t="str">
        <v/>
      </c>
      <c r="BB53" s="61" t="str">
        <v/>
      </c>
      <c r="BC53" s="64" t="str">
        <v/>
      </c>
      <c r="BD53" s="61" t="str">
        <v/>
      </c>
      <c r="BE53" s="61" t="str">
        <v/>
      </c>
      <c r="BF53" s="61" t="str">
        <v/>
      </c>
      <c r="BG53" s="61" t="str">
        <v/>
      </c>
      <c r="BH53" s="61" t="str">
        <v/>
      </c>
      <c r="BI53" s="42"/>
      <c r="BJ53" s="67"/>
      <c r="BK53" s="60"/>
      <c r="BL53" s="60" t="str">
        <v/>
      </c>
      <c r="BM53" s="60" t="str">
        <v/>
      </c>
      <c r="BN53" s="60" t="str">
        <v/>
      </c>
      <c r="BO53" s="60" t="str">
        <v/>
      </c>
      <c r="BP53" s="60" t="str">
        <v/>
      </c>
      <c r="BQ53" s="60" t="str">
        <v/>
      </c>
      <c r="BR53" s="60" t="str">
        <v/>
      </c>
      <c r="BS53" s="60" t="str">
        <v/>
      </c>
      <c r="BT53" s="68" t="str">
        <v/>
      </c>
      <c r="BU53" s="42"/>
      <c r="BV53" s="62" t="str">
        <v/>
      </c>
      <c r="BW53" s="62" t="str">
        <v/>
      </c>
      <c r="BX53" s="62" t="str">
        <v/>
      </c>
      <c r="BY53" s="62" t="str">
        <v/>
      </c>
      <c r="BZ53" s="62" t="str">
        <v/>
      </c>
      <c r="CA53" s="62" t="str">
        <v/>
      </c>
      <c r="CB53" s="62" t="str">
        <v/>
      </c>
      <c r="CC53" s="62" t="str">
        <v/>
      </c>
      <c r="CD53" s="62" t="str">
        <v/>
      </c>
      <c r="CE53" s="122" t="str">
        <v/>
      </c>
      <c r="CF53" s="62" t="str">
        <v/>
      </c>
      <c r="CG53" s="62" t="str">
        <v/>
      </c>
      <c r="CH53" s="62" t="str">
        <v/>
      </c>
      <c r="CI53" s="62" t="str">
        <v/>
      </c>
      <c r="CJ53" s="62" t="str">
        <v/>
      </c>
      <c r="CK53" s="62" t="str">
        <v/>
      </c>
      <c r="CL53" s="62" t="str">
        <v/>
      </c>
      <c r="CM53" s="62" t="str">
        <v/>
      </c>
      <c r="CN53" s="130" t="str">
        <v/>
      </c>
    </row>
    <row r="54" spans="1:92">
      <c r="A54" s="39"/>
      <c r="B54" s="75"/>
      <c r="C54" s="41"/>
      <c r="D54" s="41"/>
      <c r="E54" s="41"/>
      <c r="F54" s="42"/>
      <c r="G54" s="61" t="str">
        <v/>
      </c>
      <c r="H54" s="61" t="str">
        <v/>
      </c>
      <c r="I54" s="42"/>
      <c r="J54" s="61" t="str">
        <v/>
      </c>
      <c r="K54" s="61" t="str">
        <v/>
      </c>
      <c r="L54" s="61" t="str">
        <v/>
      </c>
      <c r="M54" s="61" t="str">
        <v/>
      </c>
      <c r="N54" s="62" t="str">
        <v/>
      </c>
      <c r="O54" s="61" t="str">
        <v/>
      </c>
      <c r="P54" s="61" t="str">
        <v/>
      </c>
      <c r="Q54" s="61" t="str">
        <v/>
      </c>
      <c r="R54" s="61" t="str">
        <v/>
      </c>
      <c r="S54" s="61" t="str">
        <v/>
      </c>
      <c r="T54" s="45"/>
      <c r="U54" s="46"/>
      <c r="V54" s="46"/>
      <c r="W54" s="47"/>
      <c r="X54" s="46"/>
      <c r="Y54" s="46"/>
      <c r="Z54" s="46"/>
      <c r="AA54" s="46"/>
      <c r="AB54" s="47"/>
      <c r="AC54" s="62" t="str">
        <v/>
      </c>
      <c r="AD54" s="62" t="str">
        <v/>
      </c>
      <c r="AE54" s="62" t="str">
        <v/>
      </c>
      <c r="AF54" s="62" t="str">
        <v/>
      </c>
      <c r="AG54" s="63" t="str">
        <v/>
      </c>
      <c r="AH54" s="61" t="str">
        <v/>
      </c>
      <c r="AI54" s="61" t="str">
        <v/>
      </c>
      <c r="AJ54" s="64" t="str">
        <v/>
      </c>
      <c r="AK54" s="61" t="str">
        <v/>
      </c>
      <c r="AL54" s="61" t="str">
        <v/>
      </c>
      <c r="AM54" s="61" t="str">
        <v/>
      </c>
      <c r="AN54" s="61" t="str">
        <v/>
      </c>
      <c r="AO54" s="61" t="str">
        <v/>
      </c>
      <c r="AP54" s="42"/>
      <c r="AQ54" s="76"/>
      <c r="AR54" s="74"/>
      <c r="AS54" s="74" t="str">
        <v/>
      </c>
      <c r="AT54" s="72" t="str">
        <v/>
      </c>
      <c r="AU54" s="73"/>
      <c r="AV54" s="65" t="str">
        <v/>
      </c>
      <c r="AW54" s="62" t="str">
        <v/>
      </c>
      <c r="AX54" s="62" t="str">
        <v/>
      </c>
      <c r="AY54" s="66" t="str">
        <v/>
      </c>
      <c r="AZ54" s="61" t="str">
        <v/>
      </c>
      <c r="BA54" s="61" t="str">
        <v/>
      </c>
      <c r="BB54" s="61" t="str">
        <v/>
      </c>
      <c r="BC54" s="64" t="str">
        <v/>
      </c>
      <c r="BD54" s="61" t="str">
        <v/>
      </c>
      <c r="BE54" s="61" t="str">
        <v/>
      </c>
      <c r="BF54" s="61" t="str">
        <v/>
      </c>
      <c r="BG54" s="61" t="str">
        <v/>
      </c>
      <c r="BH54" s="61" t="str">
        <v/>
      </c>
      <c r="BI54" s="42"/>
      <c r="BJ54" s="67"/>
      <c r="BK54" s="60"/>
      <c r="BL54" s="60" t="str">
        <v/>
      </c>
      <c r="BM54" s="60" t="str">
        <v/>
      </c>
      <c r="BN54" s="60" t="str">
        <v/>
      </c>
      <c r="BO54" s="60" t="str">
        <v/>
      </c>
      <c r="BP54" s="60" t="str">
        <v/>
      </c>
      <c r="BQ54" s="60" t="str">
        <v/>
      </c>
      <c r="BR54" s="60" t="str">
        <v/>
      </c>
      <c r="BS54" s="60" t="str">
        <v/>
      </c>
      <c r="BT54" s="68" t="str">
        <v/>
      </c>
      <c r="BU54" s="42"/>
      <c r="BV54" s="62" t="str">
        <v/>
      </c>
      <c r="BW54" s="62" t="str">
        <v/>
      </c>
      <c r="BX54" s="62" t="str">
        <v/>
      </c>
      <c r="BY54" s="62" t="str">
        <v/>
      </c>
      <c r="BZ54" s="62" t="str">
        <v/>
      </c>
      <c r="CA54" s="62" t="str">
        <v/>
      </c>
      <c r="CB54" s="62" t="str">
        <v/>
      </c>
      <c r="CC54" s="62" t="str">
        <v/>
      </c>
      <c r="CD54" s="62" t="str">
        <v/>
      </c>
      <c r="CE54" s="122" t="str">
        <v/>
      </c>
      <c r="CF54" s="62" t="str">
        <v/>
      </c>
      <c r="CG54" s="62" t="str">
        <v/>
      </c>
      <c r="CH54" s="62" t="str">
        <v/>
      </c>
      <c r="CI54" s="62" t="str">
        <v/>
      </c>
      <c r="CJ54" s="62" t="str">
        <v/>
      </c>
      <c r="CK54" s="62" t="str">
        <v/>
      </c>
      <c r="CL54" s="62" t="str">
        <v/>
      </c>
      <c r="CM54" s="62" t="str">
        <v/>
      </c>
      <c r="CN54" s="130" t="str">
        <v/>
      </c>
    </row>
    <row r="55" spans="1:92">
      <c r="A55" s="39"/>
      <c r="B55" s="75"/>
      <c r="C55" s="41"/>
      <c r="D55" s="41"/>
      <c r="E55" s="41"/>
      <c r="F55" s="42"/>
      <c r="G55" s="61" t="str">
        <v/>
      </c>
      <c r="H55" s="61" t="str">
        <v/>
      </c>
      <c r="I55" s="42"/>
      <c r="J55" s="61" t="str">
        <v/>
      </c>
      <c r="K55" s="61" t="str">
        <v/>
      </c>
      <c r="L55" s="61" t="str">
        <v/>
      </c>
      <c r="M55" s="61" t="str">
        <v/>
      </c>
      <c r="N55" s="62" t="str">
        <v/>
      </c>
      <c r="O55" s="61" t="str">
        <v/>
      </c>
      <c r="P55" s="61" t="str">
        <v/>
      </c>
      <c r="Q55" s="61" t="str">
        <v/>
      </c>
      <c r="R55" s="61" t="str">
        <v/>
      </c>
      <c r="S55" s="61" t="str">
        <v/>
      </c>
      <c r="T55" s="45"/>
      <c r="U55" s="46"/>
      <c r="V55" s="46"/>
      <c r="W55" s="47"/>
      <c r="X55" s="46"/>
      <c r="Y55" s="46"/>
      <c r="Z55" s="46"/>
      <c r="AA55" s="46"/>
      <c r="AB55" s="47"/>
      <c r="AC55" s="62" t="str">
        <v/>
      </c>
      <c r="AD55" s="62" t="str">
        <v/>
      </c>
      <c r="AE55" s="62" t="str">
        <v/>
      </c>
      <c r="AF55" s="62" t="str">
        <v/>
      </c>
      <c r="AG55" s="63" t="str">
        <v/>
      </c>
      <c r="AH55" s="61" t="str">
        <v/>
      </c>
      <c r="AI55" s="61" t="str">
        <v/>
      </c>
      <c r="AJ55" s="64" t="str">
        <v/>
      </c>
      <c r="AK55" s="61" t="str">
        <v/>
      </c>
      <c r="AL55" s="61" t="str">
        <v/>
      </c>
      <c r="AM55" s="61" t="str">
        <v/>
      </c>
      <c r="AN55" s="61" t="str">
        <v/>
      </c>
      <c r="AO55" s="61" t="str">
        <v/>
      </c>
      <c r="AP55" s="42"/>
      <c r="AQ55" s="76"/>
      <c r="AR55" s="74"/>
      <c r="AS55" s="74" t="str">
        <v/>
      </c>
      <c r="AT55" s="72" t="str">
        <v/>
      </c>
      <c r="AU55" s="73"/>
      <c r="AV55" s="65" t="str">
        <v/>
      </c>
      <c r="AW55" s="62" t="str">
        <v/>
      </c>
      <c r="AX55" s="62" t="str">
        <v/>
      </c>
      <c r="AY55" s="66" t="str">
        <v/>
      </c>
      <c r="AZ55" s="61" t="str">
        <v/>
      </c>
      <c r="BA55" s="61" t="str">
        <v/>
      </c>
      <c r="BB55" s="61" t="str">
        <v/>
      </c>
      <c r="BC55" s="64" t="str">
        <v/>
      </c>
      <c r="BD55" s="61" t="str">
        <v/>
      </c>
      <c r="BE55" s="61" t="str">
        <v/>
      </c>
      <c r="BF55" s="61" t="str">
        <v/>
      </c>
      <c r="BG55" s="61" t="str">
        <v/>
      </c>
      <c r="BH55" s="61" t="str">
        <v/>
      </c>
      <c r="BI55" s="42"/>
      <c r="BJ55" s="67"/>
      <c r="BK55" s="60"/>
      <c r="BL55" s="60" t="str">
        <v/>
      </c>
      <c r="BM55" s="60" t="str">
        <v/>
      </c>
      <c r="BN55" s="60" t="str">
        <v/>
      </c>
      <c r="BO55" s="60" t="str">
        <v/>
      </c>
      <c r="BP55" s="60" t="str">
        <v/>
      </c>
      <c r="BQ55" s="60" t="str">
        <v/>
      </c>
      <c r="BR55" s="60" t="str">
        <v/>
      </c>
      <c r="BS55" s="60" t="str">
        <v/>
      </c>
      <c r="BT55" s="68" t="str">
        <v/>
      </c>
      <c r="BU55" s="42"/>
      <c r="BV55" s="62" t="str">
        <v/>
      </c>
      <c r="BW55" s="62" t="str">
        <v/>
      </c>
      <c r="BX55" s="62" t="str">
        <v/>
      </c>
      <c r="BY55" s="62" t="str">
        <v/>
      </c>
      <c r="BZ55" s="62" t="str">
        <v/>
      </c>
      <c r="CA55" s="62" t="str">
        <v/>
      </c>
      <c r="CB55" s="62" t="str">
        <v/>
      </c>
      <c r="CC55" s="62" t="str">
        <v/>
      </c>
      <c r="CD55" s="62" t="str">
        <v/>
      </c>
      <c r="CE55" s="122" t="str">
        <v/>
      </c>
      <c r="CF55" s="62" t="str">
        <v/>
      </c>
      <c r="CG55" s="62" t="str">
        <v/>
      </c>
      <c r="CH55" s="62" t="str">
        <v/>
      </c>
      <c r="CI55" s="62" t="str">
        <v/>
      </c>
      <c r="CJ55" s="62" t="str">
        <v/>
      </c>
      <c r="CK55" s="62" t="str">
        <v/>
      </c>
      <c r="CL55" s="62" t="str">
        <v/>
      </c>
      <c r="CM55" s="62" t="str">
        <v/>
      </c>
      <c r="CN55" s="130" t="str">
        <v/>
      </c>
    </row>
    <row r="56" spans="1:92">
      <c r="A56" s="39"/>
      <c r="B56" s="75"/>
      <c r="C56" s="41"/>
      <c r="D56" s="41"/>
      <c r="E56" s="41"/>
      <c r="F56" s="42"/>
      <c r="G56" s="61" t="str">
        <v/>
      </c>
      <c r="H56" s="61" t="str">
        <v/>
      </c>
      <c r="I56" s="42"/>
      <c r="J56" s="61" t="str">
        <v/>
      </c>
      <c r="K56" s="61" t="str">
        <v/>
      </c>
      <c r="L56" s="61" t="str">
        <v/>
      </c>
      <c r="M56" s="61" t="str">
        <v/>
      </c>
      <c r="N56" s="62" t="str">
        <v/>
      </c>
      <c r="O56" s="61" t="str">
        <v/>
      </c>
      <c r="P56" s="61" t="str">
        <v/>
      </c>
      <c r="Q56" s="61" t="str">
        <v/>
      </c>
      <c r="R56" s="61" t="str">
        <v/>
      </c>
      <c r="S56" s="61" t="str">
        <v/>
      </c>
      <c r="T56" s="45"/>
      <c r="U56" s="46"/>
      <c r="V56" s="46"/>
      <c r="W56" s="47"/>
      <c r="X56" s="46"/>
      <c r="Y56" s="46"/>
      <c r="Z56" s="46"/>
      <c r="AA56" s="46"/>
      <c r="AB56" s="47"/>
      <c r="AC56" s="62" t="str">
        <v/>
      </c>
      <c r="AD56" s="62" t="str">
        <v/>
      </c>
      <c r="AE56" s="62" t="str">
        <v/>
      </c>
      <c r="AF56" s="62" t="str">
        <v/>
      </c>
      <c r="AG56" s="63" t="str">
        <v/>
      </c>
      <c r="AH56" s="61" t="str">
        <v/>
      </c>
      <c r="AI56" s="61" t="str">
        <v/>
      </c>
      <c r="AJ56" s="64" t="str">
        <v/>
      </c>
      <c r="AK56" s="61" t="str">
        <v/>
      </c>
      <c r="AL56" s="61" t="str">
        <v/>
      </c>
      <c r="AM56" s="61" t="str">
        <v/>
      </c>
      <c r="AN56" s="61" t="str">
        <v/>
      </c>
      <c r="AO56" s="61" t="str">
        <v/>
      </c>
      <c r="AP56" s="42"/>
      <c r="AQ56" s="76"/>
      <c r="AR56" s="74"/>
      <c r="AS56" s="74" t="str">
        <v/>
      </c>
      <c r="AT56" s="72" t="str">
        <v/>
      </c>
      <c r="AU56" s="73"/>
      <c r="AV56" s="65" t="str">
        <v/>
      </c>
      <c r="AW56" s="62" t="str">
        <v/>
      </c>
      <c r="AX56" s="62" t="str">
        <v/>
      </c>
      <c r="AY56" s="66" t="str">
        <v/>
      </c>
      <c r="AZ56" s="61" t="str">
        <v/>
      </c>
      <c r="BA56" s="61" t="str">
        <v/>
      </c>
      <c r="BB56" s="61" t="str">
        <v/>
      </c>
      <c r="BC56" s="64" t="str">
        <v/>
      </c>
      <c r="BD56" s="61" t="str">
        <v/>
      </c>
      <c r="BE56" s="61" t="str">
        <v/>
      </c>
      <c r="BF56" s="61" t="str">
        <v/>
      </c>
      <c r="BG56" s="61" t="str">
        <v/>
      </c>
      <c r="BH56" s="61" t="str">
        <v/>
      </c>
      <c r="BI56" s="42"/>
      <c r="BJ56" s="67"/>
      <c r="BK56" s="60"/>
      <c r="BL56" s="60" t="str">
        <v/>
      </c>
      <c r="BM56" s="60" t="str">
        <v/>
      </c>
      <c r="BN56" s="60" t="str">
        <v/>
      </c>
      <c r="BO56" s="60" t="str">
        <v/>
      </c>
      <c r="BP56" s="60" t="str">
        <v/>
      </c>
      <c r="BQ56" s="60" t="str">
        <v/>
      </c>
      <c r="BR56" s="60" t="str">
        <v/>
      </c>
      <c r="BS56" s="60" t="str">
        <v/>
      </c>
      <c r="BT56" s="68" t="str">
        <v/>
      </c>
      <c r="BU56" s="42"/>
      <c r="BV56" s="62" t="str">
        <v/>
      </c>
      <c r="BW56" s="62" t="str">
        <v/>
      </c>
      <c r="BX56" s="62" t="str">
        <v/>
      </c>
      <c r="BY56" s="62" t="str">
        <v/>
      </c>
      <c r="BZ56" s="62" t="str">
        <v/>
      </c>
      <c r="CA56" s="62" t="str">
        <v/>
      </c>
      <c r="CB56" s="62" t="str">
        <v/>
      </c>
      <c r="CC56" s="62" t="str">
        <v/>
      </c>
      <c r="CD56" s="62" t="str">
        <v/>
      </c>
      <c r="CE56" s="122" t="str">
        <v/>
      </c>
      <c r="CF56" s="62" t="str">
        <v/>
      </c>
      <c r="CG56" s="62" t="str">
        <v/>
      </c>
      <c r="CH56" s="62" t="str">
        <v/>
      </c>
      <c r="CI56" s="62" t="str">
        <v/>
      </c>
      <c r="CJ56" s="62" t="str">
        <v/>
      </c>
      <c r="CK56" s="62" t="str">
        <v/>
      </c>
      <c r="CL56" s="62" t="str">
        <v/>
      </c>
      <c r="CM56" s="62" t="str">
        <v/>
      </c>
      <c r="CN56" s="130" t="str">
        <v/>
      </c>
    </row>
    <row r="57" spans="1:92">
      <c r="A57" s="39"/>
      <c r="B57" s="75"/>
      <c r="C57" s="41"/>
      <c r="D57" s="41"/>
      <c r="E57" s="41"/>
      <c r="F57" s="42"/>
      <c r="G57" s="61" t="str">
        <v/>
      </c>
      <c r="H57" s="61" t="str">
        <v/>
      </c>
      <c r="I57" s="42"/>
      <c r="J57" s="61" t="str">
        <v/>
      </c>
      <c r="K57" s="61" t="str">
        <v/>
      </c>
      <c r="L57" s="61" t="str">
        <v/>
      </c>
      <c r="M57" s="61" t="str">
        <v/>
      </c>
      <c r="N57" s="62" t="str">
        <v/>
      </c>
      <c r="O57" s="61" t="str">
        <v/>
      </c>
      <c r="P57" s="61" t="str">
        <v/>
      </c>
      <c r="Q57" s="61" t="str">
        <v/>
      </c>
      <c r="R57" s="61" t="str">
        <v/>
      </c>
      <c r="S57" s="61" t="str">
        <v/>
      </c>
      <c r="T57" s="45"/>
      <c r="U57" s="46"/>
      <c r="V57" s="46"/>
      <c r="W57" s="47"/>
      <c r="X57" s="46"/>
      <c r="Y57" s="46"/>
      <c r="Z57" s="46"/>
      <c r="AA57" s="46"/>
      <c r="AB57" s="47"/>
      <c r="AC57" s="62" t="str">
        <v/>
      </c>
      <c r="AD57" s="62" t="str">
        <v/>
      </c>
      <c r="AE57" s="62" t="str">
        <v/>
      </c>
      <c r="AF57" s="62" t="str">
        <v/>
      </c>
      <c r="AG57" s="63" t="str">
        <v/>
      </c>
      <c r="AH57" s="61" t="str">
        <v/>
      </c>
      <c r="AI57" s="61" t="str">
        <v/>
      </c>
      <c r="AJ57" s="64" t="str">
        <v/>
      </c>
      <c r="AK57" s="61" t="str">
        <v/>
      </c>
      <c r="AL57" s="61" t="str">
        <v/>
      </c>
      <c r="AM57" s="61" t="str">
        <v/>
      </c>
      <c r="AN57" s="61" t="str">
        <v/>
      </c>
      <c r="AO57" s="61" t="str">
        <v/>
      </c>
      <c r="AP57" s="42"/>
      <c r="AQ57" s="76"/>
      <c r="AR57" s="74"/>
      <c r="AS57" s="74" t="str">
        <v/>
      </c>
      <c r="AT57" s="72" t="str">
        <v/>
      </c>
      <c r="AU57" s="73"/>
      <c r="AV57" s="65" t="str">
        <v/>
      </c>
      <c r="AW57" s="62" t="str">
        <v/>
      </c>
      <c r="AX57" s="62" t="str">
        <v/>
      </c>
      <c r="AY57" s="66" t="str">
        <v/>
      </c>
      <c r="AZ57" s="61" t="str">
        <v/>
      </c>
      <c r="BA57" s="61" t="str">
        <v/>
      </c>
      <c r="BB57" s="61" t="str">
        <v/>
      </c>
      <c r="BC57" s="64" t="str">
        <v/>
      </c>
      <c r="BD57" s="61" t="str">
        <v/>
      </c>
      <c r="BE57" s="61" t="str">
        <v/>
      </c>
      <c r="BF57" s="61" t="str">
        <v/>
      </c>
      <c r="BG57" s="61" t="str">
        <v/>
      </c>
      <c r="BH57" s="61" t="str">
        <v/>
      </c>
      <c r="BI57" s="42"/>
      <c r="BJ57" s="67"/>
      <c r="BK57" s="60"/>
      <c r="BL57" s="60" t="str">
        <v/>
      </c>
      <c r="BM57" s="60" t="str">
        <v/>
      </c>
      <c r="BN57" s="60" t="str">
        <v/>
      </c>
      <c r="BO57" s="60" t="str">
        <v/>
      </c>
      <c r="BP57" s="60" t="str">
        <v/>
      </c>
      <c r="BQ57" s="60" t="str">
        <v/>
      </c>
      <c r="BR57" s="60" t="str">
        <v/>
      </c>
      <c r="BS57" s="60" t="str">
        <v/>
      </c>
      <c r="BT57" s="68" t="str">
        <v/>
      </c>
      <c r="BU57" s="42"/>
      <c r="BV57" s="62" t="str">
        <v/>
      </c>
      <c r="BW57" s="62" t="str">
        <v/>
      </c>
      <c r="BX57" s="62" t="str">
        <v/>
      </c>
      <c r="BY57" s="62" t="str">
        <v/>
      </c>
      <c r="BZ57" s="62" t="str">
        <v/>
      </c>
      <c r="CA57" s="62" t="str">
        <v/>
      </c>
      <c r="CB57" s="62" t="str">
        <v/>
      </c>
      <c r="CC57" s="62" t="str">
        <v/>
      </c>
      <c r="CD57" s="62" t="str">
        <v/>
      </c>
      <c r="CE57" s="122" t="str">
        <v/>
      </c>
      <c r="CF57" s="62" t="str">
        <v/>
      </c>
      <c r="CG57" s="62" t="str">
        <v/>
      </c>
      <c r="CH57" s="62" t="str">
        <v/>
      </c>
      <c r="CI57" s="62" t="str">
        <v/>
      </c>
      <c r="CJ57" s="62" t="str">
        <v/>
      </c>
      <c r="CK57" s="62" t="str">
        <v/>
      </c>
      <c r="CL57" s="62" t="str">
        <v/>
      </c>
      <c r="CM57" s="62" t="str">
        <v/>
      </c>
      <c r="CN57" s="130" t="str">
        <v/>
      </c>
    </row>
    <row r="58" spans="1:92">
      <c r="A58" s="39"/>
      <c r="B58" s="75"/>
      <c r="C58" s="41"/>
      <c r="D58" s="41"/>
      <c r="E58" s="41"/>
      <c r="F58" s="42"/>
      <c r="G58" s="61" t="str">
        <v/>
      </c>
      <c r="H58" s="61" t="str">
        <v/>
      </c>
      <c r="I58" s="42"/>
      <c r="J58" s="61" t="str">
        <v/>
      </c>
      <c r="K58" s="61" t="str">
        <v/>
      </c>
      <c r="L58" s="61" t="str">
        <v/>
      </c>
      <c r="M58" s="61" t="str">
        <v/>
      </c>
      <c r="N58" s="62" t="str">
        <v/>
      </c>
      <c r="O58" s="61" t="str">
        <v/>
      </c>
      <c r="P58" s="61" t="str">
        <v/>
      </c>
      <c r="Q58" s="61" t="str">
        <v/>
      </c>
      <c r="R58" s="61" t="str">
        <v/>
      </c>
      <c r="S58" s="61" t="str">
        <v/>
      </c>
      <c r="T58" s="45"/>
      <c r="U58" s="46"/>
      <c r="V58" s="46"/>
      <c r="W58" s="47"/>
      <c r="X58" s="46"/>
      <c r="Y58" s="46"/>
      <c r="Z58" s="46"/>
      <c r="AA58" s="46"/>
      <c r="AB58" s="47"/>
      <c r="AC58" s="62" t="str">
        <v/>
      </c>
      <c r="AD58" s="62" t="str">
        <v/>
      </c>
      <c r="AE58" s="62" t="str">
        <v/>
      </c>
      <c r="AF58" s="62" t="str">
        <v/>
      </c>
      <c r="AG58" s="63" t="str">
        <v/>
      </c>
      <c r="AH58" s="61" t="str">
        <v/>
      </c>
      <c r="AI58" s="61" t="str">
        <v/>
      </c>
      <c r="AJ58" s="64" t="str">
        <v/>
      </c>
      <c r="AK58" s="61" t="str">
        <v/>
      </c>
      <c r="AL58" s="61" t="str">
        <v/>
      </c>
      <c r="AM58" s="61" t="str">
        <v/>
      </c>
      <c r="AN58" s="61" t="str">
        <v/>
      </c>
      <c r="AO58" s="61" t="str">
        <v/>
      </c>
      <c r="AP58" s="42"/>
      <c r="AQ58" s="76"/>
      <c r="AR58" s="74"/>
      <c r="AS58" s="74" t="str">
        <v/>
      </c>
      <c r="AT58" s="72" t="str">
        <v/>
      </c>
      <c r="AU58" s="73"/>
      <c r="AV58" s="65" t="str">
        <v/>
      </c>
      <c r="AW58" s="62" t="str">
        <v/>
      </c>
      <c r="AX58" s="62" t="str">
        <v/>
      </c>
      <c r="AY58" s="66" t="str">
        <v/>
      </c>
      <c r="AZ58" s="61" t="str">
        <v/>
      </c>
      <c r="BA58" s="61" t="str">
        <v/>
      </c>
      <c r="BB58" s="61" t="str">
        <v/>
      </c>
      <c r="BC58" s="64" t="str">
        <v/>
      </c>
      <c r="BD58" s="61" t="str">
        <v/>
      </c>
      <c r="BE58" s="61" t="str">
        <v/>
      </c>
      <c r="BF58" s="61" t="str">
        <v/>
      </c>
      <c r="BG58" s="61" t="str">
        <v/>
      </c>
      <c r="BH58" s="61" t="str">
        <v/>
      </c>
      <c r="BI58" s="42"/>
      <c r="BJ58" s="67"/>
      <c r="BK58" s="60"/>
      <c r="BL58" s="60" t="str">
        <v/>
      </c>
      <c r="BM58" s="60" t="str">
        <v/>
      </c>
      <c r="BN58" s="60" t="str">
        <v/>
      </c>
      <c r="BO58" s="60" t="str">
        <v/>
      </c>
      <c r="BP58" s="60" t="str">
        <v/>
      </c>
      <c r="BQ58" s="60" t="str">
        <v/>
      </c>
      <c r="BR58" s="60" t="str">
        <v/>
      </c>
      <c r="BS58" s="60" t="str">
        <v/>
      </c>
      <c r="BT58" s="68" t="str">
        <v/>
      </c>
      <c r="BU58" s="42"/>
      <c r="BV58" s="62" t="str">
        <v/>
      </c>
      <c r="BW58" s="62" t="str">
        <v/>
      </c>
      <c r="BX58" s="62" t="str">
        <v/>
      </c>
      <c r="BY58" s="62" t="str">
        <v/>
      </c>
      <c r="BZ58" s="62" t="str">
        <v/>
      </c>
      <c r="CA58" s="62" t="str">
        <v/>
      </c>
      <c r="CB58" s="62" t="str">
        <v/>
      </c>
      <c r="CC58" s="62" t="str">
        <v/>
      </c>
      <c r="CD58" s="62" t="str">
        <v/>
      </c>
      <c r="CE58" s="122" t="str">
        <v/>
      </c>
      <c r="CF58" s="62" t="str">
        <v/>
      </c>
      <c r="CG58" s="62" t="str">
        <v/>
      </c>
      <c r="CH58" s="62" t="str">
        <v/>
      </c>
      <c r="CI58" s="62" t="str">
        <v/>
      </c>
      <c r="CJ58" s="62" t="str">
        <v/>
      </c>
      <c r="CK58" s="62" t="str">
        <v/>
      </c>
      <c r="CL58" s="62" t="str">
        <v/>
      </c>
      <c r="CM58" s="62" t="str">
        <v/>
      </c>
      <c r="CN58" s="130" t="str">
        <v/>
      </c>
    </row>
    <row r="59" spans="1:92">
      <c r="A59" s="39"/>
      <c r="B59" s="75"/>
      <c r="C59" s="41"/>
      <c r="D59" s="41"/>
      <c r="E59" s="41"/>
      <c r="F59" s="42"/>
      <c r="G59" s="61" t="str">
        <v/>
      </c>
      <c r="H59" s="61" t="str">
        <v/>
      </c>
      <c r="I59" s="42"/>
      <c r="J59" s="61" t="str">
        <v/>
      </c>
      <c r="K59" s="61" t="str">
        <v/>
      </c>
      <c r="L59" s="61" t="str">
        <v/>
      </c>
      <c r="M59" s="61" t="str">
        <v/>
      </c>
      <c r="N59" s="62" t="str">
        <v/>
      </c>
      <c r="O59" s="61" t="str">
        <v/>
      </c>
      <c r="P59" s="61" t="str">
        <v/>
      </c>
      <c r="Q59" s="61" t="str">
        <v/>
      </c>
      <c r="R59" s="61" t="str">
        <v/>
      </c>
      <c r="S59" s="61" t="str">
        <v/>
      </c>
      <c r="T59" s="45"/>
      <c r="U59" s="46"/>
      <c r="V59" s="46"/>
      <c r="W59" s="47"/>
      <c r="X59" s="46"/>
      <c r="Y59" s="46"/>
      <c r="Z59" s="46"/>
      <c r="AA59" s="46"/>
      <c r="AB59" s="47"/>
      <c r="AC59" s="62" t="str">
        <v/>
      </c>
      <c r="AD59" s="62" t="str">
        <v/>
      </c>
      <c r="AE59" s="62" t="str">
        <v/>
      </c>
      <c r="AF59" s="62" t="str">
        <v/>
      </c>
      <c r="AG59" s="63" t="str">
        <v/>
      </c>
      <c r="AH59" s="61" t="str">
        <v/>
      </c>
      <c r="AI59" s="61" t="str">
        <v/>
      </c>
      <c r="AJ59" s="64" t="str">
        <v/>
      </c>
      <c r="AK59" s="61" t="str">
        <v/>
      </c>
      <c r="AL59" s="61" t="str">
        <v/>
      </c>
      <c r="AM59" s="61" t="str">
        <v/>
      </c>
      <c r="AN59" s="61" t="str">
        <v/>
      </c>
      <c r="AO59" s="61" t="str">
        <v/>
      </c>
      <c r="AP59" s="42"/>
      <c r="AQ59" s="76"/>
      <c r="AR59" s="74"/>
      <c r="AS59" s="74" t="str">
        <v/>
      </c>
      <c r="AT59" s="72" t="str">
        <v/>
      </c>
      <c r="AU59" s="73"/>
      <c r="AV59" s="65" t="str">
        <v/>
      </c>
      <c r="AW59" s="62" t="str">
        <v/>
      </c>
      <c r="AX59" s="62" t="str">
        <v/>
      </c>
      <c r="AY59" s="66" t="str">
        <v/>
      </c>
      <c r="AZ59" s="61" t="str">
        <v/>
      </c>
      <c r="BA59" s="61" t="str">
        <v/>
      </c>
      <c r="BB59" s="61" t="str">
        <v/>
      </c>
      <c r="BC59" s="64" t="str">
        <v/>
      </c>
      <c r="BD59" s="61" t="str">
        <v/>
      </c>
      <c r="BE59" s="61" t="str">
        <v/>
      </c>
      <c r="BF59" s="61" t="str">
        <v/>
      </c>
      <c r="BG59" s="61" t="str">
        <v/>
      </c>
      <c r="BH59" s="61" t="str">
        <v/>
      </c>
      <c r="BI59" s="42"/>
      <c r="BJ59" s="67"/>
      <c r="BK59" s="60"/>
      <c r="BL59" s="60" t="str">
        <v/>
      </c>
      <c r="BM59" s="60" t="str">
        <v/>
      </c>
      <c r="BN59" s="60" t="str">
        <v/>
      </c>
      <c r="BO59" s="60" t="str">
        <v/>
      </c>
      <c r="BP59" s="60" t="str">
        <v/>
      </c>
      <c r="BQ59" s="60" t="str">
        <v/>
      </c>
      <c r="BR59" s="60" t="str">
        <v/>
      </c>
      <c r="BS59" s="60" t="str">
        <v/>
      </c>
      <c r="BT59" s="68" t="str">
        <v/>
      </c>
      <c r="BU59" s="42"/>
      <c r="BV59" s="62" t="str">
        <v/>
      </c>
      <c r="BW59" s="62" t="str">
        <v/>
      </c>
      <c r="BX59" s="62" t="str">
        <v/>
      </c>
      <c r="BY59" s="62" t="str">
        <v/>
      </c>
      <c r="BZ59" s="62" t="str">
        <v/>
      </c>
      <c r="CA59" s="62" t="str">
        <v/>
      </c>
      <c r="CB59" s="62" t="str">
        <v/>
      </c>
      <c r="CC59" s="62" t="str">
        <v/>
      </c>
      <c r="CD59" s="62" t="str">
        <v/>
      </c>
      <c r="CE59" s="122" t="str">
        <v/>
      </c>
      <c r="CF59" s="62" t="str">
        <v/>
      </c>
      <c r="CG59" s="62" t="str">
        <v/>
      </c>
      <c r="CH59" s="62" t="str">
        <v/>
      </c>
      <c r="CI59" s="62" t="str">
        <v/>
      </c>
      <c r="CJ59" s="62" t="str">
        <v/>
      </c>
      <c r="CK59" s="62" t="str">
        <v/>
      </c>
      <c r="CL59" s="62" t="str">
        <v/>
      </c>
      <c r="CM59" s="62" t="str">
        <v/>
      </c>
      <c r="CN59" s="130" t="str">
        <v/>
      </c>
    </row>
    <row r="60" spans="1:92">
      <c r="A60" s="39"/>
      <c r="B60" s="75"/>
      <c r="C60" s="41"/>
      <c r="D60" s="41"/>
      <c r="E60" s="41"/>
      <c r="F60" s="42"/>
      <c r="G60" s="61" t="str">
        <v/>
      </c>
      <c r="H60" s="61" t="str">
        <v/>
      </c>
      <c r="I60" s="42"/>
      <c r="J60" s="61" t="str">
        <v/>
      </c>
      <c r="K60" s="61" t="str">
        <v/>
      </c>
      <c r="L60" s="61" t="str">
        <v/>
      </c>
      <c r="M60" s="61" t="str">
        <v/>
      </c>
      <c r="N60" s="62" t="str">
        <v/>
      </c>
      <c r="O60" s="61" t="str">
        <v/>
      </c>
      <c r="P60" s="61" t="str">
        <v/>
      </c>
      <c r="Q60" s="61" t="str">
        <v/>
      </c>
      <c r="R60" s="61" t="str">
        <v/>
      </c>
      <c r="S60" s="61" t="str">
        <v/>
      </c>
      <c r="T60" s="45"/>
      <c r="U60" s="46"/>
      <c r="V60" s="46"/>
      <c r="W60" s="47"/>
      <c r="X60" s="46"/>
      <c r="Y60" s="46"/>
      <c r="Z60" s="46"/>
      <c r="AA60" s="46"/>
      <c r="AB60" s="47"/>
      <c r="AC60" s="62" t="str">
        <v/>
      </c>
      <c r="AD60" s="62" t="str">
        <v/>
      </c>
      <c r="AE60" s="62" t="str">
        <v/>
      </c>
      <c r="AF60" s="62" t="str">
        <v/>
      </c>
      <c r="AG60" s="63" t="str">
        <v/>
      </c>
      <c r="AH60" s="61" t="str">
        <v/>
      </c>
      <c r="AI60" s="61" t="str">
        <v/>
      </c>
      <c r="AJ60" s="64" t="str">
        <v/>
      </c>
      <c r="AK60" s="61" t="str">
        <v/>
      </c>
      <c r="AL60" s="61" t="str">
        <v/>
      </c>
      <c r="AM60" s="61" t="str">
        <v/>
      </c>
      <c r="AN60" s="61" t="str">
        <v/>
      </c>
      <c r="AO60" s="61" t="str">
        <v/>
      </c>
      <c r="AP60" s="42"/>
      <c r="AQ60" s="76"/>
      <c r="AR60" s="74"/>
      <c r="AS60" s="74" t="str">
        <v/>
      </c>
      <c r="AT60" s="72" t="str">
        <v/>
      </c>
      <c r="AU60" s="73"/>
      <c r="AV60" s="65" t="str">
        <v/>
      </c>
      <c r="AW60" s="62" t="str">
        <v/>
      </c>
      <c r="AX60" s="62" t="str">
        <v/>
      </c>
      <c r="AY60" s="66" t="str">
        <v/>
      </c>
      <c r="AZ60" s="61" t="str">
        <v/>
      </c>
      <c r="BA60" s="61" t="str">
        <v/>
      </c>
      <c r="BB60" s="61" t="str">
        <v/>
      </c>
      <c r="BC60" s="64" t="str">
        <v/>
      </c>
      <c r="BD60" s="61" t="str">
        <v/>
      </c>
      <c r="BE60" s="61" t="str">
        <v/>
      </c>
      <c r="BF60" s="61" t="str">
        <v/>
      </c>
      <c r="BG60" s="61" t="str">
        <v/>
      </c>
      <c r="BH60" s="61" t="str">
        <v/>
      </c>
      <c r="BI60" s="42"/>
      <c r="BJ60" s="67"/>
      <c r="BK60" s="60"/>
      <c r="BL60" s="60" t="str">
        <v/>
      </c>
      <c r="BM60" s="60" t="str">
        <v/>
      </c>
      <c r="BN60" s="60" t="str">
        <v/>
      </c>
      <c r="BO60" s="60" t="str">
        <v/>
      </c>
      <c r="BP60" s="60" t="str">
        <v/>
      </c>
      <c r="BQ60" s="60" t="str">
        <v/>
      </c>
      <c r="BR60" s="60" t="str">
        <v/>
      </c>
      <c r="BS60" s="60" t="str">
        <v/>
      </c>
      <c r="BT60" s="68" t="str">
        <v/>
      </c>
      <c r="BU60" s="42"/>
      <c r="BV60" s="62" t="str">
        <v/>
      </c>
      <c r="BW60" s="62" t="str">
        <v/>
      </c>
      <c r="BX60" s="62" t="str">
        <v/>
      </c>
      <c r="BY60" s="62" t="str">
        <v/>
      </c>
      <c r="BZ60" s="62" t="str">
        <v/>
      </c>
      <c r="CA60" s="62" t="str">
        <v/>
      </c>
      <c r="CB60" s="62" t="str">
        <v/>
      </c>
      <c r="CC60" s="62" t="str">
        <v/>
      </c>
      <c r="CD60" s="62" t="str">
        <v/>
      </c>
      <c r="CE60" s="122" t="str">
        <v/>
      </c>
      <c r="CF60" s="62" t="str">
        <v/>
      </c>
      <c r="CG60" s="62" t="str">
        <v/>
      </c>
      <c r="CH60" s="62" t="str">
        <v/>
      </c>
      <c r="CI60" s="62" t="str">
        <v/>
      </c>
      <c r="CJ60" s="62" t="str">
        <v/>
      </c>
      <c r="CK60" s="62" t="str">
        <v/>
      </c>
      <c r="CL60" s="62" t="str">
        <v/>
      </c>
      <c r="CM60" s="62" t="str">
        <v/>
      </c>
      <c r="CN60" s="130" t="str">
        <v/>
      </c>
    </row>
    <row r="61" spans="1:92">
      <c r="A61" s="39"/>
      <c r="B61" s="75"/>
      <c r="C61" s="41"/>
      <c r="D61" s="41"/>
      <c r="E61" s="41"/>
      <c r="F61" s="42"/>
      <c r="G61" s="61" t="str">
        <v/>
      </c>
      <c r="H61" s="61" t="str">
        <v/>
      </c>
      <c r="I61" s="42"/>
      <c r="J61" s="61" t="str">
        <v/>
      </c>
      <c r="K61" s="61" t="str">
        <v/>
      </c>
      <c r="L61" s="61" t="str">
        <v/>
      </c>
      <c r="M61" s="61" t="str">
        <v/>
      </c>
      <c r="N61" s="62" t="str">
        <v/>
      </c>
      <c r="O61" s="61" t="str">
        <v/>
      </c>
      <c r="P61" s="61" t="str">
        <v/>
      </c>
      <c r="Q61" s="61" t="str">
        <v/>
      </c>
      <c r="R61" s="61" t="str">
        <v/>
      </c>
      <c r="S61" s="61" t="str">
        <v/>
      </c>
      <c r="T61" s="45"/>
      <c r="U61" s="46"/>
      <c r="V61" s="46"/>
      <c r="W61" s="47"/>
      <c r="X61" s="46"/>
      <c r="Y61" s="46"/>
      <c r="Z61" s="46"/>
      <c r="AA61" s="46"/>
      <c r="AB61" s="47"/>
      <c r="AC61" s="62" t="str">
        <v/>
      </c>
      <c r="AD61" s="62" t="str">
        <v/>
      </c>
      <c r="AE61" s="62" t="str">
        <v/>
      </c>
      <c r="AF61" s="62" t="str">
        <v/>
      </c>
      <c r="AG61" s="63" t="str">
        <v/>
      </c>
      <c r="AH61" s="61" t="str">
        <v/>
      </c>
      <c r="AI61" s="61" t="str">
        <v/>
      </c>
      <c r="AJ61" s="64" t="str">
        <v/>
      </c>
      <c r="AK61" s="61" t="str">
        <v/>
      </c>
      <c r="AL61" s="61" t="str">
        <v/>
      </c>
      <c r="AM61" s="61" t="str">
        <v/>
      </c>
      <c r="AN61" s="61" t="str">
        <v/>
      </c>
      <c r="AO61" s="61" t="str">
        <v/>
      </c>
      <c r="AP61" s="42"/>
      <c r="AQ61" s="76"/>
      <c r="AR61" s="74"/>
      <c r="AS61" s="74" t="str">
        <v/>
      </c>
      <c r="AT61" s="72" t="str">
        <v/>
      </c>
      <c r="AU61" s="73"/>
      <c r="AV61" s="65" t="str">
        <v/>
      </c>
      <c r="AW61" s="62" t="str">
        <v/>
      </c>
      <c r="AX61" s="62" t="str">
        <v/>
      </c>
      <c r="AY61" s="66" t="str">
        <v/>
      </c>
      <c r="AZ61" s="61" t="str">
        <v/>
      </c>
      <c r="BA61" s="61" t="str">
        <v/>
      </c>
      <c r="BB61" s="61" t="str">
        <v/>
      </c>
      <c r="BC61" s="64" t="str">
        <v/>
      </c>
      <c r="BD61" s="61" t="str">
        <v/>
      </c>
      <c r="BE61" s="61" t="str">
        <v/>
      </c>
      <c r="BF61" s="61" t="str">
        <v/>
      </c>
      <c r="BG61" s="61" t="str">
        <v/>
      </c>
      <c r="BH61" s="61" t="str">
        <v/>
      </c>
      <c r="BI61" s="42"/>
      <c r="BJ61" s="67"/>
      <c r="BK61" s="60"/>
      <c r="BL61" s="60" t="str">
        <v/>
      </c>
      <c r="BM61" s="60" t="str">
        <v/>
      </c>
      <c r="BN61" s="60" t="str">
        <v/>
      </c>
      <c r="BO61" s="60" t="str">
        <v/>
      </c>
      <c r="BP61" s="60" t="str">
        <v/>
      </c>
      <c r="BQ61" s="60" t="str">
        <v/>
      </c>
      <c r="BR61" s="60" t="str">
        <v/>
      </c>
      <c r="BS61" s="60" t="str">
        <v/>
      </c>
      <c r="BT61" s="68" t="str">
        <v/>
      </c>
      <c r="BU61" s="42"/>
      <c r="BV61" s="62" t="str">
        <v/>
      </c>
      <c r="BW61" s="62" t="str">
        <v/>
      </c>
      <c r="BX61" s="62" t="str">
        <v/>
      </c>
      <c r="BY61" s="62" t="str">
        <v/>
      </c>
      <c r="BZ61" s="62" t="str">
        <v/>
      </c>
      <c r="CA61" s="62" t="str">
        <v/>
      </c>
      <c r="CB61" s="62" t="str">
        <v/>
      </c>
      <c r="CC61" s="62" t="str">
        <v/>
      </c>
      <c r="CD61" s="62" t="str">
        <v/>
      </c>
      <c r="CE61" s="122" t="str">
        <v/>
      </c>
      <c r="CF61" s="62" t="str">
        <v/>
      </c>
      <c r="CG61" s="62" t="str">
        <v/>
      </c>
      <c r="CH61" s="62" t="str">
        <v/>
      </c>
      <c r="CI61" s="62" t="str">
        <v/>
      </c>
      <c r="CJ61" s="62" t="str">
        <v/>
      </c>
      <c r="CK61" s="62" t="str">
        <v/>
      </c>
      <c r="CL61" s="62" t="str">
        <v/>
      </c>
      <c r="CM61" s="62" t="str">
        <v/>
      </c>
      <c r="CN61" s="130" t="str">
        <v/>
      </c>
    </row>
    <row r="62" spans="1:92">
      <c r="A62" s="39"/>
      <c r="B62" s="75"/>
      <c r="C62" s="41"/>
      <c r="D62" s="41"/>
      <c r="E62" s="41"/>
      <c r="F62" s="42"/>
      <c r="G62" s="61" t="str">
        <v/>
      </c>
      <c r="H62" s="61" t="str">
        <v/>
      </c>
      <c r="I62" s="42"/>
      <c r="J62" s="61" t="str">
        <v/>
      </c>
      <c r="K62" s="61" t="str">
        <v/>
      </c>
      <c r="L62" s="61" t="str">
        <v/>
      </c>
      <c r="M62" s="61" t="str">
        <v/>
      </c>
      <c r="N62" s="62" t="str">
        <v/>
      </c>
      <c r="O62" s="61" t="str">
        <v/>
      </c>
      <c r="P62" s="61" t="str">
        <v/>
      </c>
      <c r="Q62" s="61" t="str">
        <v/>
      </c>
      <c r="R62" s="61" t="str">
        <v/>
      </c>
      <c r="S62" s="61" t="str">
        <v/>
      </c>
      <c r="T62" s="45"/>
      <c r="U62" s="46"/>
      <c r="V62" s="46"/>
      <c r="W62" s="47"/>
      <c r="X62" s="46"/>
      <c r="Y62" s="46"/>
      <c r="Z62" s="46"/>
      <c r="AA62" s="46"/>
      <c r="AB62" s="47"/>
      <c r="AC62" s="62" t="str">
        <v/>
      </c>
      <c r="AD62" s="62" t="str">
        <v/>
      </c>
      <c r="AE62" s="62" t="str">
        <v/>
      </c>
      <c r="AF62" s="62" t="str">
        <v/>
      </c>
      <c r="AG62" s="63" t="str">
        <v/>
      </c>
      <c r="AH62" s="61" t="str">
        <v/>
      </c>
      <c r="AI62" s="61" t="str">
        <v/>
      </c>
      <c r="AJ62" s="64" t="str">
        <v/>
      </c>
      <c r="AK62" s="61" t="str">
        <v/>
      </c>
      <c r="AL62" s="61" t="str">
        <v/>
      </c>
      <c r="AM62" s="61" t="str">
        <v/>
      </c>
      <c r="AN62" s="61" t="str">
        <v/>
      </c>
      <c r="AO62" s="61" t="str">
        <v/>
      </c>
      <c r="AP62" s="42"/>
      <c r="AQ62" s="76"/>
      <c r="AR62" s="74"/>
      <c r="AS62" s="74" t="str">
        <v/>
      </c>
      <c r="AT62" s="72" t="str">
        <v/>
      </c>
      <c r="AU62" s="73"/>
      <c r="AV62" s="65" t="str">
        <v/>
      </c>
      <c r="AW62" s="62" t="str">
        <v/>
      </c>
      <c r="AX62" s="62" t="str">
        <v/>
      </c>
      <c r="AY62" s="66" t="str">
        <v/>
      </c>
      <c r="AZ62" s="61" t="str">
        <v/>
      </c>
      <c r="BA62" s="61" t="str">
        <v/>
      </c>
      <c r="BB62" s="61" t="str">
        <v/>
      </c>
      <c r="BC62" s="64" t="str">
        <v/>
      </c>
      <c r="BD62" s="61" t="str">
        <v/>
      </c>
      <c r="BE62" s="61" t="str">
        <v/>
      </c>
      <c r="BF62" s="61" t="str">
        <v/>
      </c>
      <c r="BG62" s="61" t="str">
        <v/>
      </c>
      <c r="BH62" s="61" t="str">
        <v/>
      </c>
      <c r="BI62" s="42"/>
      <c r="BJ62" s="67"/>
      <c r="BK62" s="60"/>
      <c r="BL62" s="60" t="str">
        <v/>
      </c>
      <c r="BM62" s="60" t="str">
        <v/>
      </c>
      <c r="BN62" s="60" t="str">
        <v/>
      </c>
      <c r="BO62" s="60" t="str">
        <v/>
      </c>
      <c r="BP62" s="60" t="str">
        <v/>
      </c>
      <c r="BQ62" s="60" t="str">
        <v/>
      </c>
      <c r="BR62" s="60" t="str">
        <v/>
      </c>
      <c r="BS62" s="60" t="str">
        <v/>
      </c>
      <c r="BT62" s="68" t="str">
        <v/>
      </c>
      <c r="BU62" s="42"/>
      <c r="BV62" s="62" t="str">
        <v/>
      </c>
      <c r="BW62" s="62" t="str">
        <v/>
      </c>
      <c r="BX62" s="62" t="str">
        <v/>
      </c>
      <c r="BY62" s="62" t="str">
        <v/>
      </c>
      <c r="BZ62" s="62" t="str">
        <v/>
      </c>
      <c r="CA62" s="62" t="str">
        <v/>
      </c>
      <c r="CB62" s="62" t="str">
        <v/>
      </c>
      <c r="CC62" s="62" t="str">
        <v/>
      </c>
      <c r="CD62" s="62" t="str">
        <v/>
      </c>
      <c r="CE62" s="122" t="str">
        <v/>
      </c>
      <c r="CF62" s="62" t="str">
        <v/>
      </c>
      <c r="CG62" s="62" t="str">
        <v/>
      </c>
      <c r="CH62" s="62" t="str">
        <v/>
      </c>
      <c r="CI62" s="62" t="str">
        <v/>
      </c>
      <c r="CJ62" s="62" t="str">
        <v/>
      </c>
      <c r="CK62" s="62" t="str">
        <v/>
      </c>
      <c r="CL62" s="62" t="str">
        <v/>
      </c>
      <c r="CM62" s="62" t="str">
        <v/>
      </c>
      <c r="CN62" s="130" t="str">
        <v/>
      </c>
    </row>
    <row r="63" spans="1:92">
      <c r="A63" s="39"/>
      <c r="B63" s="75"/>
      <c r="C63" s="41"/>
      <c r="D63" s="41"/>
      <c r="E63" s="41"/>
      <c r="F63" s="42"/>
      <c r="G63" s="61" t="str">
        <v/>
      </c>
      <c r="H63" s="61" t="str">
        <v/>
      </c>
      <c r="I63" s="42"/>
      <c r="J63" s="61" t="str">
        <v/>
      </c>
      <c r="K63" s="61" t="str">
        <v/>
      </c>
      <c r="L63" s="61" t="str">
        <v/>
      </c>
      <c r="M63" s="61" t="str">
        <v/>
      </c>
      <c r="N63" s="62" t="str">
        <v/>
      </c>
      <c r="O63" s="61" t="str">
        <v/>
      </c>
      <c r="P63" s="61" t="str">
        <v/>
      </c>
      <c r="Q63" s="61" t="str">
        <v/>
      </c>
      <c r="R63" s="61" t="str">
        <v/>
      </c>
      <c r="S63" s="61" t="str">
        <v/>
      </c>
      <c r="T63" s="45"/>
      <c r="U63" s="46"/>
      <c r="V63" s="46"/>
      <c r="W63" s="47"/>
      <c r="X63" s="46"/>
      <c r="Y63" s="46"/>
      <c r="Z63" s="46"/>
      <c r="AA63" s="46"/>
      <c r="AB63" s="47"/>
      <c r="AC63" s="62" t="str">
        <v/>
      </c>
      <c r="AD63" s="62" t="str">
        <v/>
      </c>
      <c r="AE63" s="62" t="str">
        <v/>
      </c>
      <c r="AF63" s="62" t="str">
        <v/>
      </c>
      <c r="AG63" s="63" t="str">
        <v/>
      </c>
      <c r="AH63" s="61" t="str">
        <v/>
      </c>
      <c r="AI63" s="61" t="str">
        <v/>
      </c>
      <c r="AJ63" s="64" t="str">
        <v/>
      </c>
      <c r="AK63" s="61" t="str">
        <v/>
      </c>
      <c r="AL63" s="61" t="str">
        <v/>
      </c>
      <c r="AM63" s="61" t="str">
        <v/>
      </c>
      <c r="AN63" s="61" t="str">
        <v/>
      </c>
      <c r="AO63" s="61" t="str">
        <v/>
      </c>
      <c r="AP63" s="42"/>
      <c r="AQ63" s="76"/>
      <c r="AR63" s="74"/>
      <c r="AS63" s="74" t="str">
        <v/>
      </c>
      <c r="AT63" s="72" t="str">
        <v/>
      </c>
      <c r="AU63" s="73"/>
      <c r="AV63" s="65" t="str">
        <v/>
      </c>
      <c r="AW63" s="62" t="str">
        <v/>
      </c>
      <c r="AX63" s="62" t="str">
        <v/>
      </c>
      <c r="AY63" s="66" t="str">
        <v/>
      </c>
      <c r="AZ63" s="61" t="str">
        <v/>
      </c>
      <c r="BA63" s="61" t="str">
        <v/>
      </c>
      <c r="BB63" s="61" t="str">
        <v/>
      </c>
      <c r="BC63" s="64" t="str">
        <v/>
      </c>
      <c r="BD63" s="61" t="str">
        <v/>
      </c>
      <c r="BE63" s="61" t="str">
        <v/>
      </c>
      <c r="BF63" s="61" t="str">
        <v/>
      </c>
      <c r="BG63" s="61" t="str">
        <v/>
      </c>
      <c r="BH63" s="61" t="str">
        <v/>
      </c>
      <c r="BI63" s="42"/>
      <c r="BJ63" s="67"/>
      <c r="BK63" s="60"/>
      <c r="BL63" s="60" t="str">
        <v/>
      </c>
      <c r="BM63" s="60" t="str">
        <v/>
      </c>
      <c r="BN63" s="60" t="str">
        <v/>
      </c>
      <c r="BO63" s="60" t="str">
        <v/>
      </c>
      <c r="BP63" s="60" t="str">
        <v/>
      </c>
      <c r="BQ63" s="60" t="str">
        <v/>
      </c>
      <c r="BR63" s="60" t="str">
        <v/>
      </c>
      <c r="BS63" s="60" t="str">
        <v/>
      </c>
      <c r="BT63" s="68" t="str">
        <v/>
      </c>
      <c r="BU63" s="42"/>
      <c r="BV63" s="62" t="str">
        <v/>
      </c>
      <c r="BW63" s="62" t="str">
        <v/>
      </c>
      <c r="BX63" s="62" t="str">
        <v/>
      </c>
      <c r="BY63" s="62" t="str">
        <v/>
      </c>
      <c r="BZ63" s="62" t="str">
        <v/>
      </c>
      <c r="CA63" s="62" t="str">
        <v/>
      </c>
      <c r="CB63" s="62" t="str">
        <v/>
      </c>
      <c r="CC63" s="62" t="str">
        <v/>
      </c>
      <c r="CD63" s="62" t="str">
        <v/>
      </c>
      <c r="CE63" s="122" t="str">
        <v/>
      </c>
      <c r="CF63" s="62" t="str">
        <v/>
      </c>
      <c r="CG63" s="62" t="str">
        <v/>
      </c>
      <c r="CH63" s="62" t="str">
        <v/>
      </c>
      <c r="CI63" s="62" t="str">
        <v/>
      </c>
      <c r="CJ63" s="62" t="str">
        <v/>
      </c>
      <c r="CK63" s="62" t="str">
        <v/>
      </c>
      <c r="CL63" s="62" t="str">
        <v/>
      </c>
      <c r="CM63" s="62" t="str">
        <v/>
      </c>
      <c r="CN63" s="130" t="str">
        <v/>
      </c>
    </row>
    <row r="64" spans="1:92">
      <c r="A64" s="39"/>
      <c r="B64" s="75"/>
      <c r="C64" s="41"/>
      <c r="D64" s="41"/>
      <c r="E64" s="41"/>
      <c r="F64" s="42"/>
      <c r="G64" s="61" t="str">
        <v/>
      </c>
      <c r="H64" s="61" t="str">
        <v/>
      </c>
      <c r="I64" s="42"/>
      <c r="J64" s="61" t="str">
        <v/>
      </c>
      <c r="K64" s="61" t="str">
        <v/>
      </c>
      <c r="L64" s="61" t="str">
        <v/>
      </c>
      <c r="M64" s="61" t="str">
        <v/>
      </c>
      <c r="N64" s="62" t="str">
        <v/>
      </c>
      <c r="O64" s="61" t="str">
        <v/>
      </c>
      <c r="P64" s="61" t="str">
        <v/>
      </c>
      <c r="Q64" s="61" t="str">
        <v/>
      </c>
      <c r="R64" s="61" t="str">
        <v/>
      </c>
      <c r="S64" s="61" t="str">
        <v/>
      </c>
      <c r="T64" s="45"/>
      <c r="U64" s="46"/>
      <c r="V64" s="46"/>
      <c r="W64" s="47"/>
      <c r="X64" s="46"/>
      <c r="Y64" s="46"/>
      <c r="Z64" s="46"/>
      <c r="AA64" s="46"/>
      <c r="AB64" s="47"/>
      <c r="AC64" s="62" t="str">
        <v/>
      </c>
      <c r="AD64" s="62" t="str">
        <v/>
      </c>
      <c r="AE64" s="62" t="str">
        <v/>
      </c>
      <c r="AF64" s="62" t="str">
        <v/>
      </c>
      <c r="AG64" s="63" t="str">
        <v/>
      </c>
      <c r="AH64" s="61" t="str">
        <v/>
      </c>
      <c r="AI64" s="61" t="str">
        <v/>
      </c>
      <c r="AJ64" s="64" t="str">
        <v/>
      </c>
      <c r="AK64" s="61" t="str">
        <v/>
      </c>
      <c r="AL64" s="61" t="str">
        <v/>
      </c>
      <c r="AM64" s="61" t="str">
        <v/>
      </c>
      <c r="AN64" s="61" t="str">
        <v/>
      </c>
      <c r="AO64" s="61" t="str">
        <v/>
      </c>
      <c r="AP64" s="42"/>
      <c r="AQ64" s="76"/>
      <c r="AR64" s="74"/>
      <c r="AS64" s="74" t="str">
        <v/>
      </c>
      <c r="AT64" s="72" t="str">
        <v/>
      </c>
      <c r="AU64" s="73"/>
      <c r="AV64" s="65" t="str">
        <v/>
      </c>
      <c r="AW64" s="62" t="str">
        <v/>
      </c>
      <c r="AX64" s="62" t="str">
        <v/>
      </c>
      <c r="AY64" s="66" t="str">
        <v/>
      </c>
      <c r="AZ64" s="61" t="str">
        <v/>
      </c>
      <c r="BA64" s="61" t="str">
        <v/>
      </c>
      <c r="BB64" s="61" t="str">
        <v/>
      </c>
      <c r="BC64" s="64" t="str">
        <v/>
      </c>
      <c r="BD64" s="61" t="str">
        <v/>
      </c>
      <c r="BE64" s="61" t="str">
        <v/>
      </c>
      <c r="BF64" s="61" t="str">
        <v/>
      </c>
      <c r="BG64" s="61" t="str">
        <v/>
      </c>
      <c r="BH64" s="61" t="str">
        <v/>
      </c>
      <c r="BI64" s="42"/>
      <c r="BJ64" s="67"/>
      <c r="BK64" s="60"/>
      <c r="BL64" s="60" t="str">
        <v/>
      </c>
      <c r="BM64" s="60" t="str">
        <v/>
      </c>
      <c r="BN64" s="60" t="str">
        <v/>
      </c>
      <c r="BO64" s="60" t="str">
        <v/>
      </c>
      <c r="BP64" s="60" t="str">
        <v/>
      </c>
      <c r="BQ64" s="60" t="str">
        <v/>
      </c>
      <c r="BR64" s="60" t="str">
        <v/>
      </c>
      <c r="BS64" s="60" t="str">
        <v/>
      </c>
      <c r="BT64" s="68" t="str">
        <v/>
      </c>
      <c r="BU64" s="42"/>
      <c r="BV64" s="62" t="str">
        <v/>
      </c>
      <c r="BW64" s="62" t="str">
        <v/>
      </c>
      <c r="BX64" s="62" t="str">
        <v/>
      </c>
      <c r="BY64" s="62" t="str">
        <v/>
      </c>
      <c r="BZ64" s="62" t="str">
        <v/>
      </c>
      <c r="CA64" s="62" t="str">
        <v/>
      </c>
      <c r="CB64" s="62" t="str">
        <v/>
      </c>
      <c r="CC64" s="62" t="str">
        <v/>
      </c>
      <c r="CD64" s="62" t="str">
        <v/>
      </c>
      <c r="CE64" s="122" t="str">
        <v/>
      </c>
      <c r="CF64" s="62" t="str">
        <v/>
      </c>
      <c r="CG64" s="62" t="str">
        <v/>
      </c>
      <c r="CH64" s="62" t="str">
        <v/>
      </c>
      <c r="CI64" s="62" t="str">
        <v/>
      </c>
      <c r="CJ64" s="62" t="str">
        <v/>
      </c>
      <c r="CK64" s="62" t="str">
        <v/>
      </c>
      <c r="CL64" s="62" t="str">
        <v/>
      </c>
      <c r="CM64" s="62" t="str">
        <v/>
      </c>
      <c r="CN64" s="130" t="str">
        <v/>
      </c>
    </row>
    <row r="65" spans="1:92">
      <c r="A65" s="39"/>
      <c r="B65" s="75"/>
      <c r="C65" s="41"/>
      <c r="D65" s="41"/>
      <c r="E65" s="41"/>
      <c r="F65" s="42"/>
      <c r="G65" s="61" t="str">
        <v/>
      </c>
      <c r="H65" s="61" t="str">
        <v/>
      </c>
      <c r="I65" s="42"/>
      <c r="J65" s="61" t="str">
        <v/>
      </c>
      <c r="K65" s="61" t="str">
        <v/>
      </c>
      <c r="L65" s="61" t="str">
        <v/>
      </c>
      <c r="M65" s="61" t="str">
        <v/>
      </c>
      <c r="N65" s="62" t="str">
        <v/>
      </c>
      <c r="O65" s="61" t="str">
        <v/>
      </c>
      <c r="P65" s="61" t="str">
        <v/>
      </c>
      <c r="Q65" s="61" t="str">
        <v/>
      </c>
      <c r="R65" s="61" t="str">
        <v/>
      </c>
      <c r="S65" s="61" t="str">
        <v/>
      </c>
      <c r="T65" s="45"/>
      <c r="U65" s="46"/>
      <c r="V65" s="46"/>
      <c r="W65" s="47"/>
      <c r="X65" s="46"/>
      <c r="Y65" s="46"/>
      <c r="Z65" s="46"/>
      <c r="AA65" s="46"/>
      <c r="AB65" s="47"/>
      <c r="AC65" s="62" t="str">
        <v/>
      </c>
      <c r="AD65" s="62" t="str">
        <v/>
      </c>
      <c r="AE65" s="62" t="str">
        <v/>
      </c>
      <c r="AF65" s="62" t="str">
        <v/>
      </c>
      <c r="AG65" s="63" t="str">
        <v/>
      </c>
      <c r="AH65" s="61" t="str">
        <v/>
      </c>
      <c r="AI65" s="61" t="str">
        <v/>
      </c>
      <c r="AJ65" s="64" t="str">
        <v/>
      </c>
      <c r="AK65" s="61" t="str">
        <v/>
      </c>
      <c r="AL65" s="61" t="str">
        <v/>
      </c>
      <c r="AM65" s="61" t="str">
        <v/>
      </c>
      <c r="AN65" s="61" t="str">
        <v/>
      </c>
      <c r="AO65" s="61" t="str">
        <v/>
      </c>
      <c r="AP65" s="42"/>
      <c r="AQ65" s="76"/>
      <c r="AR65" s="74"/>
      <c r="AS65" s="74" t="str">
        <v/>
      </c>
      <c r="AT65" s="72" t="str">
        <v/>
      </c>
      <c r="AU65" s="73"/>
      <c r="AV65" s="65" t="str">
        <v/>
      </c>
      <c r="AW65" s="62" t="str">
        <v/>
      </c>
      <c r="AX65" s="62" t="str">
        <v/>
      </c>
      <c r="AY65" s="66" t="str">
        <v/>
      </c>
      <c r="AZ65" s="61" t="str">
        <v/>
      </c>
      <c r="BA65" s="61" t="str">
        <v/>
      </c>
      <c r="BB65" s="61" t="str">
        <v/>
      </c>
      <c r="BC65" s="64" t="str">
        <v/>
      </c>
      <c r="BD65" s="61" t="str">
        <v/>
      </c>
      <c r="BE65" s="61" t="str">
        <v/>
      </c>
      <c r="BF65" s="61" t="str">
        <v/>
      </c>
      <c r="BG65" s="61" t="str">
        <v/>
      </c>
      <c r="BH65" s="61" t="str">
        <v/>
      </c>
      <c r="BI65" s="42"/>
      <c r="BJ65" s="67"/>
      <c r="BK65" s="60"/>
      <c r="BL65" s="60" t="str">
        <v/>
      </c>
      <c r="BM65" s="60" t="str">
        <v/>
      </c>
      <c r="BN65" s="60" t="str">
        <v/>
      </c>
      <c r="BO65" s="60" t="str">
        <v/>
      </c>
      <c r="BP65" s="60" t="str">
        <v/>
      </c>
      <c r="BQ65" s="60" t="str">
        <v/>
      </c>
      <c r="BR65" s="60" t="str">
        <v/>
      </c>
      <c r="BS65" s="60" t="str">
        <v/>
      </c>
      <c r="BT65" s="68" t="str">
        <v/>
      </c>
      <c r="BU65" s="42"/>
      <c r="BV65" s="62" t="str">
        <v/>
      </c>
      <c r="BW65" s="62" t="str">
        <v/>
      </c>
      <c r="BX65" s="62" t="str">
        <v/>
      </c>
      <c r="BY65" s="62" t="str">
        <v/>
      </c>
      <c r="BZ65" s="62" t="str">
        <v/>
      </c>
      <c r="CA65" s="62" t="str">
        <v/>
      </c>
      <c r="CB65" s="62" t="str">
        <v/>
      </c>
      <c r="CC65" s="62" t="str">
        <v/>
      </c>
      <c r="CD65" s="62" t="str">
        <v/>
      </c>
      <c r="CE65" s="122" t="str">
        <v/>
      </c>
      <c r="CF65" s="62" t="str">
        <v/>
      </c>
      <c r="CG65" s="62" t="str">
        <v/>
      </c>
      <c r="CH65" s="62" t="str">
        <v/>
      </c>
      <c r="CI65" s="62" t="str">
        <v/>
      </c>
      <c r="CJ65" s="62" t="str">
        <v/>
      </c>
      <c r="CK65" s="62" t="str">
        <v/>
      </c>
      <c r="CL65" s="62" t="str">
        <v/>
      </c>
      <c r="CM65" s="62" t="str">
        <v/>
      </c>
      <c r="CN65" s="130" t="str">
        <v/>
      </c>
    </row>
    <row r="66" spans="1:92">
      <c r="A66" s="39"/>
      <c r="B66" s="75"/>
      <c r="C66" s="41"/>
      <c r="D66" s="41"/>
      <c r="E66" s="41"/>
      <c r="F66" s="42"/>
      <c r="G66" s="61" t="str">
        <v/>
      </c>
      <c r="H66" s="61" t="str">
        <v/>
      </c>
      <c r="I66" s="42"/>
      <c r="J66" s="61" t="str">
        <v/>
      </c>
      <c r="K66" s="61" t="str">
        <v/>
      </c>
      <c r="L66" s="61" t="str">
        <v/>
      </c>
      <c r="M66" s="61" t="str">
        <v/>
      </c>
      <c r="N66" s="62" t="str">
        <v/>
      </c>
      <c r="O66" s="61" t="str">
        <v/>
      </c>
      <c r="P66" s="61" t="str">
        <v/>
      </c>
      <c r="Q66" s="61" t="str">
        <v/>
      </c>
      <c r="R66" s="61" t="str">
        <v/>
      </c>
      <c r="S66" s="61" t="str">
        <v/>
      </c>
      <c r="T66" s="45"/>
      <c r="U66" s="46"/>
      <c r="V66" s="46"/>
      <c r="W66" s="47"/>
      <c r="X66" s="46"/>
      <c r="Y66" s="46"/>
      <c r="Z66" s="46"/>
      <c r="AA66" s="46"/>
      <c r="AB66" s="47"/>
      <c r="AC66" s="62" t="str">
        <v/>
      </c>
      <c r="AD66" s="62" t="str">
        <v/>
      </c>
      <c r="AE66" s="62" t="str">
        <v/>
      </c>
      <c r="AF66" s="62" t="str">
        <v/>
      </c>
      <c r="AG66" s="63" t="str">
        <v/>
      </c>
      <c r="AH66" s="61" t="str">
        <v/>
      </c>
      <c r="AI66" s="61" t="str">
        <v/>
      </c>
      <c r="AJ66" s="64" t="str">
        <v/>
      </c>
      <c r="AK66" s="61" t="str">
        <v/>
      </c>
      <c r="AL66" s="61" t="str">
        <v/>
      </c>
      <c r="AM66" s="61" t="str">
        <v/>
      </c>
      <c r="AN66" s="61" t="str">
        <v/>
      </c>
      <c r="AO66" s="61" t="str">
        <v/>
      </c>
      <c r="AP66" s="42"/>
      <c r="AQ66" s="76"/>
      <c r="AR66" s="74"/>
      <c r="AS66" s="74" t="str">
        <v/>
      </c>
      <c r="AT66" s="72" t="str">
        <v/>
      </c>
      <c r="AU66" s="73"/>
      <c r="AV66" s="65" t="str">
        <v/>
      </c>
      <c r="AW66" s="62" t="str">
        <v/>
      </c>
      <c r="AX66" s="62" t="str">
        <v/>
      </c>
      <c r="AY66" s="66" t="str">
        <v/>
      </c>
      <c r="AZ66" s="61" t="str">
        <v/>
      </c>
      <c r="BA66" s="61" t="str">
        <v/>
      </c>
      <c r="BB66" s="61" t="str">
        <v/>
      </c>
      <c r="BC66" s="64" t="str">
        <v/>
      </c>
      <c r="BD66" s="61" t="str">
        <v/>
      </c>
      <c r="BE66" s="61" t="str">
        <v/>
      </c>
      <c r="BF66" s="61" t="str">
        <v/>
      </c>
      <c r="BG66" s="61" t="str">
        <v/>
      </c>
      <c r="BH66" s="61" t="str">
        <v/>
      </c>
      <c r="BI66" s="42"/>
      <c r="BJ66" s="67"/>
      <c r="BK66" s="60"/>
      <c r="BL66" s="60" t="str">
        <v/>
      </c>
      <c r="BM66" s="60" t="str">
        <v/>
      </c>
      <c r="BN66" s="60" t="str">
        <v/>
      </c>
      <c r="BO66" s="60" t="str">
        <v/>
      </c>
      <c r="BP66" s="60" t="str">
        <v/>
      </c>
      <c r="BQ66" s="60" t="str">
        <v/>
      </c>
      <c r="BR66" s="60" t="str">
        <v/>
      </c>
      <c r="BS66" s="60" t="str">
        <v/>
      </c>
      <c r="BT66" s="68" t="str">
        <v/>
      </c>
      <c r="BU66" s="42"/>
      <c r="BV66" s="62" t="str">
        <v/>
      </c>
      <c r="BW66" s="62" t="str">
        <v/>
      </c>
      <c r="BX66" s="62" t="str">
        <v/>
      </c>
      <c r="BY66" s="62" t="str">
        <v/>
      </c>
      <c r="BZ66" s="62" t="str">
        <v/>
      </c>
      <c r="CA66" s="62" t="str">
        <v/>
      </c>
      <c r="CB66" s="62" t="str">
        <v/>
      </c>
      <c r="CC66" s="62" t="str">
        <v/>
      </c>
      <c r="CD66" s="62" t="str">
        <v/>
      </c>
      <c r="CE66" s="122" t="str">
        <v/>
      </c>
      <c r="CF66" s="62" t="str">
        <v/>
      </c>
      <c r="CG66" s="62" t="str">
        <v/>
      </c>
      <c r="CH66" s="62" t="str">
        <v/>
      </c>
      <c r="CI66" s="62" t="str">
        <v/>
      </c>
      <c r="CJ66" s="62" t="str">
        <v/>
      </c>
      <c r="CK66" s="62" t="str">
        <v/>
      </c>
      <c r="CL66" s="62" t="str">
        <v/>
      </c>
      <c r="CM66" s="62" t="str">
        <v/>
      </c>
      <c r="CN66" s="130" t="str">
        <v/>
      </c>
    </row>
    <row r="67" spans="1:92">
      <c r="A67" s="39"/>
      <c r="B67" s="75"/>
      <c r="C67" s="41"/>
      <c r="D67" s="41"/>
      <c r="E67" s="41"/>
      <c r="F67" s="42"/>
      <c r="G67" s="61" t="str">
        <v/>
      </c>
      <c r="H67" s="61" t="str">
        <v/>
      </c>
      <c r="I67" s="42"/>
      <c r="J67" s="61" t="str">
        <v/>
      </c>
      <c r="K67" s="61" t="str">
        <v/>
      </c>
      <c r="L67" s="61" t="str">
        <v/>
      </c>
      <c r="M67" s="61" t="str">
        <v/>
      </c>
      <c r="N67" s="62" t="str">
        <v/>
      </c>
      <c r="O67" s="61" t="str">
        <v/>
      </c>
      <c r="P67" s="61" t="str">
        <v/>
      </c>
      <c r="Q67" s="61" t="str">
        <v/>
      </c>
      <c r="R67" s="61" t="str">
        <v/>
      </c>
      <c r="S67" s="61" t="str">
        <v/>
      </c>
      <c r="T67" s="45"/>
      <c r="U67" s="46"/>
      <c r="V67" s="46"/>
      <c r="W67" s="47"/>
      <c r="X67" s="46"/>
      <c r="Y67" s="46"/>
      <c r="Z67" s="46"/>
      <c r="AA67" s="46"/>
      <c r="AB67" s="47"/>
      <c r="AC67" s="62" t="str">
        <v/>
      </c>
      <c r="AD67" s="62" t="str">
        <v/>
      </c>
      <c r="AE67" s="62" t="str">
        <v/>
      </c>
      <c r="AF67" s="62" t="str">
        <v/>
      </c>
      <c r="AG67" s="63" t="str">
        <v/>
      </c>
      <c r="AH67" s="61" t="str">
        <v/>
      </c>
      <c r="AI67" s="61" t="str">
        <v/>
      </c>
      <c r="AJ67" s="64" t="str">
        <v/>
      </c>
      <c r="AK67" s="61" t="str">
        <v/>
      </c>
      <c r="AL67" s="61" t="str">
        <v/>
      </c>
      <c r="AM67" s="61" t="str">
        <v/>
      </c>
      <c r="AN67" s="61" t="str">
        <v/>
      </c>
      <c r="AO67" s="61" t="str">
        <v/>
      </c>
      <c r="AP67" s="42"/>
      <c r="AQ67" s="76"/>
      <c r="AR67" s="74"/>
      <c r="AS67" s="74" t="str">
        <v/>
      </c>
      <c r="AT67" s="72" t="str">
        <v/>
      </c>
      <c r="AU67" s="73"/>
      <c r="AV67" s="65" t="str">
        <v/>
      </c>
      <c r="AW67" s="62" t="str">
        <v/>
      </c>
      <c r="AX67" s="62" t="str">
        <v/>
      </c>
      <c r="AY67" s="66" t="str">
        <v/>
      </c>
      <c r="AZ67" s="61" t="str">
        <v/>
      </c>
      <c r="BA67" s="61" t="str">
        <v/>
      </c>
      <c r="BB67" s="61" t="str">
        <v/>
      </c>
      <c r="BC67" s="64" t="str">
        <v/>
      </c>
      <c r="BD67" s="61" t="str">
        <v/>
      </c>
      <c r="BE67" s="61" t="str">
        <v/>
      </c>
      <c r="BF67" s="61" t="str">
        <v/>
      </c>
      <c r="BG67" s="61" t="str">
        <v/>
      </c>
      <c r="BH67" s="61" t="str">
        <v/>
      </c>
      <c r="BI67" s="42"/>
      <c r="BJ67" s="67"/>
      <c r="BK67" s="60"/>
      <c r="BL67" s="60" t="str">
        <v/>
      </c>
      <c r="BM67" s="60" t="str">
        <v/>
      </c>
      <c r="BN67" s="60" t="str">
        <v/>
      </c>
      <c r="BO67" s="60" t="str">
        <v/>
      </c>
      <c r="BP67" s="60" t="str">
        <v/>
      </c>
      <c r="BQ67" s="60" t="str">
        <v/>
      </c>
      <c r="BR67" s="60" t="str">
        <v/>
      </c>
      <c r="BS67" s="60" t="str">
        <v/>
      </c>
      <c r="BT67" s="68" t="str">
        <v/>
      </c>
      <c r="BU67" s="42"/>
      <c r="BV67" s="62" t="str">
        <v/>
      </c>
      <c r="BW67" s="62" t="str">
        <v/>
      </c>
      <c r="BX67" s="62" t="str">
        <v/>
      </c>
      <c r="BY67" s="62" t="str">
        <v/>
      </c>
      <c r="BZ67" s="62" t="str">
        <v/>
      </c>
      <c r="CA67" s="62" t="str">
        <v/>
      </c>
      <c r="CB67" s="62" t="str">
        <v/>
      </c>
      <c r="CC67" s="62" t="str">
        <v/>
      </c>
      <c r="CD67" s="62" t="str">
        <v/>
      </c>
      <c r="CE67" s="122" t="str">
        <v/>
      </c>
      <c r="CF67" s="62" t="str">
        <v/>
      </c>
      <c r="CG67" s="62" t="str">
        <v/>
      </c>
      <c r="CH67" s="62" t="str">
        <v/>
      </c>
      <c r="CI67" s="62" t="str">
        <v/>
      </c>
      <c r="CJ67" s="62" t="str">
        <v/>
      </c>
      <c r="CK67" s="62" t="str">
        <v/>
      </c>
      <c r="CL67" s="62" t="str">
        <v/>
      </c>
      <c r="CM67" s="62" t="str">
        <v/>
      </c>
      <c r="CN67" s="130" t="str">
        <v/>
      </c>
    </row>
    <row r="68" spans="1:92">
      <c r="A68" s="39"/>
      <c r="B68" s="75"/>
      <c r="C68" s="41"/>
      <c r="D68" s="41"/>
      <c r="E68" s="41"/>
      <c r="F68" s="42"/>
      <c r="G68" s="61" t="str">
        <v/>
      </c>
      <c r="H68" s="61" t="str">
        <v/>
      </c>
      <c r="I68" s="42"/>
      <c r="J68" s="61" t="str">
        <v/>
      </c>
      <c r="K68" s="61" t="str">
        <v/>
      </c>
      <c r="L68" s="61" t="str">
        <v/>
      </c>
      <c r="M68" s="61" t="str">
        <v/>
      </c>
      <c r="N68" s="62" t="str">
        <v/>
      </c>
      <c r="O68" s="61" t="str">
        <v/>
      </c>
      <c r="P68" s="61" t="str">
        <v/>
      </c>
      <c r="Q68" s="61" t="str">
        <v/>
      </c>
      <c r="R68" s="61" t="str">
        <v/>
      </c>
      <c r="S68" s="61" t="str">
        <v/>
      </c>
      <c r="T68" s="45"/>
      <c r="U68" s="46"/>
      <c r="V68" s="46"/>
      <c r="W68" s="47"/>
      <c r="X68" s="46"/>
      <c r="Y68" s="46"/>
      <c r="Z68" s="46"/>
      <c r="AA68" s="46"/>
      <c r="AB68" s="47"/>
      <c r="AC68" s="62" t="str">
        <v/>
      </c>
      <c r="AD68" s="62" t="str">
        <v/>
      </c>
      <c r="AE68" s="62" t="str">
        <v/>
      </c>
      <c r="AF68" s="62" t="str">
        <v/>
      </c>
      <c r="AG68" s="63" t="str">
        <v/>
      </c>
      <c r="AH68" s="61" t="str">
        <v/>
      </c>
      <c r="AI68" s="61" t="str">
        <v/>
      </c>
      <c r="AJ68" s="64" t="str">
        <v/>
      </c>
      <c r="AK68" s="61" t="str">
        <v/>
      </c>
      <c r="AL68" s="61" t="str">
        <v/>
      </c>
      <c r="AM68" s="61" t="str">
        <v/>
      </c>
      <c r="AN68" s="61" t="str">
        <v/>
      </c>
      <c r="AO68" s="61" t="str">
        <v/>
      </c>
      <c r="AP68" s="42"/>
      <c r="AQ68" s="76"/>
      <c r="AR68" s="74"/>
      <c r="AS68" s="74" t="str">
        <v/>
      </c>
      <c r="AT68" s="72" t="str">
        <v/>
      </c>
      <c r="AU68" s="73"/>
      <c r="AV68" s="65" t="str">
        <v/>
      </c>
      <c r="AW68" s="62" t="str">
        <v/>
      </c>
      <c r="AX68" s="62" t="str">
        <v/>
      </c>
      <c r="AY68" s="66" t="str">
        <v/>
      </c>
      <c r="AZ68" s="61" t="str">
        <v/>
      </c>
      <c r="BA68" s="61" t="str">
        <v/>
      </c>
      <c r="BB68" s="61" t="str">
        <v/>
      </c>
      <c r="BC68" s="64" t="str">
        <v/>
      </c>
      <c r="BD68" s="61" t="str">
        <v/>
      </c>
      <c r="BE68" s="61" t="str">
        <v/>
      </c>
      <c r="BF68" s="61" t="str">
        <v/>
      </c>
      <c r="BG68" s="61" t="str">
        <v/>
      </c>
      <c r="BH68" s="61" t="str">
        <v/>
      </c>
      <c r="BI68" s="42"/>
      <c r="BJ68" s="67"/>
      <c r="BK68" s="60"/>
      <c r="BL68" s="60" t="str">
        <v/>
      </c>
      <c r="BM68" s="60" t="str">
        <v/>
      </c>
      <c r="BN68" s="60" t="str">
        <v/>
      </c>
      <c r="BO68" s="60" t="str">
        <v/>
      </c>
      <c r="BP68" s="60" t="str">
        <v/>
      </c>
      <c r="BQ68" s="60" t="str">
        <v/>
      </c>
      <c r="BR68" s="60" t="str">
        <v/>
      </c>
      <c r="BS68" s="60" t="str">
        <v/>
      </c>
      <c r="BT68" s="68" t="str">
        <v/>
      </c>
      <c r="BU68" s="42"/>
      <c r="BV68" s="62" t="str">
        <v/>
      </c>
      <c r="BW68" s="62" t="str">
        <v/>
      </c>
      <c r="BX68" s="62" t="str">
        <v/>
      </c>
      <c r="BY68" s="62" t="str">
        <v/>
      </c>
      <c r="BZ68" s="62" t="str">
        <v/>
      </c>
      <c r="CA68" s="62" t="str">
        <v/>
      </c>
      <c r="CB68" s="62" t="str">
        <v/>
      </c>
      <c r="CC68" s="62" t="str">
        <v/>
      </c>
      <c r="CD68" s="62" t="str">
        <v/>
      </c>
      <c r="CE68" s="122" t="str">
        <v/>
      </c>
      <c r="CF68" s="62" t="str">
        <v/>
      </c>
      <c r="CG68" s="62" t="str">
        <v/>
      </c>
      <c r="CH68" s="62" t="str">
        <v/>
      </c>
      <c r="CI68" s="62" t="str">
        <v/>
      </c>
      <c r="CJ68" s="62" t="str">
        <v/>
      </c>
      <c r="CK68" s="62" t="str">
        <v/>
      </c>
      <c r="CL68" s="62" t="str">
        <v/>
      </c>
      <c r="CM68" s="62" t="str">
        <v/>
      </c>
      <c r="CN68" s="130" t="str">
        <v/>
      </c>
    </row>
    <row r="69" spans="1:92">
      <c r="A69" s="39"/>
      <c r="B69" s="75"/>
      <c r="C69" s="41"/>
      <c r="D69" s="41"/>
      <c r="E69" s="41"/>
      <c r="F69" s="42"/>
      <c r="G69" s="61" t="str">
        <v/>
      </c>
      <c r="H69" s="61" t="str">
        <v/>
      </c>
      <c r="I69" s="42"/>
      <c r="J69" s="61" t="str">
        <v/>
      </c>
      <c r="K69" s="61" t="str">
        <v/>
      </c>
      <c r="L69" s="61" t="str">
        <v/>
      </c>
      <c r="M69" s="61" t="str">
        <v/>
      </c>
      <c r="N69" s="62" t="str">
        <v/>
      </c>
      <c r="O69" s="61" t="str">
        <v/>
      </c>
      <c r="P69" s="61" t="str">
        <v/>
      </c>
      <c r="Q69" s="61" t="str">
        <v/>
      </c>
      <c r="R69" s="61" t="str">
        <v/>
      </c>
      <c r="S69" s="61" t="str">
        <v/>
      </c>
      <c r="T69" s="45"/>
      <c r="U69" s="46"/>
      <c r="V69" s="46"/>
      <c r="W69" s="47"/>
      <c r="X69" s="46"/>
      <c r="Y69" s="46"/>
      <c r="Z69" s="46"/>
      <c r="AA69" s="46"/>
      <c r="AB69" s="47"/>
      <c r="AC69" s="62" t="str">
        <v/>
      </c>
      <c r="AD69" s="62" t="str">
        <v/>
      </c>
      <c r="AE69" s="62" t="str">
        <v/>
      </c>
      <c r="AF69" s="62" t="str">
        <v/>
      </c>
      <c r="AG69" s="63" t="str">
        <v/>
      </c>
      <c r="AH69" s="61" t="str">
        <v/>
      </c>
      <c r="AI69" s="61" t="str">
        <v/>
      </c>
      <c r="AJ69" s="64" t="str">
        <v/>
      </c>
      <c r="AK69" s="61" t="str">
        <v/>
      </c>
      <c r="AL69" s="61" t="str">
        <v/>
      </c>
      <c r="AM69" s="61" t="str">
        <v/>
      </c>
      <c r="AN69" s="61" t="str">
        <v/>
      </c>
      <c r="AO69" s="61" t="str">
        <v/>
      </c>
      <c r="AP69" s="42"/>
      <c r="AQ69" s="76"/>
      <c r="AR69" s="74"/>
      <c r="AS69" s="74" t="str">
        <v/>
      </c>
      <c r="AT69" s="72" t="str">
        <v/>
      </c>
      <c r="AU69" s="73"/>
      <c r="AV69" s="65" t="str">
        <v/>
      </c>
      <c r="AW69" s="62" t="str">
        <v/>
      </c>
      <c r="AX69" s="62" t="str">
        <v/>
      </c>
      <c r="AY69" s="66" t="str">
        <v/>
      </c>
      <c r="AZ69" s="61" t="str">
        <v/>
      </c>
      <c r="BA69" s="61" t="str">
        <v/>
      </c>
      <c r="BB69" s="61" t="str">
        <v/>
      </c>
      <c r="BC69" s="64" t="str">
        <v/>
      </c>
      <c r="BD69" s="61" t="str">
        <v/>
      </c>
      <c r="BE69" s="61" t="str">
        <v/>
      </c>
      <c r="BF69" s="61" t="str">
        <v/>
      </c>
      <c r="BG69" s="61" t="str">
        <v/>
      </c>
      <c r="BH69" s="61" t="str">
        <v/>
      </c>
      <c r="BI69" s="42"/>
      <c r="BJ69" s="67"/>
      <c r="BK69" s="60"/>
      <c r="BL69" s="60" t="str">
        <v/>
      </c>
      <c r="BM69" s="60" t="str">
        <v/>
      </c>
      <c r="BN69" s="60" t="str">
        <v/>
      </c>
      <c r="BO69" s="60" t="str">
        <v/>
      </c>
      <c r="BP69" s="60" t="str">
        <v/>
      </c>
      <c r="BQ69" s="60" t="str">
        <v/>
      </c>
      <c r="BR69" s="60" t="str">
        <v/>
      </c>
      <c r="BS69" s="60" t="str">
        <v/>
      </c>
      <c r="BT69" s="68" t="str">
        <v/>
      </c>
      <c r="BU69" s="42"/>
      <c r="BV69" s="62" t="str">
        <v/>
      </c>
      <c r="BW69" s="62" t="str">
        <v/>
      </c>
      <c r="BX69" s="62" t="str">
        <v/>
      </c>
      <c r="BY69" s="62" t="str">
        <v/>
      </c>
      <c r="BZ69" s="62" t="str">
        <v/>
      </c>
      <c r="CA69" s="62" t="str">
        <v/>
      </c>
      <c r="CB69" s="62" t="str">
        <v/>
      </c>
      <c r="CC69" s="62" t="str">
        <v/>
      </c>
      <c r="CD69" s="62" t="str">
        <v/>
      </c>
      <c r="CE69" s="122" t="str">
        <v/>
      </c>
      <c r="CF69" s="62" t="str">
        <v/>
      </c>
      <c r="CG69" s="62" t="str">
        <v/>
      </c>
      <c r="CH69" s="62" t="str">
        <v/>
      </c>
      <c r="CI69" s="62" t="str">
        <v/>
      </c>
      <c r="CJ69" s="62" t="str">
        <v/>
      </c>
      <c r="CK69" s="62" t="str">
        <v/>
      </c>
      <c r="CL69" s="62" t="str">
        <v/>
      </c>
      <c r="CM69" s="62" t="str">
        <v/>
      </c>
      <c r="CN69" s="130" t="str">
        <v/>
      </c>
    </row>
    <row r="70" spans="1:92">
      <c r="A70" s="39"/>
      <c r="B70" s="75"/>
      <c r="C70" s="41"/>
      <c r="D70" s="41"/>
      <c r="E70" s="41"/>
      <c r="F70" s="42"/>
      <c r="G70" s="61" t="str">
        <v/>
      </c>
      <c r="H70" s="61" t="str">
        <v/>
      </c>
      <c r="I70" s="42"/>
      <c r="J70" s="61" t="str">
        <v/>
      </c>
      <c r="K70" s="61" t="str">
        <v/>
      </c>
      <c r="L70" s="61" t="str">
        <v/>
      </c>
      <c r="M70" s="61" t="str">
        <v/>
      </c>
      <c r="N70" s="62" t="str">
        <v/>
      </c>
      <c r="O70" s="61" t="str">
        <v/>
      </c>
      <c r="P70" s="61" t="str">
        <v/>
      </c>
      <c r="Q70" s="61" t="str">
        <v/>
      </c>
      <c r="R70" s="61" t="str">
        <v/>
      </c>
      <c r="S70" s="61" t="str">
        <v/>
      </c>
      <c r="T70" s="45"/>
      <c r="U70" s="46"/>
      <c r="V70" s="46"/>
      <c r="W70" s="47"/>
      <c r="X70" s="46"/>
      <c r="Y70" s="46"/>
      <c r="Z70" s="46"/>
      <c r="AA70" s="46"/>
      <c r="AB70" s="47"/>
      <c r="AC70" s="62" t="str">
        <v/>
      </c>
      <c r="AD70" s="62" t="str">
        <v/>
      </c>
      <c r="AE70" s="62" t="str">
        <v/>
      </c>
      <c r="AF70" s="62" t="str">
        <v/>
      </c>
      <c r="AG70" s="63" t="str">
        <v/>
      </c>
      <c r="AH70" s="61" t="str">
        <v/>
      </c>
      <c r="AI70" s="61" t="str">
        <v/>
      </c>
      <c r="AJ70" s="64" t="str">
        <v/>
      </c>
      <c r="AK70" s="61" t="str">
        <v/>
      </c>
      <c r="AL70" s="61" t="str">
        <v/>
      </c>
      <c r="AM70" s="61" t="str">
        <v/>
      </c>
      <c r="AN70" s="61" t="str">
        <v/>
      </c>
      <c r="AO70" s="61" t="str">
        <v/>
      </c>
      <c r="AP70" s="42"/>
      <c r="AQ70" s="76"/>
      <c r="AR70" s="74"/>
      <c r="AS70" s="74" t="str">
        <v/>
      </c>
      <c r="AT70" s="72" t="str">
        <v/>
      </c>
      <c r="AU70" s="73"/>
      <c r="AV70" s="65" t="str">
        <v/>
      </c>
      <c r="AW70" s="62" t="str">
        <v/>
      </c>
      <c r="AX70" s="62" t="str">
        <v/>
      </c>
      <c r="AY70" s="66" t="str">
        <v/>
      </c>
      <c r="AZ70" s="61" t="str">
        <v/>
      </c>
      <c r="BA70" s="61" t="str">
        <v/>
      </c>
      <c r="BB70" s="61" t="str">
        <v/>
      </c>
      <c r="BC70" s="64" t="str">
        <v/>
      </c>
      <c r="BD70" s="61" t="str">
        <v/>
      </c>
      <c r="BE70" s="61" t="str">
        <v/>
      </c>
      <c r="BF70" s="61" t="str">
        <v/>
      </c>
      <c r="BG70" s="61" t="str">
        <v/>
      </c>
      <c r="BH70" s="61" t="str">
        <v/>
      </c>
      <c r="BI70" s="42"/>
      <c r="BJ70" s="67"/>
      <c r="BK70" s="60"/>
      <c r="BL70" s="60" t="str">
        <v/>
      </c>
      <c r="BM70" s="60" t="str">
        <v/>
      </c>
      <c r="BN70" s="60" t="str">
        <v/>
      </c>
      <c r="BO70" s="60" t="str">
        <v/>
      </c>
      <c r="BP70" s="60" t="str">
        <v/>
      </c>
      <c r="BQ70" s="60" t="str">
        <v/>
      </c>
      <c r="BR70" s="60" t="str">
        <v/>
      </c>
      <c r="BS70" s="60" t="str">
        <v/>
      </c>
      <c r="BT70" s="68" t="str">
        <v/>
      </c>
      <c r="BU70" s="42"/>
      <c r="BV70" s="62" t="str">
        <v/>
      </c>
      <c r="BW70" s="62" t="str">
        <v/>
      </c>
      <c r="BX70" s="62" t="str">
        <v/>
      </c>
      <c r="BY70" s="62" t="str">
        <v/>
      </c>
      <c r="BZ70" s="62" t="str">
        <v/>
      </c>
      <c r="CA70" s="62" t="str">
        <v/>
      </c>
      <c r="CB70" s="62" t="str">
        <v/>
      </c>
      <c r="CC70" s="62" t="str">
        <v/>
      </c>
      <c r="CD70" s="62" t="str">
        <v/>
      </c>
      <c r="CE70" s="122" t="str">
        <v/>
      </c>
      <c r="CF70" s="62" t="str">
        <v/>
      </c>
      <c r="CG70" s="62" t="str">
        <v/>
      </c>
      <c r="CH70" s="62" t="str">
        <v/>
      </c>
      <c r="CI70" s="62" t="str">
        <v/>
      </c>
      <c r="CJ70" s="62" t="str">
        <v/>
      </c>
      <c r="CK70" s="62" t="str">
        <v/>
      </c>
      <c r="CL70" s="62" t="str">
        <v/>
      </c>
      <c r="CM70" s="62" t="str">
        <v/>
      </c>
      <c r="CN70" s="130" t="str">
        <v/>
      </c>
    </row>
    <row r="71" spans="1:92">
      <c r="A71" s="39"/>
      <c r="B71" s="75"/>
      <c r="C71" s="41"/>
      <c r="D71" s="41"/>
      <c r="E71" s="41"/>
      <c r="F71" s="42"/>
      <c r="G71" s="61" t="str">
        <v/>
      </c>
      <c r="H71" s="61" t="str">
        <v/>
      </c>
      <c r="I71" s="42"/>
      <c r="J71" s="61" t="str">
        <v/>
      </c>
      <c r="K71" s="61" t="str">
        <v/>
      </c>
      <c r="L71" s="61" t="str">
        <v/>
      </c>
      <c r="M71" s="61" t="str">
        <v/>
      </c>
      <c r="N71" s="62" t="str">
        <v/>
      </c>
      <c r="O71" s="61" t="str">
        <v/>
      </c>
      <c r="P71" s="61" t="str">
        <v/>
      </c>
      <c r="Q71" s="61" t="str">
        <v/>
      </c>
      <c r="R71" s="61" t="str">
        <v/>
      </c>
      <c r="S71" s="61" t="str">
        <v/>
      </c>
      <c r="T71" s="45"/>
      <c r="U71" s="46"/>
      <c r="V71" s="46"/>
      <c r="W71" s="47"/>
      <c r="X71" s="46"/>
      <c r="Y71" s="46"/>
      <c r="Z71" s="46"/>
      <c r="AA71" s="46"/>
      <c r="AB71" s="47"/>
      <c r="AC71" s="62" t="str">
        <v/>
      </c>
      <c r="AD71" s="62" t="str">
        <v/>
      </c>
      <c r="AE71" s="62" t="str">
        <v/>
      </c>
      <c r="AF71" s="62" t="str">
        <v/>
      </c>
      <c r="AG71" s="63" t="str">
        <v/>
      </c>
      <c r="AH71" s="61" t="str">
        <v/>
      </c>
      <c r="AI71" s="61" t="str">
        <v/>
      </c>
      <c r="AJ71" s="64" t="str">
        <v/>
      </c>
      <c r="AK71" s="61" t="str">
        <v/>
      </c>
      <c r="AL71" s="61" t="str">
        <v/>
      </c>
      <c r="AM71" s="61" t="str">
        <v/>
      </c>
      <c r="AN71" s="61" t="str">
        <v/>
      </c>
      <c r="AO71" s="61" t="str">
        <v/>
      </c>
      <c r="AP71" s="42"/>
      <c r="AQ71" s="76"/>
      <c r="AR71" s="74"/>
      <c r="AS71" s="74" t="str">
        <v/>
      </c>
      <c r="AT71" s="72" t="str">
        <v/>
      </c>
      <c r="AU71" s="73"/>
      <c r="AV71" s="65" t="str">
        <v/>
      </c>
      <c r="AW71" s="62" t="str">
        <v/>
      </c>
      <c r="AX71" s="62" t="str">
        <v/>
      </c>
      <c r="AY71" s="66" t="str">
        <v/>
      </c>
      <c r="AZ71" s="61" t="str">
        <v/>
      </c>
      <c r="BA71" s="61" t="str">
        <v/>
      </c>
      <c r="BB71" s="61" t="str">
        <v/>
      </c>
      <c r="BC71" s="64" t="str">
        <v/>
      </c>
      <c r="BD71" s="61" t="str">
        <v/>
      </c>
      <c r="BE71" s="61" t="str">
        <v/>
      </c>
      <c r="BF71" s="61" t="str">
        <v/>
      </c>
      <c r="BG71" s="61" t="str">
        <v/>
      </c>
      <c r="BH71" s="61" t="str">
        <v/>
      </c>
      <c r="BI71" s="42"/>
      <c r="BJ71" s="67"/>
      <c r="BK71" s="60"/>
      <c r="BL71" s="60" t="str">
        <v/>
      </c>
      <c r="BM71" s="60" t="str">
        <v/>
      </c>
      <c r="BN71" s="60" t="str">
        <v/>
      </c>
      <c r="BO71" s="60" t="str">
        <v/>
      </c>
      <c r="BP71" s="60" t="str">
        <v/>
      </c>
      <c r="BQ71" s="60" t="str">
        <v/>
      </c>
      <c r="BR71" s="60" t="str">
        <v/>
      </c>
      <c r="BS71" s="60" t="str">
        <v/>
      </c>
      <c r="BT71" s="68" t="str">
        <v/>
      </c>
      <c r="BU71" s="42"/>
      <c r="BV71" s="62" t="str">
        <v/>
      </c>
      <c r="BW71" s="62" t="str">
        <v/>
      </c>
      <c r="BX71" s="62" t="str">
        <v/>
      </c>
      <c r="BY71" s="62" t="str">
        <v/>
      </c>
      <c r="BZ71" s="62" t="str">
        <v/>
      </c>
      <c r="CA71" s="62" t="str">
        <v/>
      </c>
      <c r="CB71" s="62" t="str">
        <v/>
      </c>
      <c r="CC71" s="62" t="str">
        <v/>
      </c>
      <c r="CD71" s="62" t="str">
        <v/>
      </c>
      <c r="CE71" s="122" t="str">
        <v/>
      </c>
      <c r="CF71" s="62" t="str">
        <v/>
      </c>
      <c r="CG71" s="62" t="str">
        <v/>
      </c>
      <c r="CH71" s="62" t="str">
        <v/>
      </c>
      <c r="CI71" s="62" t="str">
        <v/>
      </c>
      <c r="CJ71" s="62" t="str">
        <v/>
      </c>
      <c r="CK71" s="62" t="str">
        <v/>
      </c>
      <c r="CL71" s="62" t="str">
        <v/>
      </c>
      <c r="CM71" s="62" t="str">
        <v/>
      </c>
      <c r="CN71" s="130" t="str">
        <v/>
      </c>
    </row>
    <row r="72" spans="1:92">
      <c r="A72" s="39"/>
      <c r="B72" s="75"/>
      <c r="C72" s="41"/>
      <c r="D72" s="41"/>
      <c r="E72" s="41"/>
      <c r="F72" s="42"/>
      <c r="G72" s="61" t="str">
        <v/>
      </c>
      <c r="H72" s="61" t="str">
        <v/>
      </c>
      <c r="I72" s="42"/>
      <c r="J72" s="61" t="str">
        <v/>
      </c>
      <c r="K72" s="61" t="str">
        <v/>
      </c>
      <c r="L72" s="61" t="str">
        <v/>
      </c>
      <c r="M72" s="61" t="str">
        <v/>
      </c>
      <c r="N72" s="62" t="str">
        <v/>
      </c>
      <c r="O72" s="61" t="str">
        <v/>
      </c>
      <c r="P72" s="61" t="str">
        <v/>
      </c>
      <c r="Q72" s="61" t="str">
        <v/>
      </c>
      <c r="R72" s="61" t="str">
        <v/>
      </c>
      <c r="S72" s="61" t="str">
        <v/>
      </c>
      <c r="T72" s="45"/>
      <c r="U72" s="46"/>
      <c r="V72" s="46"/>
      <c r="W72" s="47"/>
      <c r="X72" s="46"/>
      <c r="Y72" s="46"/>
      <c r="Z72" s="46"/>
      <c r="AA72" s="46"/>
      <c r="AB72" s="47"/>
      <c r="AC72" s="62" t="str">
        <v/>
      </c>
      <c r="AD72" s="62" t="str">
        <v/>
      </c>
      <c r="AE72" s="62" t="str">
        <v/>
      </c>
      <c r="AF72" s="62" t="str">
        <v/>
      </c>
      <c r="AG72" s="63" t="str">
        <v/>
      </c>
      <c r="AH72" s="61" t="str">
        <v/>
      </c>
      <c r="AI72" s="61" t="str">
        <v/>
      </c>
      <c r="AJ72" s="64" t="str">
        <v/>
      </c>
      <c r="AK72" s="61" t="str">
        <v/>
      </c>
      <c r="AL72" s="61" t="str">
        <v/>
      </c>
      <c r="AM72" s="61" t="str">
        <v/>
      </c>
      <c r="AN72" s="61" t="str">
        <v/>
      </c>
      <c r="AO72" s="61" t="str">
        <v/>
      </c>
      <c r="AP72" s="42"/>
      <c r="AQ72" s="76"/>
      <c r="AR72" s="74"/>
      <c r="AS72" s="74" t="str">
        <v/>
      </c>
      <c r="AT72" s="72" t="str">
        <v/>
      </c>
      <c r="AU72" s="73"/>
      <c r="AV72" s="65" t="str">
        <v/>
      </c>
      <c r="AW72" s="62" t="str">
        <v/>
      </c>
      <c r="AX72" s="62" t="str">
        <v/>
      </c>
      <c r="AY72" s="66" t="str">
        <v/>
      </c>
      <c r="AZ72" s="61" t="str">
        <v/>
      </c>
      <c r="BA72" s="61" t="str">
        <v/>
      </c>
      <c r="BB72" s="61" t="str">
        <v/>
      </c>
      <c r="BC72" s="64" t="str">
        <v/>
      </c>
      <c r="BD72" s="61" t="str">
        <v/>
      </c>
      <c r="BE72" s="61" t="str">
        <v/>
      </c>
      <c r="BF72" s="61" t="str">
        <v/>
      </c>
      <c r="BG72" s="61" t="str">
        <v/>
      </c>
      <c r="BH72" s="61" t="str">
        <v/>
      </c>
      <c r="BI72" s="42"/>
      <c r="BJ72" s="67"/>
      <c r="BK72" s="60"/>
      <c r="BL72" s="60" t="str">
        <v/>
      </c>
      <c r="BM72" s="60" t="str">
        <v/>
      </c>
      <c r="BN72" s="60" t="str">
        <v/>
      </c>
      <c r="BO72" s="60" t="str">
        <v/>
      </c>
      <c r="BP72" s="60" t="str">
        <v/>
      </c>
      <c r="BQ72" s="60" t="str">
        <v/>
      </c>
      <c r="BR72" s="60" t="str">
        <v/>
      </c>
      <c r="BS72" s="60" t="str">
        <v/>
      </c>
      <c r="BT72" s="68" t="str">
        <v/>
      </c>
      <c r="BU72" s="42"/>
      <c r="BV72" s="62" t="str">
        <v/>
      </c>
      <c r="BW72" s="62" t="str">
        <v/>
      </c>
      <c r="BX72" s="62" t="str">
        <v/>
      </c>
      <c r="BY72" s="62" t="str">
        <v/>
      </c>
      <c r="BZ72" s="62" t="str">
        <v/>
      </c>
      <c r="CA72" s="62" t="str">
        <v/>
      </c>
      <c r="CB72" s="62" t="str">
        <v/>
      </c>
      <c r="CC72" s="62" t="str">
        <v/>
      </c>
      <c r="CD72" s="62" t="str">
        <v/>
      </c>
      <c r="CE72" s="122" t="str">
        <v/>
      </c>
      <c r="CF72" s="62" t="str">
        <v/>
      </c>
      <c r="CG72" s="62" t="str">
        <v/>
      </c>
      <c r="CH72" s="62" t="str">
        <v/>
      </c>
      <c r="CI72" s="62" t="str">
        <v/>
      </c>
      <c r="CJ72" s="62" t="str">
        <v/>
      </c>
      <c r="CK72" s="62" t="str">
        <v/>
      </c>
      <c r="CL72" s="62" t="str">
        <v/>
      </c>
      <c r="CM72" s="62" t="str">
        <v/>
      </c>
      <c r="CN72" s="130" t="str">
        <v/>
      </c>
    </row>
    <row r="73" spans="1:92">
      <c r="A73" s="39"/>
      <c r="B73" s="75"/>
      <c r="C73" s="41"/>
      <c r="D73" s="41"/>
      <c r="E73" s="41"/>
      <c r="F73" s="42"/>
      <c r="G73" s="61" t="str">
        <v/>
      </c>
      <c r="H73" s="61" t="str">
        <v/>
      </c>
      <c r="I73" s="42"/>
      <c r="J73" s="61" t="str">
        <v/>
      </c>
      <c r="K73" s="61" t="str">
        <v/>
      </c>
      <c r="L73" s="61" t="str">
        <v/>
      </c>
      <c r="M73" s="61" t="str">
        <v/>
      </c>
      <c r="N73" s="62" t="str">
        <v/>
      </c>
      <c r="O73" s="61" t="str">
        <v/>
      </c>
      <c r="P73" s="61" t="str">
        <v/>
      </c>
      <c r="Q73" s="61" t="str">
        <v/>
      </c>
      <c r="R73" s="61" t="str">
        <v/>
      </c>
      <c r="S73" s="61" t="str">
        <v/>
      </c>
      <c r="T73" s="45"/>
      <c r="U73" s="46"/>
      <c r="V73" s="46"/>
      <c r="W73" s="47"/>
      <c r="X73" s="46"/>
      <c r="Y73" s="46"/>
      <c r="Z73" s="46"/>
      <c r="AA73" s="46"/>
      <c r="AB73" s="47"/>
      <c r="AC73" s="62" t="str">
        <v/>
      </c>
      <c r="AD73" s="62" t="str">
        <v/>
      </c>
      <c r="AE73" s="62" t="str">
        <v/>
      </c>
      <c r="AF73" s="62" t="str">
        <v/>
      </c>
      <c r="AG73" s="63" t="str">
        <v/>
      </c>
      <c r="AH73" s="61" t="str">
        <v/>
      </c>
      <c r="AI73" s="61" t="str">
        <v/>
      </c>
      <c r="AJ73" s="64" t="str">
        <v/>
      </c>
      <c r="AK73" s="61" t="str">
        <v/>
      </c>
      <c r="AL73" s="61" t="str">
        <v/>
      </c>
      <c r="AM73" s="61" t="str">
        <v/>
      </c>
      <c r="AN73" s="61" t="str">
        <v/>
      </c>
      <c r="AO73" s="61" t="str">
        <v/>
      </c>
      <c r="AP73" s="42"/>
      <c r="AQ73" s="76"/>
      <c r="AR73" s="74"/>
      <c r="AS73" s="74" t="str">
        <v/>
      </c>
      <c r="AT73" s="72" t="str">
        <v/>
      </c>
      <c r="AU73" s="73"/>
      <c r="AV73" s="65" t="str">
        <v/>
      </c>
      <c r="AW73" s="62" t="str">
        <v/>
      </c>
      <c r="AX73" s="62" t="str">
        <v/>
      </c>
      <c r="AY73" s="66" t="str">
        <v/>
      </c>
      <c r="AZ73" s="61" t="str">
        <v/>
      </c>
      <c r="BA73" s="61" t="str">
        <v/>
      </c>
      <c r="BB73" s="61" t="str">
        <v/>
      </c>
      <c r="BC73" s="64" t="str">
        <v/>
      </c>
      <c r="BD73" s="61" t="str">
        <v/>
      </c>
      <c r="BE73" s="61" t="str">
        <v/>
      </c>
      <c r="BF73" s="61" t="str">
        <v/>
      </c>
      <c r="BG73" s="61" t="str">
        <v/>
      </c>
      <c r="BH73" s="61" t="str">
        <v/>
      </c>
      <c r="BI73" s="42"/>
      <c r="BJ73" s="67"/>
      <c r="BK73" s="60"/>
      <c r="BL73" s="60" t="str">
        <v/>
      </c>
      <c r="BM73" s="60" t="str">
        <v/>
      </c>
      <c r="BN73" s="60" t="str">
        <v/>
      </c>
      <c r="BO73" s="60" t="str">
        <v/>
      </c>
      <c r="BP73" s="60" t="str">
        <v/>
      </c>
      <c r="BQ73" s="60" t="str">
        <v/>
      </c>
      <c r="BR73" s="60" t="str">
        <v/>
      </c>
      <c r="BS73" s="60" t="str">
        <v/>
      </c>
      <c r="BT73" s="68" t="str">
        <v/>
      </c>
      <c r="BU73" s="42"/>
      <c r="BV73" s="62" t="str">
        <v/>
      </c>
      <c r="BW73" s="62" t="str">
        <v/>
      </c>
      <c r="BX73" s="62" t="str">
        <v/>
      </c>
      <c r="BY73" s="62" t="str">
        <v/>
      </c>
      <c r="BZ73" s="62" t="str">
        <v/>
      </c>
      <c r="CA73" s="62" t="str">
        <v/>
      </c>
      <c r="CB73" s="62" t="str">
        <v/>
      </c>
      <c r="CC73" s="62" t="str">
        <v/>
      </c>
      <c r="CD73" s="62" t="str">
        <v/>
      </c>
      <c r="CE73" s="122" t="str">
        <v/>
      </c>
      <c r="CF73" s="62" t="str">
        <v/>
      </c>
      <c r="CG73" s="62" t="str">
        <v/>
      </c>
      <c r="CH73" s="62" t="str">
        <v/>
      </c>
      <c r="CI73" s="62" t="str">
        <v/>
      </c>
      <c r="CJ73" s="62" t="str">
        <v/>
      </c>
      <c r="CK73" s="62" t="str">
        <v/>
      </c>
      <c r="CL73" s="62" t="str">
        <v/>
      </c>
      <c r="CM73" s="62" t="str">
        <v/>
      </c>
      <c r="CN73" s="130" t="str">
        <v/>
      </c>
    </row>
    <row r="74" spans="1:92">
      <c r="A74" s="39"/>
      <c r="B74" s="75"/>
      <c r="C74" s="41"/>
      <c r="D74" s="41"/>
      <c r="E74" s="41"/>
      <c r="F74" s="42"/>
      <c r="G74" s="61" t="str">
        <v/>
      </c>
      <c r="H74" s="61" t="str">
        <v/>
      </c>
      <c r="I74" s="42"/>
      <c r="J74" s="61" t="str">
        <v/>
      </c>
      <c r="K74" s="61" t="str">
        <v/>
      </c>
      <c r="L74" s="61" t="str">
        <v/>
      </c>
      <c r="M74" s="61" t="str">
        <v/>
      </c>
      <c r="N74" s="62" t="str">
        <v/>
      </c>
      <c r="O74" s="61" t="str">
        <v/>
      </c>
      <c r="P74" s="61" t="str">
        <v/>
      </c>
      <c r="Q74" s="61" t="str">
        <v/>
      </c>
      <c r="R74" s="61" t="str">
        <v/>
      </c>
      <c r="S74" s="61" t="str">
        <v/>
      </c>
      <c r="T74" s="45"/>
      <c r="U74" s="46"/>
      <c r="V74" s="46"/>
      <c r="W74" s="47"/>
      <c r="X74" s="46"/>
      <c r="Y74" s="46"/>
      <c r="Z74" s="46"/>
      <c r="AA74" s="46"/>
      <c r="AB74" s="47"/>
      <c r="AC74" s="62" t="str">
        <v/>
      </c>
      <c r="AD74" s="62" t="str">
        <v/>
      </c>
      <c r="AE74" s="62" t="str">
        <v/>
      </c>
      <c r="AF74" s="62" t="str">
        <v/>
      </c>
      <c r="AG74" s="63" t="str">
        <v/>
      </c>
      <c r="AH74" s="61" t="str">
        <v/>
      </c>
      <c r="AI74" s="61" t="str">
        <v/>
      </c>
      <c r="AJ74" s="64" t="str">
        <v/>
      </c>
      <c r="AK74" s="61" t="str">
        <v/>
      </c>
      <c r="AL74" s="61" t="str">
        <v/>
      </c>
      <c r="AM74" s="61" t="str">
        <v/>
      </c>
      <c r="AN74" s="61" t="str">
        <v/>
      </c>
      <c r="AO74" s="61" t="str">
        <v/>
      </c>
      <c r="AP74" s="42"/>
      <c r="AQ74" s="76"/>
      <c r="AR74" s="74"/>
      <c r="AS74" s="74" t="str">
        <v/>
      </c>
      <c r="AT74" s="72" t="str">
        <v/>
      </c>
      <c r="AU74" s="73"/>
      <c r="AV74" s="65" t="str">
        <v/>
      </c>
      <c r="AW74" s="62" t="str">
        <v/>
      </c>
      <c r="AX74" s="62" t="str">
        <v/>
      </c>
      <c r="AY74" s="66" t="str">
        <v/>
      </c>
      <c r="AZ74" s="61" t="str">
        <v/>
      </c>
      <c r="BA74" s="61" t="str">
        <v/>
      </c>
      <c r="BB74" s="61" t="str">
        <v/>
      </c>
      <c r="BC74" s="64" t="str">
        <v/>
      </c>
      <c r="BD74" s="61" t="str">
        <v/>
      </c>
      <c r="BE74" s="61" t="str">
        <v/>
      </c>
      <c r="BF74" s="61" t="str">
        <v/>
      </c>
      <c r="BG74" s="61" t="str">
        <v/>
      </c>
      <c r="BH74" s="61" t="str">
        <v/>
      </c>
      <c r="BI74" s="42"/>
      <c r="BJ74" s="67"/>
      <c r="BK74" s="60"/>
      <c r="BL74" s="60" t="str">
        <v/>
      </c>
      <c r="BM74" s="60" t="str">
        <v/>
      </c>
      <c r="BN74" s="60" t="str">
        <v/>
      </c>
      <c r="BO74" s="60" t="str">
        <v/>
      </c>
      <c r="BP74" s="60" t="str">
        <v/>
      </c>
      <c r="BQ74" s="60" t="str">
        <v/>
      </c>
      <c r="BR74" s="60" t="str">
        <v/>
      </c>
      <c r="BS74" s="60" t="str">
        <v/>
      </c>
      <c r="BT74" s="68" t="str">
        <v/>
      </c>
      <c r="BU74" s="42"/>
      <c r="BV74" s="62" t="str">
        <v/>
      </c>
      <c r="BW74" s="62" t="str">
        <v/>
      </c>
      <c r="BX74" s="62" t="str">
        <v/>
      </c>
      <c r="BY74" s="62" t="str">
        <v/>
      </c>
      <c r="BZ74" s="62" t="str">
        <v/>
      </c>
      <c r="CA74" s="62" t="str">
        <v/>
      </c>
      <c r="CB74" s="62" t="str">
        <v/>
      </c>
      <c r="CC74" s="62" t="str">
        <v/>
      </c>
      <c r="CD74" s="62" t="str">
        <v/>
      </c>
      <c r="CE74" s="122" t="str">
        <v/>
      </c>
      <c r="CF74" s="62" t="str">
        <v/>
      </c>
      <c r="CG74" s="62" t="str">
        <v/>
      </c>
      <c r="CH74" s="62" t="str">
        <v/>
      </c>
      <c r="CI74" s="62" t="str">
        <v/>
      </c>
      <c r="CJ74" s="62" t="str">
        <v/>
      </c>
      <c r="CK74" s="62" t="str">
        <v/>
      </c>
      <c r="CL74" s="62" t="str">
        <v/>
      </c>
      <c r="CM74" s="62" t="str">
        <v/>
      </c>
      <c r="CN74" s="130" t="str">
        <v/>
      </c>
    </row>
    <row r="75" spans="1:92">
      <c r="A75" s="39"/>
      <c r="B75" s="75"/>
      <c r="C75" s="41"/>
      <c r="D75" s="41"/>
      <c r="E75" s="41"/>
      <c r="F75" s="42"/>
      <c r="G75" s="61" t="str">
        <v/>
      </c>
      <c r="H75" s="61" t="str">
        <v/>
      </c>
      <c r="I75" s="42"/>
      <c r="J75" s="61" t="str">
        <v/>
      </c>
      <c r="K75" s="61" t="str">
        <v/>
      </c>
      <c r="L75" s="61" t="str">
        <v/>
      </c>
      <c r="M75" s="61" t="str">
        <v/>
      </c>
      <c r="N75" s="62" t="str">
        <v/>
      </c>
      <c r="O75" s="61" t="str">
        <v/>
      </c>
      <c r="P75" s="61" t="str">
        <v/>
      </c>
      <c r="Q75" s="61" t="str">
        <v/>
      </c>
      <c r="R75" s="61" t="str">
        <v/>
      </c>
      <c r="S75" s="61" t="str">
        <v/>
      </c>
      <c r="T75" s="45"/>
      <c r="U75" s="46"/>
      <c r="V75" s="46"/>
      <c r="W75" s="47"/>
      <c r="X75" s="46"/>
      <c r="Y75" s="46"/>
      <c r="Z75" s="46"/>
      <c r="AA75" s="46"/>
      <c r="AB75" s="47"/>
      <c r="AC75" s="62" t="str">
        <v/>
      </c>
      <c r="AD75" s="62" t="str">
        <v/>
      </c>
      <c r="AE75" s="62" t="str">
        <v/>
      </c>
      <c r="AF75" s="62" t="str">
        <v/>
      </c>
      <c r="AG75" s="63" t="str">
        <v/>
      </c>
      <c r="AH75" s="61" t="str">
        <v/>
      </c>
      <c r="AI75" s="61" t="str">
        <v/>
      </c>
      <c r="AJ75" s="64" t="str">
        <v/>
      </c>
      <c r="AK75" s="61" t="str">
        <v/>
      </c>
      <c r="AL75" s="61" t="str">
        <v/>
      </c>
      <c r="AM75" s="61" t="str">
        <v/>
      </c>
      <c r="AN75" s="61" t="str">
        <v/>
      </c>
      <c r="AO75" s="61" t="str">
        <v/>
      </c>
      <c r="AP75" s="42"/>
      <c r="AQ75" s="76"/>
      <c r="AR75" s="74"/>
      <c r="AS75" s="74" t="str">
        <v/>
      </c>
      <c r="AT75" s="72" t="str">
        <v/>
      </c>
      <c r="AU75" s="73"/>
      <c r="AV75" s="65" t="str">
        <v/>
      </c>
      <c r="AW75" s="62" t="str">
        <v/>
      </c>
      <c r="AX75" s="62" t="str">
        <v/>
      </c>
      <c r="AY75" s="66" t="str">
        <v/>
      </c>
      <c r="AZ75" s="61" t="str">
        <v/>
      </c>
      <c r="BA75" s="61" t="str">
        <v/>
      </c>
      <c r="BB75" s="61" t="str">
        <v/>
      </c>
      <c r="BC75" s="64" t="str">
        <v/>
      </c>
      <c r="BD75" s="61" t="str">
        <v/>
      </c>
      <c r="BE75" s="61" t="str">
        <v/>
      </c>
      <c r="BF75" s="61" t="str">
        <v/>
      </c>
      <c r="BG75" s="61" t="str">
        <v/>
      </c>
      <c r="BH75" s="61" t="str">
        <v/>
      </c>
      <c r="BI75" s="42"/>
      <c r="BJ75" s="67"/>
      <c r="BK75" s="60"/>
      <c r="BL75" s="60" t="str">
        <v/>
      </c>
      <c r="BM75" s="60" t="str">
        <v/>
      </c>
      <c r="BN75" s="60" t="str">
        <v/>
      </c>
      <c r="BO75" s="60" t="str">
        <v/>
      </c>
      <c r="BP75" s="60" t="str">
        <v/>
      </c>
      <c r="BQ75" s="60" t="str">
        <v/>
      </c>
      <c r="BR75" s="60" t="str">
        <v/>
      </c>
      <c r="BS75" s="60" t="str">
        <v/>
      </c>
      <c r="BT75" s="68" t="str">
        <v/>
      </c>
      <c r="BU75" s="42"/>
      <c r="BV75" s="62" t="str">
        <v/>
      </c>
      <c r="BW75" s="62" t="str">
        <v/>
      </c>
      <c r="BX75" s="62" t="str">
        <v/>
      </c>
      <c r="BY75" s="62" t="str">
        <v/>
      </c>
      <c r="BZ75" s="62" t="str">
        <v/>
      </c>
      <c r="CA75" s="62" t="str">
        <v/>
      </c>
      <c r="CB75" s="62" t="str">
        <v/>
      </c>
      <c r="CC75" s="62" t="str">
        <v/>
      </c>
      <c r="CD75" s="62" t="str">
        <v/>
      </c>
      <c r="CE75" s="122" t="str">
        <v/>
      </c>
      <c r="CF75" s="62" t="str">
        <v/>
      </c>
      <c r="CG75" s="62" t="str">
        <v/>
      </c>
      <c r="CH75" s="62" t="str">
        <v/>
      </c>
      <c r="CI75" s="62" t="str">
        <v/>
      </c>
      <c r="CJ75" s="62" t="str">
        <v/>
      </c>
      <c r="CK75" s="62" t="str">
        <v/>
      </c>
      <c r="CL75" s="62" t="str">
        <v/>
      </c>
      <c r="CM75" s="62" t="str">
        <v/>
      </c>
      <c r="CN75" s="130" t="str">
        <v/>
      </c>
    </row>
    <row r="76" spans="1:92">
      <c r="A76" s="39"/>
      <c r="B76" s="75"/>
      <c r="C76" s="41"/>
      <c r="D76" s="41"/>
      <c r="E76" s="41"/>
      <c r="F76" s="42"/>
      <c r="G76" s="61" t="str">
        <v/>
      </c>
      <c r="H76" s="61" t="str">
        <v/>
      </c>
      <c r="I76" s="42"/>
      <c r="J76" s="61" t="str">
        <v/>
      </c>
      <c r="K76" s="61" t="str">
        <v/>
      </c>
      <c r="L76" s="61" t="str">
        <v/>
      </c>
      <c r="M76" s="61" t="str">
        <v/>
      </c>
      <c r="N76" s="62" t="str">
        <v/>
      </c>
      <c r="O76" s="61" t="str">
        <v/>
      </c>
      <c r="P76" s="61" t="str">
        <v/>
      </c>
      <c r="Q76" s="61" t="str">
        <v/>
      </c>
      <c r="R76" s="61" t="str">
        <v/>
      </c>
      <c r="S76" s="61" t="str">
        <v/>
      </c>
      <c r="T76" s="45"/>
      <c r="U76" s="46"/>
      <c r="V76" s="46"/>
      <c r="W76" s="47"/>
      <c r="X76" s="46"/>
      <c r="Y76" s="46"/>
      <c r="Z76" s="46"/>
      <c r="AA76" s="46"/>
      <c r="AB76" s="47"/>
      <c r="AC76" s="62" t="str">
        <v/>
      </c>
      <c r="AD76" s="62" t="str">
        <v/>
      </c>
      <c r="AE76" s="62" t="str">
        <v/>
      </c>
      <c r="AF76" s="62" t="str">
        <v/>
      </c>
      <c r="AG76" s="63" t="str">
        <v/>
      </c>
      <c r="AH76" s="61" t="str">
        <v/>
      </c>
      <c r="AI76" s="61" t="str">
        <v/>
      </c>
      <c r="AJ76" s="64" t="str">
        <v/>
      </c>
      <c r="AK76" s="61" t="str">
        <v/>
      </c>
      <c r="AL76" s="61" t="str">
        <v/>
      </c>
      <c r="AM76" s="61" t="str">
        <v/>
      </c>
      <c r="AN76" s="61" t="str">
        <v/>
      </c>
      <c r="AO76" s="61" t="str">
        <v/>
      </c>
      <c r="AP76" s="42"/>
      <c r="AQ76" s="76"/>
      <c r="AR76" s="74"/>
      <c r="AS76" s="74" t="str">
        <v/>
      </c>
      <c r="AT76" s="72" t="str">
        <v/>
      </c>
      <c r="AU76" s="73"/>
      <c r="AV76" s="65" t="str">
        <v/>
      </c>
      <c r="AW76" s="62" t="str">
        <v/>
      </c>
      <c r="AX76" s="62" t="str">
        <v/>
      </c>
      <c r="AY76" s="66" t="str">
        <v/>
      </c>
      <c r="AZ76" s="61" t="str">
        <v/>
      </c>
      <c r="BA76" s="61" t="str">
        <v/>
      </c>
      <c r="BB76" s="61" t="str">
        <v/>
      </c>
      <c r="BC76" s="64" t="str">
        <v/>
      </c>
      <c r="BD76" s="61" t="str">
        <v/>
      </c>
      <c r="BE76" s="61" t="str">
        <v/>
      </c>
      <c r="BF76" s="61" t="str">
        <v/>
      </c>
      <c r="BG76" s="61" t="str">
        <v/>
      </c>
      <c r="BH76" s="61" t="str">
        <v/>
      </c>
      <c r="BI76" s="42"/>
      <c r="BJ76" s="67"/>
      <c r="BK76" s="60"/>
      <c r="BL76" s="60" t="str">
        <v/>
      </c>
      <c r="BM76" s="60" t="str">
        <v/>
      </c>
      <c r="BN76" s="60" t="str">
        <v/>
      </c>
      <c r="BO76" s="60" t="str">
        <v/>
      </c>
      <c r="BP76" s="60" t="str">
        <v/>
      </c>
      <c r="BQ76" s="60" t="str">
        <v/>
      </c>
      <c r="BR76" s="60" t="str">
        <v/>
      </c>
      <c r="BS76" s="60" t="str">
        <v/>
      </c>
      <c r="BT76" s="68" t="str">
        <v/>
      </c>
      <c r="BU76" s="42"/>
      <c r="BV76" s="62" t="str">
        <v/>
      </c>
      <c r="BW76" s="62" t="str">
        <v/>
      </c>
      <c r="BX76" s="62" t="str">
        <v/>
      </c>
      <c r="BY76" s="62" t="str">
        <v/>
      </c>
      <c r="BZ76" s="62" t="str">
        <v/>
      </c>
      <c r="CA76" s="62" t="str">
        <v/>
      </c>
      <c r="CB76" s="62" t="str">
        <v/>
      </c>
      <c r="CC76" s="62" t="str">
        <v/>
      </c>
      <c r="CD76" s="62" t="str">
        <v/>
      </c>
      <c r="CE76" s="122" t="str">
        <v/>
      </c>
      <c r="CF76" s="62" t="str">
        <v/>
      </c>
      <c r="CG76" s="62" t="str">
        <v/>
      </c>
      <c r="CH76" s="62" t="str">
        <v/>
      </c>
      <c r="CI76" s="62" t="str">
        <v/>
      </c>
      <c r="CJ76" s="62" t="str">
        <v/>
      </c>
      <c r="CK76" s="62" t="str">
        <v/>
      </c>
      <c r="CL76" s="62" t="str">
        <v/>
      </c>
      <c r="CM76" s="62" t="str">
        <v/>
      </c>
      <c r="CN76" s="130" t="str">
        <v/>
      </c>
    </row>
    <row r="77" spans="1:92">
      <c r="A77" s="39"/>
      <c r="B77" s="75"/>
      <c r="C77" s="41"/>
      <c r="D77" s="41"/>
      <c r="E77" s="41"/>
      <c r="F77" s="42"/>
      <c r="G77" s="61" t="str">
        <v/>
      </c>
      <c r="H77" s="61" t="str">
        <v/>
      </c>
      <c r="I77" s="42"/>
      <c r="J77" s="61" t="str">
        <v/>
      </c>
      <c r="K77" s="61" t="str">
        <v/>
      </c>
      <c r="L77" s="61" t="str">
        <v/>
      </c>
      <c r="M77" s="61" t="str">
        <v/>
      </c>
      <c r="N77" s="62" t="str">
        <v/>
      </c>
      <c r="O77" s="61" t="str">
        <v/>
      </c>
      <c r="P77" s="61" t="str">
        <v/>
      </c>
      <c r="Q77" s="61" t="str">
        <v/>
      </c>
      <c r="R77" s="61" t="str">
        <v/>
      </c>
      <c r="S77" s="61" t="str">
        <v/>
      </c>
      <c r="T77" s="45"/>
      <c r="U77" s="46"/>
      <c r="V77" s="46"/>
      <c r="W77" s="47"/>
      <c r="X77" s="46"/>
      <c r="Y77" s="46"/>
      <c r="Z77" s="46"/>
      <c r="AA77" s="46"/>
      <c r="AB77" s="47"/>
      <c r="AC77" s="62" t="str">
        <v/>
      </c>
      <c r="AD77" s="62" t="str">
        <v/>
      </c>
      <c r="AE77" s="62" t="str">
        <v/>
      </c>
      <c r="AF77" s="62" t="str">
        <v/>
      </c>
      <c r="AG77" s="63" t="str">
        <v/>
      </c>
      <c r="AH77" s="61" t="str">
        <v/>
      </c>
      <c r="AI77" s="61" t="str">
        <v/>
      </c>
      <c r="AJ77" s="64" t="str">
        <v/>
      </c>
      <c r="AK77" s="61" t="str">
        <v/>
      </c>
      <c r="AL77" s="61" t="str">
        <v/>
      </c>
      <c r="AM77" s="61" t="str">
        <v/>
      </c>
      <c r="AN77" s="61" t="str">
        <v/>
      </c>
      <c r="AO77" s="61" t="str">
        <v/>
      </c>
      <c r="AP77" s="42"/>
      <c r="AQ77" s="76"/>
      <c r="AR77" s="74"/>
      <c r="AS77" s="74" t="str">
        <v/>
      </c>
      <c r="AT77" s="72" t="str">
        <v/>
      </c>
      <c r="AU77" s="73"/>
      <c r="AV77" s="65" t="str">
        <v/>
      </c>
      <c r="AW77" s="62" t="str">
        <v/>
      </c>
      <c r="AX77" s="62" t="str">
        <v/>
      </c>
      <c r="AY77" s="66" t="str">
        <v/>
      </c>
      <c r="AZ77" s="61" t="str">
        <v/>
      </c>
      <c r="BA77" s="61" t="str">
        <v/>
      </c>
      <c r="BB77" s="61" t="str">
        <v/>
      </c>
      <c r="BC77" s="64" t="str">
        <v/>
      </c>
      <c r="BD77" s="61" t="str">
        <v/>
      </c>
      <c r="BE77" s="61" t="str">
        <v/>
      </c>
      <c r="BF77" s="61" t="str">
        <v/>
      </c>
      <c r="BG77" s="61" t="str">
        <v/>
      </c>
      <c r="BH77" s="61" t="str">
        <v/>
      </c>
      <c r="BI77" s="42"/>
      <c r="BJ77" s="67"/>
      <c r="BK77" s="60"/>
      <c r="BL77" s="60" t="str">
        <v/>
      </c>
      <c r="BM77" s="60" t="str">
        <v/>
      </c>
      <c r="BN77" s="60" t="str">
        <v/>
      </c>
      <c r="BO77" s="60" t="str">
        <v/>
      </c>
      <c r="BP77" s="60" t="str">
        <v/>
      </c>
      <c r="BQ77" s="60" t="str">
        <v/>
      </c>
      <c r="BR77" s="60" t="str">
        <v/>
      </c>
      <c r="BS77" s="60" t="str">
        <v/>
      </c>
      <c r="BT77" s="68" t="str">
        <v/>
      </c>
      <c r="BU77" s="42"/>
      <c r="BV77" s="62" t="str">
        <v/>
      </c>
      <c r="BW77" s="62" t="str">
        <v/>
      </c>
      <c r="BX77" s="62" t="str">
        <v/>
      </c>
      <c r="BY77" s="62" t="str">
        <v/>
      </c>
      <c r="BZ77" s="62" t="str">
        <v/>
      </c>
      <c r="CA77" s="62" t="str">
        <v/>
      </c>
      <c r="CB77" s="62" t="str">
        <v/>
      </c>
      <c r="CC77" s="62" t="str">
        <v/>
      </c>
      <c r="CD77" s="62" t="str">
        <v/>
      </c>
      <c r="CE77" s="122" t="str">
        <v/>
      </c>
      <c r="CF77" s="62" t="str">
        <v/>
      </c>
      <c r="CG77" s="62" t="str">
        <v/>
      </c>
      <c r="CH77" s="62" t="str">
        <v/>
      </c>
      <c r="CI77" s="62" t="str">
        <v/>
      </c>
      <c r="CJ77" s="62" t="str">
        <v/>
      </c>
      <c r="CK77" s="62" t="str">
        <v/>
      </c>
      <c r="CL77" s="62" t="str">
        <v/>
      </c>
      <c r="CM77" s="62" t="str">
        <v/>
      </c>
      <c r="CN77" s="130" t="str">
        <v/>
      </c>
    </row>
    <row r="78" spans="1:92">
      <c r="A78" s="39"/>
      <c r="B78" s="75"/>
      <c r="C78" s="41"/>
      <c r="D78" s="41"/>
      <c r="E78" s="41"/>
      <c r="F78" s="42"/>
      <c r="G78" s="61" t="str">
        <v/>
      </c>
      <c r="H78" s="61" t="str">
        <v/>
      </c>
      <c r="I78" s="42"/>
      <c r="J78" s="61" t="str">
        <v/>
      </c>
      <c r="K78" s="61" t="str">
        <v/>
      </c>
      <c r="L78" s="61" t="str">
        <v/>
      </c>
      <c r="M78" s="61" t="str">
        <v/>
      </c>
      <c r="N78" s="62" t="str">
        <v/>
      </c>
      <c r="O78" s="61" t="str">
        <v/>
      </c>
      <c r="P78" s="61" t="str">
        <v/>
      </c>
      <c r="Q78" s="61" t="str">
        <v/>
      </c>
      <c r="R78" s="61" t="str">
        <v/>
      </c>
      <c r="S78" s="61" t="str">
        <v/>
      </c>
      <c r="T78" s="45"/>
      <c r="U78" s="46"/>
      <c r="V78" s="46"/>
      <c r="W78" s="47"/>
      <c r="X78" s="46"/>
      <c r="Y78" s="46"/>
      <c r="Z78" s="46"/>
      <c r="AA78" s="46"/>
      <c r="AB78" s="47"/>
      <c r="AC78" s="62" t="str">
        <v/>
      </c>
      <c r="AD78" s="62" t="str">
        <v/>
      </c>
      <c r="AE78" s="62" t="str">
        <v/>
      </c>
      <c r="AF78" s="62" t="str">
        <v/>
      </c>
      <c r="AG78" s="63" t="str">
        <v/>
      </c>
      <c r="AH78" s="61" t="str">
        <v/>
      </c>
      <c r="AI78" s="61" t="str">
        <v/>
      </c>
      <c r="AJ78" s="64" t="str">
        <v/>
      </c>
      <c r="AK78" s="61" t="str">
        <v/>
      </c>
      <c r="AL78" s="61" t="str">
        <v/>
      </c>
      <c r="AM78" s="61" t="str">
        <v/>
      </c>
      <c r="AN78" s="61" t="str">
        <v/>
      </c>
      <c r="AO78" s="61" t="str">
        <v/>
      </c>
      <c r="AP78" s="42"/>
      <c r="AQ78" s="76"/>
      <c r="AR78" s="74"/>
      <c r="AS78" s="74" t="str">
        <v/>
      </c>
      <c r="AT78" s="72" t="str">
        <v/>
      </c>
      <c r="AU78" s="73"/>
      <c r="AV78" s="65" t="str">
        <v/>
      </c>
      <c r="AW78" s="62" t="str">
        <v/>
      </c>
      <c r="AX78" s="62" t="str">
        <v/>
      </c>
      <c r="AY78" s="66" t="str">
        <v/>
      </c>
      <c r="AZ78" s="61" t="str">
        <v/>
      </c>
      <c r="BA78" s="61" t="str">
        <v/>
      </c>
      <c r="BB78" s="61" t="str">
        <v/>
      </c>
      <c r="BC78" s="64" t="str">
        <v/>
      </c>
      <c r="BD78" s="61" t="str">
        <v/>
      </c>
      <c r="BE78" s="61" t="str">
        <v/>
      </c>
      <c r="BF78" s="61" t="str">
        <v/>
      </c>
      <c r="BG78" s="61" t="str">
        <v/>
      </c>
      <c r="BH78" s="61" t="str">
        <v/>
      </c>
      <c r="BI78" s="42"/>
      <c r="BJ78" s="67"/>
      <c r="BK78" s="60"/>
      <c r="BL78" s="60" t="str">
        <v/>
      </c>
      <c r="BM78" s="60" t="str">
        <v/>
      </c>
      <c r="BN78" s="60" t="str">
        <v/>
      </c>
      <c r="BO78" s="60" t="str">
        <v/>
      </c>
      <c r="BP78" s="60" t="str">
        <v/>
      </c>
      <c r="BQ78" s="60" t="str">
        <v/>
      </c>
      <c r="BR78" s="60" t="str">
        <v/>
      </c>
      <c r="BS78" s="60" t="str">
        <v/>
      </c>
      <c r="BT78" s="68" t="str">
        <v/>
      </c>
      <c r="BU78" s="42"/>
      <c r="BV78" s="62" t="str">
        <v/>
      </c>
      <c r="BW78" s="62" t="str">
        <v/>
      </c>
      <c r="BX78" s="62" t="str">
        <v/>
      </c>
      <c r="BY78" s="62" t="str">
        <v/>
      </c>
      <c r="BZ78" s="62" t="str">
        <v/>
      </c>
      <c r="CA78" s="62" t="str">
        <v/>
      </c>
      <c r="CB78" s="62" t="str">
        <v/>
      </c>
      <c r="CC78" s="62" t="str">
        <v/>
      </c>
      <c r="CD78" s="62" t="str">
        <v/>
      </c>
      <c r="CE78" s="122" t="str">
        <v/>
      </c>
      <c r="CF78" s="62" t="str">
        <v/>
      </c>
      <c r="CG78" s="62" t="str">
        <v/>
      </c>
      <c r="CH78" s="62" t="str">
        <v/>
      </c>
      <c r="CI78" s="62" t="str">
        <v/>
      </c>
      <c r="CJ78" s="62" t="str">
        <v/>
      </c>
      <c r="CK78" s="62" t="str">
        <v/>
      </c>
      <c r="CL78" s="62" t="str">
        <v/>
      </c>
      <c r="CM78" s="62" t="str">
        <v/>
      </c>
      <c r="CN78" s="130" t="str">
        <v/>
      </c>
    </row>
    <row r="79" spans="1:92">
      <c r="A79" s="39"/>
      <c r="B79" s="75"/>
      <c r="C79" s="41"/>
      <c r="D79" s="41"/>
      <c r="E79" s="41"/>
      <c r="F79" s="42"/>
      <c r="G79" s="61" t="str">
        <v/>
      </c>
      <c r="H79" s="61" t="str">
        <v/>
      </c>
      <c r="I79" s="42"/>
      <c r="J79" s="61" t="str">
        <v/>
      </c>
      <c r="K79" s="61" t="str">
        <v/>
      </c>
      <c r="L79" s="61" t="str">
        <v/>
      </c>
      <c r="M79" s="61" t="str">
        <v/>
      </c>
      <c r="N79" s="62" t="str">
        <v/>
      </c>
      <c r="O79" s="61" t="str">
        <v/>
      </c>
      <c r="P79" s="61" t="str">
        <v/>
      </c>
      <c r="Q79" s="61" t="str">
        <v/>
      </c>
      <c r="R79" s="61" t="str">
        <v/>
      </c>
      <c r="S79" s="61" t="str">
        <v/>
      </c>
      <c r="T79" s="45"/>
      <c r="U79" s="46"/>
      <c r="V79" s="46"/>
      <c r="W79" s="47"/>
      <c r="X79" s="46"/>
      <c r="Y79" s="46"/>
      <c r="Z79" s="46"/>
      <c r="AA79" s="46"/>
      <c r="AB79" s="47"/>
      <c r="AC79" s="62" t="str">
        <v/>
      </c>
      <c r="AD79" s="62" t="str">
        <v/>
      </c>
      <c r="AE79" s="62" t="str">
        <v/>
      </c>
      <c r="AF79" s="62" t="str">
        <v/>
      </c>
      <c r="AG79" s="63" t="str">
        <v/>
      </c>
      <c r="AH79" s="61" t="str">
        <v/>
      </c>
      <c r="AI79" s="61" t="str">
        <v/>
      </c>
      <c r="AJ79" s="64" t="str">
        <v/>
      </c>
      <c r="AK79" s="61" t="str">
        <v/>
      </c>
      <c r="AL79" s="61" t="str">
        <v/>
      </c>
      <c r="AM79" s="61" t="str">
        <v/>
      </c>
      <c r="AN79" s="61" t="str">
        <v/>
      </c>
      <c r="AO79" s="61" t="str">
        <v/>
      </c>
      <c r="AP79" s="42"/>
      <c r="AQ79" s="76"/>
      <c r="AR79" s="74"/>
      <c r="AS79" s="74" t="str">
        <v/>
      </c>
      <c r="AT79" s="72" t="str">
        <v/>
      </c>
      <c r="AU79" s="73"/>
      <c r="AV79" s="65" t="str">
        <v/>
      </c>
      <c r="AW79" s="62" t="str">
        <v/>
      </c>
      <c r="AX79" s="62" t="str">
        <v/>
      </c>
      <c r="AY79" s="66" t="str">
        <v/>
      </c>
      <c r="AZ79" s="61" t="str">
        <v/>
      </c>
      <c r="BA79" s="61" t="str">
        <v/>
      </c>
      <c r="BB79" s="61" t="str">
        <v/>
      </c>
      <c r="BC79" s="64" t="str">
        <v/>
      </c>
      <c r="BD79" s="61" t="str">
        <v/>
      </c>
      <c r="BE79" s="61" t="str">
        <v/>
      </c>
      <c r="BF79" s="61" t="str">
        <v/>
      </c>
      <c r="BG79" s="61" t="str">
        <v/>
      </c>
      <c r="BH79" s="61" t="str">
        <v/>
      </c>
      <c r="BI79" s="42"/>
      <c r="BJ79" s="67"/>
      <c r="BK79" s="60"/>
      <c r="BL79" s="60" t="str">
        <v/>
      </c>
      <c r="BM79" s="60" t="str">
        <v/>
      </c>
      <c r="BN79" s="60" t="str">
        <v/>
      </c>
      <c r="BO79" s="60" t="str">
        <v/>
      </c>
      <c r="BP79" s="60" t="str">
        <v/>
      </c>
      <c r="BQ79" s="60" t="str">
        <v/>
      </c>
      <c r="BR79" s="60" t="str">
        <v/>
      </c>
      <c r="BS79" s="60" t="str">
        <v/>
      </c>
      <c r="BT79" s="68" t="str">
        <v/>
      </c>
      <c r="BU79" s="42"/>
      <c r="BV79" s="62" t="str">
        <v/>
      </c>
      <c r="BW79" s="62" t="str">
        <v/>
      </c>
      <c r="BX79" s="62" t="str">
        <v/>
      </c>
      <c r="BY79" s="62" t="str">
        <v/>
      </c>
      <c r="BZ79" s="62" t="str">
        <v/>
      </c>
      <c r="CA79" s="62" t="str">
        <v/>
      </c>
      <c r="CB79" s="62" t="str">
        <v/>
      </c>
      <c r="CC79" s="62" t="str">
        <v/>
      </c>
      <c r="CD79" s="62" t="str">
        <v/>
      </c>
      <c r="CE79" s="122" t="str">
        <v/>
      </c>
      <c r="CF79" s="62" t="str">
        <v/>
      </c>
      <c r="CG79" s="62" t="str">
        <v/>
      </c>
      <c r="CH79" s="62" t="str">
        <v/>
      </c>
      <c r="CI79" s="62" t="str">
        <v/>
      </c>
      <c r="CJ79" s="62" t="str">
        <v/>
      </c>
      <c r="CK79" s="62" t="str">
        <v/>
      </c>
      <c r="CL79" s="62" t="str">
        <v/>
      </c>
      <c r="CM79" s="62" t="str">
        <v/>
      </c>
      <c r="CN79" s="130" t="str">
        <v/>
      </c>
    </row>
    <row r="80" spans="1:92">
      <c r="A80" s="39"/>
      <c r="B80" s="75"/>
      <c r="C80" s="41"/>
      <c r="D80" s="41"/>
      <c r="E80" s="41"/>
      <c r="F80" s="42"/>
      <c r="G80" s="61" t="str">
        <v/>
      </c>
      <c r="H80" s="61" t="str">
        <v/>
      </c>
      <c r="I80" s="42"/>
      <c r="J80" s="61" t="str">
        <v/>
      </c>
      <c r="K80" s="61" t="str">
        <v/>
      </c>
      <c r="L80" s="61" t="str">
        <v/>
      </c>
      <c r="M80" s="61" t="str">
        <v/>
      </c>
      <c r="N80" s="62" t="str">
        <v/>
      </c>
      <c r="O80" s="61" t="str">
        <v/>
      </c>
      <c r="P80" s="61" t="str">
        <v/>
      </c>
      <c r="Q80" s="61" t="str">
        <v/>
      </c>
      <c r="R80" s="61" t="str">
        <v/>
      </c>
      <c r="S80" s="61" t="str">
        <v/>
      </c>
      <c r="T80" s="45"/>
      <c r="U80" s="46"/>
      <c r="V80" s="46"/>
      <c r="W80" s="47"/>
      <c r="X80" s="46"/>
      <c r="Y80" s="46"/>
      <c r="Z80" s="46"/>
      <c r="AA80" s="46"/>
      <c r="AB80" s="47"/>
      <c r="AC80" s="62" t="str">
        <v/>
      </c>
      <c r="AD80" s="62" t="str">
        <v/>
      </c>
      <c r="AE80" s="62" t="str">
        <v/>
      </c>
      <c r="AF80" s="62" t="str">
        <v/>
      </c>
      <c r="AG80" s="63" t="str">
        <v/>
      </c>
      <c r="AH80" s="61" t="str">
        <v/>
      </c>
      <c r="AI80" s="61" t="str">
        <v/>
      </c>
      <c r="AJ80" s="64" t="str">
        <v/>
      </c>
      <c r="AK80" s="61" t="str">
        <v/>
      </c>
      <c r="AL80" s="61" t="str">
        <v/>
      </c>
      <c r="AM80" s="61" t="str">
        <v/>
      </c>
      <c r="AN80" s="61" t="str">
        <v/>
      </c>
      <c r="AO80" s="61" t="str">
        <v/>
      </c>
      <c r="AP80" s="42"/>
      <c r="AQ80" s="76"/>
      <c r="AR80" s="74"/>
      <c r="AS80" s="74" t="str">
        <v/>
      </c>
      <c r="AT80" s="72" t="str">
        <v/>
      </c>
      <c r="AU80" s="73"/>
      <c r="AV80" s="65" t="str">
        <v/>
      </c>
      <c r="AW80" s="62" t="str">
        <v/>
      </c>
      <c r="AX80" s="62" t="str">
        <v/>
      </c>
      <c r="AY80" s="66" t="str">
        <v/>
      </c>
      <c r="AZ80" s="61" t="str">
        <v/>
      </c>
      <c r="BA80" s="61" t="str">
        <v/>
      </c>
      <c r="BB80" s="61" t="str">
        <v/>
      </c>
      <c r="BC80" s="64" t="str">
        <v/>
      </c>
      <c r="BD80" s="61" t="str">
        <v/>
      </c>
      <c r="BE80" s="61" t="str">
        <v/>
      </c>
      <c r="BF80" s="61" t="str">
        <v/>
      </c>
      <c r="BG80" s="61" t="str">
        <v/>
      </c>
      <c r="BH80" s="61" t="str">
        <v/>
      </c>
      <c r="BI80" s="42"/>
      <c r="BJ80" s="67"/>
      <c r="BK80" s="60"/>
      <c r="BL80" s="60" t="str">
        <v/>
      </c>
      <c r="BM80" s="60" t="str">
        <v/>
      </c>
      <c r="BN80" s="60" t="str">
        <v/>
      </c>
      <c r="BO80" s="60" t="str">
        <v/>
      </c>
      <c r="BP80" s="60" t="str">
        <v/>
      </c>
      <c r="BQ80" s="60" t="str">
        <v/>
      </c>
      <c r="BR80" s="60" t="str">
        <v/>
      </c>
      <c r="BS80" s="60" t="str">
        <v/>
      </c>
      <c r="BT80" s="68" t="str">
        <v/>
      </c>
      <c r="BU80" s="42"/>
      <c r="BV80" s="62" t="str">
        <v/>
      </c>
      <c r="BW80" s="62" t="str">
        <v/>
      </c>
      <c r="BX80" s="62" t="str">
        <v/>
      </c>
      <c r="BY80" s="62" t="str">
        <v/>
      </c>
      <c r="BZ80" s="62" t="str">
        <v/>
      </c>
      <c r="CA80" s="62" t="str">
        <v/>
      </c>
      <c r="CB80" s="62" t="str">
        <v/>
      </c>
      <c r="CC80" s="62" t="str">
        <v/>
      </c>
      <c r="CD80" s="62" t="str">
        <v/>
      </c>
      <c r="CE80" s="122" t="str">
        <v/>
      </c>
      <c r="CF80" s="62" t="str">
        <v/>
      </c>
      <c r="CG80" s="62" t="str">
        <v/>
      </c>
      <c r="CH80" s="62" t="str">
        <v/>
      </c>
      <c r="CI80" s="62" t="str">
        <v/>
      </c>
      <c r="CJ80" s="62" t="str">
        <v/>
      </c>
      <c r="CK80" s="62" t="str">
        <v/>
      </c>
      <c r="CL80" s="62" t="str">
        <v/>
      </c>
      <c r="CM80" s="62" t="str">
        <v/>
      </c>
      <c r="CN80" s="130" t="str">
        <v/>
      </c>
    </row>
    <row r="81" spans="1:92">
      <c r="A81" s="39"/>
      <c r="B81" s="75"/>
      <c r="C81" s="41"/>
      <c r="D81" s="41"/>
      <c r="E81" s="41"/>
      <c r="F81" s="42"/>
      <c r="G81" s="61" t="str">
        <v/>
      </c>
      <c r="H81" s="61" t="str">
        <v/>
      </c>
      <c r="I81" s="42"/>
      <c r="J81" s="61" t="str">
        <v/>
      </c>
      <c r="K81" s="61" t="str">
        <v/>
      </c>
      <c r="L81" s="61" t="str">
        <v/>
      </c>
      <c r="M81" s="61" t="str">
        <v/>
      </c>
      <c r="N81" s="62" t="str">
        <v/>
      </c>
      <c r="O81" s="61" t="str">
        <v/>
      </c>
      <c r="P81" s="61" t="str">
        <v/>
      </c>
      <c r="Q81" s="61" t="str">
        <v/>
      </c>
      <c r="R81" s="61" t="str">
        <v/>
      </c>
      <c r="S81" s="61" t="str">
        <v/>
      </c>
      <c r="T81" s="45"/>
      <c r="U81" s="46"/>
      <c r="V81" s="46"/>
      <c r="W81" s="47"/>
      <c r="X81" s="46"/>
      <c r="Y81" s="46"/>
      <c r="Z81" s="46"/>
      <c r="AA81" s="46"/>
      <c r="AB81" s="47"/>
      <c r="AC81" s="62" t="str">
        <v/>
      </c>
      <c r="AD81" s="62" t="str">
        <v/>
      </c>
      <c r="AE81" s="62" t="str">
        <v/>
      </c>
      <c r="AF81" s="62" t="str">
        <v/>
      </c>
      <c r="AG81" s="63" t="str">
        <v/>
      </c>
      <c r="AH81" s="61" t="str">
        <v/>
      </c>
      <c r="AI81" s="61" t="str">
        <v/>
      </c>
      <c r="AJ81" s="64" t="str">
        <v/>
      </c>
      <c r="AK81" s="61" t="str">
        <v/>
      </c>
      <c r="AL81" s="61" t="str">
        <v/>
      </c>
      <c r="AM81" s="61" t="str">
        <v/>
      </c>
      <c r="AN81" s="61" t="str">
        <v/>
      </c>
      <c r="AO81" s="61" t="str">
        <v/>
      </c>
      <c r="AP81" s="42"/>
      <c r="AQ81" s="76"/>
      <c r="AR81" s="74"/>
      <c r="AS81" s="74" t="str">
        <v/>
      </c>
      <c r="AT81" s="72" t="str">
        <v/>
      </c>
      <c r="AU81" s="73"/>
      <c r="AV81" s="65" t="str">
        <v/>
      </c>
      <c r="AW81" s="62" t="str">
        <v/>
      </c>
      <c r="AX81" s="62" t="str">
        <v/>
      </c>
      <c r="AY81" s="66" t="str">
        <v/>
      </c>
      <c r="AZ81" s="61" t="str">
        <v/>
      </c>
      <c r="BA81" s="61" t="str">
        <v/>
      </c>
      <c r="BB81" s="61" t="str">
        <v/>
      </c>
      <c r="BC81" s="64" t="str">
        <v/>
      </c>
      <c r="BD81" s="61" t="str">
        <v/>
      </c>
      <c r="BE81" s="61" t="str">
        <v/>
      </c>
      <c r="BF81" s="61" t="str">
        <v/>
      </c>
      <c r="BG81" s="61" t="str">
        <v/>
      </c>
      <c r="BH81" s="61" t="str">
        <v/>
      </c>
      <c r="BI81" s="42"/>
      <c r="BJ81" s="67"/>
      <c r="BK81" s="60"/>
      <c r="BL81" s="60" t="str">
        <v/>
      </c>
      <c r="BM81" s="60" t="str">
        <v/>
      </c>
      <c r="BN81" s="60" t="str">
        <v/>
      </c>
      <c r="BO81" s="60" t="str">
        <v/>
      </c>
      <c r="BP81" s="60" t="str">
        <v/>
      </c>
      <c r="BQ81" s="60" t="str">
        <v/>
      </c>
      <c r="BR81" s="60" t="str">
        <v/>
      </c>
      <c r="BS81" s="60" t="str">
        <v/>
      </c>
      <c r="BT81" s="68" t="str">
        <v/>
      </c>
      <c r="BU81" s="42"/>
      <c r="BV81" s="62" t="str">
        <v/>
      </c>
      <c r="BW81" s="62" t="str">
        <v/>
      </c>
      <c r="BX81" s="62" t="str">
        <v/>
      </c>
      <c r="BY81" s="62" t="str">
        <v/>
      </c>
      <c r="BZ81" s="62" t="str">
        <v/>
      </c>
      <c r="CA81" s="62" t="str">
        <v/>
      </c>
      <c r="CB81" s="62" t="str">
        <v/>
      </c>
      <c r="CC81" s="62" t="str">
        <v/>
      </c>
      <c r="CD81" s="62" t="str">
        <v/>
      </c>
      <c r="CE81" s="122" t="str">
        <v/>
      </c>
      <c r="CF81" s="62" t="str">
        <v/>
      </c>
      <c r="CG81" s="62" t="str">
        <v/>
      </c>
      <c r="CH81" s="62" t="str">
        <v/>
      </c>
      <c r="CI81" s="62" t="str">
        <v/>
      </c>
      <c r="CJ81" s="62" t="str">
        <v/>
      </c>
      <c r="CK81" s="62" t="str">
        <v/>
      </c>
      <c r="CL81" s="62" t="str">
        <v/>
      </c>
      <c r="CM81" s="62" t="str">
        <v/>
      </c>
      <c r="CN81" s="130" t="str">
        <v/>
      </c>
    </row>
    <row r="82" spans="1:92">
      <c r="A82" s="39"/>
      <c r="B82" s="75"/>
      <c r="C82" s="41"/>
      <c r="D82" s="41"/>
      <c r="E82" s="41"/>
      <c r="F82" s="42"/>
      <c r="G82" s="61" t="str">
        <v/>
      </c>
      <c r="H82" s="61" t="str">
        <v/>
      </c>
      <c r="I82" s="42"/>
      <c r="J82" s="61" t="str">
        <v/>
      </c>
      <c r="K82" s="61" t="str">
        <v/>
      </c>
      <c r="L82" s="61" t="str">
        <v/>
      </c>
      <c r="M82" s="61" t="str">
        <v/>
      </c>
      <c r="N82" s="62" t="str">
        <v/>
      </c>
      <c r="O82" s="61" t="str">
        <v/>
      </c>
      <c r="P82" s="61" t="str">
        <v/>
      </c>
      <c r="Q82" s="61" t="str">
        <v/>
      </c>
      <c r="R82" s="61" t="str">
        <v/>
      </c>
      <c r="S82" s="61" t="str">
        <v/>
      </c>
      <c r="T82" s="45"/>
      <c r="U82" s="46"/>
      <c r="V82" s="46"/>
      <c r="W82" s="47"/>
      <c r="X82" s="46"/>
      <c r="Y82" s="46"/>
      <c r="Z82" s="46"/>
      <c r="AA82" s="46"/>
      <c r="AB82" s="47"/>
      <c r="AC82" s="62" t="str">
        <v/>
      </c>
      <c r="AD82" s="62" t="str">
        <v/>
      </c>
      <c r="AE82" s="62" t="str">
        <v/>
      </c>
      <c r="AF82" s="62" t="str">
        <v/>
      </c>
      <c r="AG82" s="63" t="str">
        <v/>
      </c>
      <c r="AH82" s="61" t="str">
        <v/>
      </c>
      <c r="AI82" s="61" t="str">
        <v/>
      </c>
      <c r="AJ82" s="64" t="str">
        <v/>
      </c>
      <c r="AK82" s="61" t="str">
        <v/>
      </c>
      <c r="AL82" s="61" t="str">
        <v/>
      </c>
      <c r="AM82" s="61" t="str">
        <v/>
      </c>
      <c r="AN82" s="61" t="str">
        <v/>
      </c>
      <c r="AO82" s="61" t="str">
        <v/>
      </c>
      <c r="AP82" s="42"/>
      <c r="AQ82" s="76"/>
      <c r="AR82" s="74"/>
      <c r="AS82" s="74" t="str">
        <v/>
      </c>
      <c r="AT82" s="72" t="str">
        <v/>
      </c>
      <c r="AU82" s="73"/>
      <c r="AV82" s="65" t="str">
        <v/>
      </c>
      <c r="AW82" s="62" t="str">
        <v/>
      </c>
      <c r="AX82" s="62" t="str">
        <v/>
      </c>
      <c r="AY82" s="66" t="str">
        <v/>
      </c>
      <c r="AZ82" s="61" t="str">
        <v/>
      </c>
      <c r="BA82" s="61" t="str">
        <v/>
      </c>
      <c r="BB82" s="61" t="str">
        <v/>
      </c>
      <c r="BC82" s="64" t="str">
        <v/>
      </c>
      <c r="BD82" s="61" t="str">
        <v/>
      </c>
      <c r="BE82" s="61" t="str">
        <v/>
      </c>
      <c r="BF82" s="61" t="str">
        <v/>
      </c>
      <c r="BG82" s="61" t="str">
        <v/>
      </c>
      <c r="BH82" s="61" t="str">
        <v/>
      </c>
      <c r="BI82" s="42"/>
      <c r="BJ82" s="67"/>
      <c r="BK82" s="60"/>
      <c r="BL82" s="60" t="str">
        <v/>
      </c>
      <c r="BM82" s="60" t="str">
        <v/>
      </c>
      <c r="BN82" s="60" t="str">
        <v/>
      </c>
      <c r="BO82" s="60" t="str">
        <v/>
      </c>
      <c r="BP82" s="60" t="str">
        <v/>
      </c>
      <c r="BQ82" s="60" t="str">
        <v/>
      </c>
      <c r="BR82" s="60" t="str">
        <v/>
      </c>
      <c r="BS82" s="60" t="str">
        <v/>
      </c>
      <c r="BT82" s="68" t="str">
        <v/>
      </c>
      <c r="BU82" s="42"/>
      <c r="BV82" s="62" t="str">
        <v/>
      </c>
      <c r="BW82" s="62" t="str">
        <v/>
      </c>
      <c r="BX82" s="62" t="str">
        <v/>
      </c>
      <c r="BY82" s="62" t="str">
        <v/>
      </c>
      <c r="BZ82" s="62" t="str">
        <v/>
      </c>
      <c r="CA82" s="62" t="str">
        <v/>
      </c>
      <c r="CB82" s="62" t="str">
        <v/>
      </c>
      <c r="CC82" s="62" t="str">
        <v/>
      </c>
      <c r="CD82" s="62" t="str">
        <v/>
      </c>
      <c r="CE82" s="122" t="str">
        <v/>
      </c>
      <c r="CF82" s="62" t="str">
        <v/>
      </c>
      <c r="CG82" s="62" t="str">
        <v/>
      </c>
      <c r="CH82" s="62" t="str">
        <v/>
      </c>
      <c r="CI82" s="62" t="str">
        <v/>
      </c>
      <c r="CJ82" s="62" t="str">
        <v/>
      </c>
      <c r="CK82" s="62" t="str">
        <v/>
      </c>
      <c r="CL82" s="62" t="str">
        <v/>
      </c>
      <c r="CM82" s="62" t="str">
        <v/>
      </c>
      <c r="CN82" s="130" t="str">
        <v/>
      </c>
    </row>
    <row r="83" spans="1:92">
      <c r="A83" s="39"/>
      <c r="B83" s="75"/>
      <c r="C83" s="41"/>
      <c r="D83" s="41"/>
      <c r="E83" s="41"/>
      <c r="F83" s="42"/>
      <c r="G83" s="61" t="str">
        <v/>
      </c>
      <c r="H83" s="61" t="str">
        <v/>
      </c>
      <c r="I83" s="42"/>
      <c r="J83" s="61" t="str">
        <v/>
      </c>
      <c r="K83" s="61" t="str">
        <v/>
      </c>
      <c r="L83" s="61" t="str">
        <v/>
      </c>
      <c r="M83" s="61" t="str">
        <v/>
      </c>
      <c r="N83" s="62" t="str">
        <v/>
      </c>
      <c r="O83" s="61" t="str">
        <v/>
      </c>
      <c r="P83" s="61" t="str">
        <v/>
      </c>
      <c r="Q83" s="61" t="str">
        <v/>
      </c>
      <c r="R83" s="61" t="str">
        <v/>
      </c>
      <c r="S83" s="61" t="str">
        <v/>
      </c>
      <c r="T83" s="45"/>
      <c r="U83" s="46"/>
      <c r="V83" s="46"/>
      <c r="W83" s="47"/>
      <c r="X83" s="46"/>
      <c r="Y83" s="46"/>
      <c r="Z83" s="46"/>
      <c r="AA83" s="46"/>
      <c r="AB83" s="47"/>
      <c r="AC83" s="62" t="str">
        <v/>
      </c>
      <c r="AD83" s="62" t="str">
        <v/>
      </c>
      <c r="AE83" s="62" t="str">
        <v/>
      </c>
      <c r="AF83" s="62" t="str">
        <v/>
      </c>
      <c r="AG83" s="63" t="str">
        <v/>
      </c>
      <c r="AH83" s="61" t="str">
        <v/>
      </c>
      <c r="AI83" s="61" t="str">
        <v/>
      </c>
      <c r="AJ83" s="64" t="str">
        <v/>
      </c>
      <c r="AK83" s="61" t="str">
        <v/>
      </c>
      <c r="AL83" s="61" t="str">
        <v/>
      </c>
      <c r="AM83" s="61" t="str">
        <v/>
      </c>
      <c r="AN83" s="61" t="str">
        <v/>
      </c>
      <c r="AO83" s="61" t="str">
        <v/>
      </c>
      <c r="AP83" s="42"/>
      <c r="AQ83" s="76"/>
      <c r="AR83" s="74"/>
      <c r="AS83" s="74" t="str">
        <v/>
      </c>
      <c r="AT83" s="72" t="str">
        <v/>
      </c>
      <c r="AU83" s="73"/>
      <c r="AV83" s="65" t="str">
        <v/>
      </c>
      <c r="AW83" s="62" t="str">
        <v/>
      </c>
      <c r="AX83" s="62" t="str">
        <v/>
      </c>
      <c r="AY83" s="66" t="str">
        <v/>
      </c>
      <c r="AZ83" s="61" t="str">
        <v/>
      </c>
      <c r="BA83" s="61" t="str">
        <v/>
      </c>
      <c r="BB83" s="61" t="str">
        <v/>
      </c>
      <c r="BC83" s="64" t="str">
        <v/>
      </c>
      <c r="BD83" s="61" t="str">
        <v/>
      </c>
      <c r="BE83" s="61" t="str">
        <v/>
      </c>
      <c r="BF83" s="61" t="str">
        <v/>
      </c>
      <c r="BG83" s="61" t="str">
        <v/>
      </c>
      <c r="BH83" s="61" t="str">
        <v/>
      </c>
      <c r="BI83" s="42"/>
      <c r="BJ83" s="67"/>
      <c r="BK83" s="60"/>
      <c r="BL83" s="60" t="str">
        <v/>
      </c>
      <c r="BM83" s="60" t="str">
        <v/>
      </c>
      <c r="BN83" s="60" t="str">
        <v/>
      </c>
      <c r="BO83" s="60" t="str">
        <v/>
      </c>
      <c r="BP83" s="60" t="str">
        <v/>
      </c>
      <c r="BQ83" s="60" t="str">
        <v/>
      </c>
      <c r="BR83" s="60" t="str">
        <v/>
      </c>
      <c r="BS83" s="60" t="str">
        <v/>
      </c>
      <c r="BT83" s="68" t="str">
        <v/>
      </c>
      <c r="BU83" s="42"/>
      <c r="BV83" s="62" t="str">
        <v/>
      </c>
      <c r="BW83" s="62" t="str">
        <v/>
      </c>
      <c r="BX83" s="62" t="str">
        <v/>
      </c>
      <c r="BY83" s="62" t="str">
        <v/>
      </c>
      <c r="BZ83" s="62" t="str">
        <v/>
      </c>
      <c r="CA83" s="62" t="str">
        <v/>
      </c>
      <c r="CB83" s="62" t="str">
        <v/>
      </c>
      <c r="CC83" s="62" t="str">
        <v/>
      </c>
      <c r="CD83" s="62" t="str">
        <v/>
      </c>
      <c r="CE83" s="122" t="str">
        <v/>
      </c>
      <c r="CF83" s="62" t="str">
        <v/>
      </c>
      <c r="CG83" s="62" t="str">
        <v/>
      </c>
      <c r="CH83" s="62" t="str">
        <v/>
      </c>
      <c r="CI83" s="62" t="str">
        <v/>
      </c>
      <c r="CJ83" s="62" t="str">
        <v/>
      </c>
      <c r="CK83" s="62" t="str">
        <v/>
      </c>
      <c r="CL83" s="62" t="str">
        <v/>
      </c>
      <c r="CM83" s="62" t="str">
        <v/>
      </c>
      <c r="CN83" s="130" t="str">
        <v/>
      </c>
    </row>
    <row r="84" spans="1:92">
      <c r="A84" s="39"/>
      <c r="B84" s="75"/>
      <c r="C84" s="41"/>
      <c r="D84" s="41"/>
      <c r="E84" s="41"/>
      <c r="F84" s="42"/>
      <c r="G84" s="61" t="str">
        <v/>
      </c>
      <c r="H84" s="61" t="str">
        <v/>
      </c>
      <c r="I84" s="42"/>
      <c r="J84" s="61" t="str">
        <v/>
      </c>
      <c r="K84" s="61" t="str">
        <v/>
      </c>
      <c r="L84" s="61" t="str">
        <v/>
      </c>
      <c r="M84" s="61" t="str">
        <v/>
      </c>
      <c r="N84" s="62" t="str">
        <v/>
      </c>
      <c r="O84" s="61" t="str">
        <v/>
      </c>
      <c r="P84" s="61" t="str">
        <v/>
      </c>
      <c r="Q84" s="61" t="str">
        <v/>
      </c>
      <c r="R84" s="61" t="str">
        <v/>
      </c>
      <c r="S84" s="61" t="str">
        <v/>
      </c>
      <c r="T84" s="45"/>
      <c r="U84" s="46"/>
      <c r="V84" s="46"/>
      <c r="W84" s="47"/>
      <c r="X84" s="46"/>
      <c r="Y84" s="46"/>
      <c r="Z84" s="46"/>
      <c r="AA84" s="46"/>
      <c r="AB84" s="47"/>
      <c r="AC84" s="62" t="str">
        <v/>
      </c>
      <c r="AD84" s="62" t="str">
        <v/>
      </c>
      <c r="AE84" s="62" t="str">
        <v/>
      </c>
      <c r="AF84" s="62" t="str">
        <v/>
      </c>
      <c r="AG84" s="63" t="str">
        <v/>
      </c>
      <c r="AH84" s="61" t="str">
        <v/>
      </c>
      <c r="AI84" s="61" t="str">
        <v/>
      </c>
      <c r="AJ84" s="64" t="str">
        <v/>
      </c>
      <c r="AK84" s="61" t="str">
        <v/>
      </c>
      <c r="AL84" s="61" t="str">
        <v/>
      </c>
      <c r="AM84" s="61" t="str">
        <v/>
      </c>
      <c r="AN84" s="61" t="str">
        <v/>
      </c>
      <c r="AO84" s="61" t="str">
        <v/>
      </c>
      <c r="AP84" s="42"/>
      <c r="AQ84" s="76"/>
      <c r="AR84" s="74"/>
      <c r="AS84" s="74" t="str">
        <v/>
      </c>
      <c r="AT84" s="72" t="str">
        <v/>
      </c>
      <c r="AU84" s="73"/>
      <c r="AV84" s="65" t="str">
        <v/>
      </c>
      <c r="AW84" s="62" t="str">
        <v/>
      </c>
      <c r="AX84" s="62" t="str">
        <v/>
      </c>
      <c r="AY84" s="66" t="str">
        <v/>
      </c>
      <c r="AZ84" s="61" t="str">
        <v/>
      </c>
      <c r="BA84" s="61" t="str">
        <v/>
      </c>
      <c r="BB84" s="61" t="str">
        <v/>
      </c>
      <c r="BC84" s="64" t="str">
        <v/>
      </c>
      <c r="BD84" s="61" t="str">
        <v/>
      </c>
      <c r="BE84" s="61" t="str">
        <v/>
      </c>
      <c r="BF84" s="61" t="str">
        <v/>
      </c>
      <c r="BG84" s="61" t="str">
        <v/>
      </c>
      <c r="BH84" s="61" t="str">
        <v/>
      </c>
      <c r="BI84" s="42"/>
      <c r="BJ84" s="67"/>
      <c r="BK84" s="60"/>
      <c r="BL84" s="60" t="str">
        <v/>
      </c>
      <c r="BM84" s="60" t="str">
        <v/>
      </c>
      <c r="BN84" s="60" t="str">
        <v/>
      </c>
      <c r="BO84" s="60" t="str">
        <v/>
      </c>
      <c r="BP84" s="60" t="str">
        <v/>
      </c>
      <c r="BQ84" s="60" t="str">
        <v/>
      </c>
      <c r="BR84" s="60" t="str">
        <v/>
      </c>
      <c r="BS84" s="60" t="str">
        <v/>
      </c>
      <c r="BT84" s="68" t="str">
        <v/>
      </c>
      <c r="BU84" s="42"/>
      <c r="BV84" s="62" t="str">
        <v/>
      </c>
      <c r="BW84" s="62" t="str">
        <v/>
      </c>
      <c r="BX84" s="62" t="str">
        <v/>
      </c>
      <c r="BY84" s="62" t="str">
        <v/>
      </c>
      <c r="BZ84" s="62" t="str">
        <v/>
      </c>
      <c r="CA84" s="62" t="str">
        <v/>
      </c>
      <c r="CB84" s="62" t="str">
        <v/>
      </c>
      <c r="CC84" s="62" t="str">
        <v/>
      </c>
      <c r="CD84" s="62" t="str">
        <v/>
      </c>
      <c r="CE84" s="122" t="str">
        <v/>
      </c>
      <c r="CF84" s="62" t="str">
        <v/>
      </c>
      <c r="CG84" s="62" t="str">
        <v/>
      </c>
      <c r="CH84" s="62" t="str">
        <v/>
      </c>
      <c r="CI84" s="62" t="str">
        <v/>
      </c>
      <c r="CJ84" s="62" t="str">
        <v/>
      </c>
      <c r="CK84" s="62" t="str">
        <v/>
      </c>
      <c r="CL84" s="62" t="str">
        <v/>
      </c>
      <c r="CM84" s="62" t="str">
        <v/>
      </c>
      <c r="CN84" s="130" t="str">
        <v/>
      </c>
    </row>
    <row r="85" spans="1:92">
      <c r="A85" s="39"/>
      <c r="B85" s="75"/>
      <c r="C85" s="41"/>
      <c r="D85" s="41"/>
      <c r="E85" s="41"/>
      <c r="F85" s="42"/>
      <c r="G85" s="61" t="str">
        <v/>
      </c>
      <c r="H85" s="61" t="str">
        <v/>
      </c>
      <c r="I85" s="42"/>
      <c r="J85" s="61" t="str">
        <v/>
      </c>
      <c r="K85" s="61" t="str">
        <v/>
      </c>
      <c r="L85" s="61" t="str">
        <v/>
      </c>
      <c r="M85" s="61" t="str">
        <v/>
      </c>
      <c r="N85" s="62" t="str">
        <v/>
      </c>
      <c r="O85" s="61" t="str">
        <v/>
      </c>
      <c r="P85" s="61" t="str">
        <v/>
      </c>
      <c r="Q85" s="61" t="str">
        <v/>
      </c>
      <c r="R85" s="61" t="str">
        <v/>
      </c>
      <c r="S85" s="61" t="str">
        <v/>
      </c>
      <c r="T85" s="45"/>
      <c r="U85" s="46"/>
      <c r="V85" s="46"/>
      <c r="W85" s="47"/>
      <c r="X85" s="46"/>
      <c r="Y85" s="46"/>
      <c r="Z85" s="46"/>
      <c r="AA85" s="46"/>
      <c r="AB85" s="47"/>
      <c r="AC85" s="62" t="str">
        <v/>
      </c>
      <c r="AD85" s="62" t="str">
        <v/>
      </c>
      <c r="AE85" s="62" t="str">
        <v/>
      </c>
      <c r="AF85" s="62" t="str">
        <v/>
      </c>
      <c r="AG85" s="63" t="str">
        <v/>
      </c>
      <c r="AH85" s="61" t="str">
        <v/>
      </c>
      <c r="AI85" s="61" t="str">
        <v/>
      </c>
      <c r="AJ85" s="64" t="str">
        <v/>
      </c>
      <c r="AK85" s="61" t="str">
        <v/>
      </c>
      <c r="AL85" s="61" t="str">
        <v/>
      </c>
      <c r="AM85" s="61" t="str">
        <v/>
      </c>
      <c r="AN85" s="61" t="str">
        <v/>
      </c>
      <c r="AO85" s="61" t="str">
        <v/>
      </c>
      <c r="AP85" s="42"/>
      <c r="AQ85" s="76"/>
      <c r="AR85" s="74"/>
      <c r="AS85" s="74" t="str">
        <v/>
      </c>
      <c r="AT85" s="72" t="str">
        <v/>
      </c>
      <c r="AU85" s="73"/>
      <c r="AV85" s="65" t="str">
        <v/>
      </c>
      <c r="AW85" s="62" t="str">
        <v/>
      </c>
      <c r="AX85" s="62" t="str">
        <v/>
      </c>
      <c r="AY85" s="66" t="str">
        <v/>
      </c>
      <c r="AZ85" s="61" t="str">
        <v/>
      </c>
      <c r="BA85" s="61" t="str">
        <v/>
      </c>
      <c r="BB85" s="61" t="str">
        <v/>
      </c>
      <c r="BC85" s="64" t="str">
        <v/>
      </c>
      <c r="BD85" s="61" t="str">
        <v/>
      </c>
      <c r="BE85" s="61" t="str">
        <v/>
      </c>
      <c r="BF85" s="61" t="str">
        <v/>
      </c>
      <c r="BG85" s="61" t="str">
        <v/>
      </c>
      <c r="BH85" s="61" t="str">
        <v/>
      </c>
      <c r="BI85" s="42"/>
      <c r="BJ85" s="67"/>
      <c r="BK85" s="60"/>
      <c r="BL85" s="60" t="str">
        <v/>
      </c>
      <c r="BM85" s="60" t="str">
        <v/>
      </c>
      <c r="BN85" s="60" t="str">
        <v/>
      </c>
      <c r="BO85" s="60" t="str">
        <v/>
      </c>
      <c r="BP85" s="60" t="str">
        <v/>
      </c>
      <c r="BQ85" s="60" t="str">
        <v/>
      </c>
      <c r="BR85" s="60" t="str">
        <v/>
      </c>
      <c r="BS85" s="60" t="str">
        <v/>
      </c>
      <c r="BT85" s="68" t="str">
        <v/>
      </c>
      <c r="BU85" s="42"/>
      <c r="BV85" s="62" t="str">
        <v/>
      </c>
      <c r="BW85" s="62" t="str">
        <v/>
      </c>
      <c r="BX85" s="62" t="str">
        <v/>
      </c>
      <c r="BY85" s="62" t="str">
        <v/>
      </c>
      <c r="BZ85" s="62" t="str">
        <v/>
      </c>
      <c r="CA85" s="62" t="str">
        <v/>
      </c>
      <c r="CB85" s="62" t="str">
        <v/>
      </c>
      <c r="CC85" s="62" t="str">
        <v/>
      </c>
      <c r="CD85" s="62" t="str">
        <v/>
      </c>
      <c r="CE85" s="122" t="str">
        <v/>
      </c>
      <c r="CF85" s="62" t="str">
        <v/>
      </c>
      <c r="CG85" s="62" t="str">
        <v/>
      </c>
      <c r="CH85" s="62" t="str">
        <v/>
      </c>
      <c r="CI85" s="62" t="str">
        <v/>
      </c>
      <c r="CJ85" s="62" t="str">
        <v/>
      </c>
      <c r="CK85" s="62" t="str">
        <v/>
      </c>
      <c r="CL85" s="62" t="str">
        <v/>
      </c>
      <c r="CM85" s="62" t="str">
        <v/>
      </c>
      <c r="CN85" s="130" t="str">
        <v/>
      </c>
    </row>
    <row r="86" spans="1:92">
      <c r="A86" s="39"/>
      <c r="B86" s="75"/>
      <c r="C86" s="41"/>
      <c r="D86" s="41"/>
      <c r="E86" s="41"/>
      <c r="F86" s="42"/>
      <c r="G86" s="61" t="str">
        <v/>
      </c>
      <c r="H86" s="61" t="str">
        <v/>
      </c>
      <c r="I86" s="42"/>
      <c r="J86" s="61" t="str">
        <v/>
      </c>
      <c r="K86" s="61" t="str">
        <v/>
      </c>
      <c r="L86" s="61" t="str">
        <v/>
      </c>
      <c r="M86" s="61" t="str">
        <v/>
      </c>
      <c r="N86" s="62" t="str">
        <v/>
      </c>
      <c r="O86" s="61" t="str">
        <v/>
      </c>
      <c r="P86" s="61" t="str">
        <v/>
      </c>
      <c r="Q86" s="61" t="str">
        <v/>
      </c>
      <c r="R86" s="61" t="str">
        <v/>
      </c>
      <c r="S86" s="61" t="str">
        <v/>
      </c>
      <c r="T86" s="45"/>
      <c r="U86" s="46"/>
      <c r="V86" s="46"/>
      <c r="W86" s="47"/>
      <c r="X86" s="46"/>
      <c r="Y86" s="46"/>
      <c r="Z86" s="46"/>
      <c r="AA86" s="46"/>
      <c r="AB86" s="47"/>
      <c r="AC86" s="62" t="str">
        <v/>
      </c>
      <c r="AD86" s="62" t="str">
        <v/>
      </c>
      <c r="AE86" s="62" t="str">
        <v/>
      </c>
      <c r="AF86" s="62" t="str">
        <v/>
      </c>
      <c r="AG86" s="63" t="str">
        <v/>
      </c>
      <c r="AH86" s="61" t="str">
        <v/>
      </c>
      <c r="AI86" s="61" t="str">
        <v/>
      </c>
      <c r="AJ86" s="64" t="str">
        <v/>
      </c>
      <c r="AK86" s="61" t="str">
        <v/>
      </c>
      <c r="AL86" s="61" t="str">
        <v/>
      </c>
      <c r="AM86" s="61" t="str">
        <v/>
      </c>
      <c r="AN86" s="61" t="str">
        <v/>
      </c>
      <c r="AO86" s="61" t="str">
        <v/>
      </c>
      <c r="AP86" s="42"/>
      <c r="AQ86" s="76"/>
      <c r="AR86" s="74"/>
      <c r="AS86" s="74" t="str">
        <v/>
      </c>
      <c r="AT86" s="72" t="str">
        <v/>
      </c>
      <c r="AU86" s="73"/>
      <c r="AV86" s="65" t="str">
        <v/>
      </c>
      <c r="AW86" s="62" t="str">
        <v/>
      </c>
      <c r="AX86" s="62" t="str">
        <v/>
      </c>
      <c r="AY86" s="66" t="str">
        <v/>
      </c>
      <c r="AZ86" s="61" t="str">
        <v/>
      </c>
      <c r="BA86" s="61" t="str">
        <v/>
      </c>
      <c r="BB86" s="61" t="str">
        <v/>
      </c>
      <c r="BC86" s="64" t="str">
        <v/>
      </c>
      <c r="BD86" s="61" t="str">
        <v/>
      </c>
      <c r="BE86" s="61" t="str">
        <v/>
      </c>
      <c r="BF86" s="61" t="str">
        <v/>
      </c>
      <c r="BG86" s="61" t="str">
        <v/>
      </c>
      <c r="BH86" s="61" t="str">
        <v/>
      </c>
      <c r="BI86" s="42"/>
      <c r="BJ86" s="67"/>
      <c r="BK86" s="60"/>
      <c r="BL86" s="60" t="str">
        <v/>
      </c>
      <c r="BM86" s="60" t="str">
        <v/>
      </c>
      <c r="BN86" s="60" t="str">
        <v/>
      </c>
      <c r="BO86" s="60" t="str">
        <v/>
      </c>
      <c r="BP86" s="60" t="str">
        <v/>
      </c>
      <c r="BQ86" s="60" t="str">
        <v/>
      </c>
      <c r="BR86" s="60" t="str">
        <v/>
      </c>
      <c r="BS86" s="60" t="str">
        <v/>
      </c>
      <c r="BT86" s="68" t="str">
        <v/>
      </c>
      <c r="BU86" s="42"/>
      <c r="BV86" s="62" t="str">
        <v/>
      </c>
      <c r="BW86" s="62" t="str">
        <v/>
      </c>
      <c r="BX86" s="62" t="str">
        <v/>
      </c>
      <c r="BY86" s="62" t="str">
        <v/>
      </c>
      <c r="BZ86" s="62" t="str">
        <v/>
      </c>
      <c r="CA86" s="62" t="str">
        <v/>
      </c>
      <c r="CB86" s="62" t="str">
        <v/>
      </c>
      <c r="CC86" s="62" t="str">
        <v/>
      </c>
      <c r="CD86" s="62" t="str">
        <v/>
      </c>
      <c r="CE86" s="122" t="str">
        <v/>
      </c>
      <c r="CF86" s="62" t="str">
        <v/>
      </c>
      <c r="CG86" s="62" t="str">
        <v/>
      </c>
      <c r="CH86" s="62" t="str">
        <v/>
      </c>
      <c r="CI86" s="62" t="str">
        <v/>
      </c>
      <c r="CJ86" s="62" t="str">
        <v/>
      </c>
      <c r="CK86" s="62" t="str">
        <v/>
      </c>
      <c r="CL86" s="62" t="str">
        <v/>
      </c>
      <c r="CM86" s="62" t="str">
        <v/>
      </c>
      <c r="CN86" s="130" t="str">
        <v/>
      </c>
    </row>
    <row r="87" spans="1:92">
      <c r="A87" s="39"/>
      <c r="B87" s="75"/>
      <c r="C87" s="41"/>
      <c r="D87" s="41"/>
      <c r="E87" s="41"/>
      <c r="F87" s="42"/>
      <c r="G87" s="61" t="str">
        <v/>
      </c>
      <c r="H87" s="61" t="str">
        <v/>
      </c>
      <c r="I87" s="42"/>
      <c r="J87" s="61" t="str">
        <v/>
      </c>
      <c r="K87" s="61" t="str">
        <v/>
      </c>
      <c r="L87" s="61" t="str">
        <v/>
      </c>
      <c r="M87" s="61" t="str">
        <v/>
      </c>
      <c r="N87" s="62" t="str">
        <v/>
      </c>
      <c r="O87" s="61" t="str">
        <v/>
      </c>
      <c r="P87" s="61" t="str">
        <v/>
      </c>
      <c r="Q87" s="61" t="str">
        <v/>
      </c>
      <c r="R87" s="61" t="str">
        <v/>
      </c>
      <c r="S87" s="61" t="str">
        <v/>
      </c>
      <c r="T87" s="45"/>
      <c r="U87" s="46"/>
      <c r="V87" s="46"/>
      <c r="W87" s="47"/>
      <c r="X87" s="46"/>
      <c r="Y87" s="46"/>
      <c r="Z87" s="46"/>
      <c r="AA87" s="46"/>
      <c r="AB87" s="47"/>
      <c r="AC87" s="62" t="str">
        <v/>
      </c>
      <c r="AD87" s="62" t="str">
        <v/>
      </c>
      <c r="AE87" s="62" t="str">
        <v/>
      </c>
      <c r="AF87" s="62" t="str">
        <v/>
      </c>
      <c r="AG87" s="63" t="str">
        <v/>
      </c>
      <c r="AH87" s="61" t="str">
        <v/>
      </c>
      <c r="AI87" s="61" t="str">
        <v/>
      </c>
      <c r="AJ87" s="64" t="str">
        <v/>
      </c>
      <c r="AK87" s="61" t="str">
        <v/>
      </c>
      <c r="AL87" s="61" t="str">
        <v/>
      </c>
      <c r="AM87" s="61" t="str">
        <v/>
      </c>
      <c r="AN87" s="61" t="str">
        <v/>
      </c>
      <c r="AO87" s="61" t="str">
        <v/>
      </c>
      <c r="AP87" s="42"/>
      <c r="AQ87" s="76"/>
      <c r="AR87" s="74"/>
      <c r="AS87" s="74" t="str">
        <v/>
      </c>
      <c r="AT87" s="72" t="str">
        <v/>
      </c>
      <c r="AU87" s="73"/>
      <c r="AV87" s="65" t="str">
        <v/>
      </c>
      <c r="AW87" s="62" t="str">
        <v/>
      </c>
      <c r="AX87" s="62" t="str">
        <v/>
      </c>
      <c r="AY87" s="66" t="str">
        <v/>
      </c>
      <c r="AZ87" s="61" t="str">
        <v/>
      </c>
      <c r="BA87" s="61" t="str">
        <v/>
      </c>
      <c r="BB87" s="61" t="str">
        <v/>
      </c>
      <c r="BC87" s="64" t="str">
        <v/>
      </c>
      <c r="BD87" s="61" t="str">
        <v/>
      </c>
      <c r="BE87" s="61" t="str">
        <v/>
      </c>
      <c r="BF87" s="61" t="str">
        <v/>
      </c>
      <c r="BG87" s="61" t="str">
        <v/>
      </c>
      <c r="BH87" s="61" t="str">
        <v/>
      </c>
      <c r="BI87" s="42"/>
      <c r="BJ87" s="67"/>
      <c r="BK87" s="60"/>
      <c r="BL87" s="60" t="str">
        <v/>
      </c>
      <c r="BM87" s="60" t="str">
        <v/>
      </c>
      <c r="BN87" s="60" t="str">
        <v/>
      </c>
      <c r="BO87" s="60" t="str">
        <v/>
      </c>
      <c r="BP87" s="60" t="str">
        <v/>
      </c>
      <c r="BQ87" s="60" t="str">
        <v/>
      </c>
      <c r="BR87" s="60" t="str">
        <v/>
      </c>
      <c r="BS87" s="60" t="str">
        <v/>
      </c>
      <c r="BT87" s="68" t="str">
        <v/>
      </c>
      <c r="BU87" s="42"/>
      <c r="BV87" s="62" t="str">
        <v/>
      </c>
      <c r="BW87" s="62" t="str">
        <v/>
      </c>
      <c r="BX87" s="62" t="str">
        <v/>
      </c>
      <c r="BY87" s="62" t="str">
        <v/>
      </c>
      <c r="BZ87" s="62" t="str">
        <v/>
      </c>
      <c r="CA87" s="62" t="str">
        <v/>
      </c>
      <c r="CB87" s="62" t="str">
        <v/>
      </c>
      <c r="CC87" s="62" t="str">
        <v/>
      </c>
      <c r="CD87" s="62" t="str">
        <v/>
      </c>
      <c r="CE87" s="122" t="str">
        <v/>
      </c>
      <c r="CF87" s="62" t="str">
        <v/>
      </c>
      <c r="CG87" s="62" t="str">
        <v/>
      </c>
      <c r="CH87" s="62" t="str">
        <v/>
      </c>
      <c r="CI87" s="62" t="str">
        <v/>
      </c>
      <c r="CJ87" s="62" t="str">
        <v/>
      </c>
      <c r="CK87" s="62" t="str">
        <v/>
      </c>
      <c r="CL87" s="62" t="str">
        <v/>
      </c>
      <c r="CM87" s="62" t="str">
        <v/>
      </c>
      <c r="CN87" s="130" t="str">
        <v/>
      </c>
    </row>
    <row r="88" spans="1:92">
      <c r="A88" s="39"/>
      <c r="B88" s="75"/>
      <c r="C88" s="41"/>
      <c r="D88" s="41"/>
      <c r="E88" s="41"/>
      <c r="F88" s="42"/>
      <c r="G88" s="61" t="str">
        <v/>
      </c>
      <c r="H88" s="61" t="str">
        <v/>
      </c>
      <c r="I88" s="42"/>
      <c r="J88" s="61" t="str">
        <v/>
      </c>
      <c r="K88" s="61" t="str">
        <v/>
      </c>
      <c r="L88" s="61" t="str">
        <v/>
      </c>
      <c r="M88" s="61" t="str">
        <v/>
      </c>
      <c r="N88" s="62" t="str">
        <v/>
      </c>
      <c r="O88" s="61" t="str">
        <v/>
      </c>
      <c r="P88" s="61" t="str">
        <v/>
      </c>
      <c r="Q88" s="61" t="str">
        <v/>
      </c>
      <c r="R88" s="61" t="str">
        <v/>
      </c>
      <c r="S88" s="61" t="str">
        <v/>
      </c>
      <c r="T88" s="45"/>
      <c r="U88" s="46"/>
      <c r="V88" s="46"/>
      <c r="W88" s="47"/>
      <c r="X88" s="46"/>
      <c r="Y88" s="46"/>
      <c r="Z88" s="46"/>
      <c r="AA88" s="46"/>
      <c r="AB88" s="47"/>
      <c r="AC88" s="62" t="str">
        <v/>
      </c>
      <c r="AD88" s="62" t="str">
        <v/>
      </c>
      <c r="AE88" s="62" t="str">
        <v/>
      </c>
      <c r="AF88" s="62" t="str">
        <v/>
      </c>
      <c r="AG88" s="63" t="str">
        <v/>
      </c>
      <c r="AH88" s="61" t="str">
        <v/>
      </c>
      <c r="AI88" s="61" t="str">
        <v/>
      </c>
      <c r="AJ88" s="64" t="str">
        <v/>
      </c>
      <c r="AK88" s="61" t="str">
        <v/>
      </c>
      <c r="AL88" s="61" t="str">
        <v/>
      </c>
      <c r="AM88" s="61" t="str">
        <v/>
      </c>
      <c r="AN88" s="61" t="str">
        <v/>
      </c>
      <c r="AO88" s="61" t="str">
        <v/>
      </c>
      <c r="AP88" s="42"/>
      <c r="AQ88" s="76"/>
      <c r="AR88" s="74"/>
      <c r="AS88" s="74" t="str">
        <v/>
      </c>
      <c r="AT88" s="72" t="str">
        <v/>
      </c>
      <c r="AU88" s="73"/>
      <c r="AV88" s="65" t="str">
        <v/>
      </c>
      <c r="AW88" s="62" t="str">
        <v/>
      </c>
      <c r="AX88" s="62" t="str">
        <v/>
      </c>
      <c r="AY88" s="66" t="str">
        <v/>
      </c>
      <c r="AZ88" s="61" t="str">
        <v/>
      </c>
      <c r="BA88" s="61" t="str">
        <v/>
      </c>
      <c r="BB88" s="61" t="str">
        <v/>
      </c>
      <c r="BC88" s="64" t="str">
        <v/>
      </c>
      <c r="BD88" s="61" t="str">
        <v/>
      </c>
      <c r="BE88" s="61" t="str">
        <v/>
      </c>
      <c r="BF88" s="61" t="str">
        <v/>
      </c>
      <c r="BG88" s="61" t="str">
        <v/>
      </c>
      <c r="BH88" s="61" t="str">
        <v/>
      </c>
      <c r="BI88" s="42"/>
      <c r="BJ88" s="67"/>
      <c r="BK88" s="60"/>
      <c r="BL88" s="60" t="str">
        <v/>
      </c>
      <c r="BM88" s="60" t="str">
        <v/>
      </c>
      <c r="BN88" s="60" t="str">
        <v/>
      </c>
      <c r="BO88" s="60" t="str">
        <v/>
      </c>
      <c r="BP88" s="60" t="str">
        <v/>
      </c>
      <c r="BQ88" s="60" t="str">
        <v/>
      </c>
      <c r="BR88" s="60" t="str">
        <v/>
      </c>
      <c r="BS88" s="60" t="str">
        <v/>
      </c>
      <c r="BT88" s="68" t="str">
        <v/>
      </c>
      <c r="BU88" s="42"/>
      <c r="BV88" s="62" t="str">
        <v/>
      </c>
      <c r="BW88" s="62" t="str">
        <v/>
      </c>
      <c r="BX88" s="62" t="str">
        <v/>
      </c>
      <c r="BY88" s="62" t="str">
        <v/>
      </c>
      <c r="BZ88" s="62" t="str">
        <v/>
      </c>
      <c r="CA88" s="62" t="str">
        <v/>
      </c>
      <c r="CB88" s="62" t="str">
        <v/>
      </c>
      <c r="CC88" s="62" t="str">
        <v/>
      </c>
      <c r="CD88" s="62" t="str">
        <v/>
      </c>
      <c r="CE88" s="122" t="str">
        <v/>
      </c>
      <c r="CF88" s="62" t="str">
        <v/>
      </c>
      <c r="CG88" s="62" t="str">
        <v/>
      </c>
      <c r="CH88" s="62" t="str">
        <v/>
      </c>
      <c r="CI88" s="62" t="str">
        <v/>
      </c>
      <c r="CJ88" s="62" t="str">
        <v/>
      </c>
      <c r="CK88" s="62" t="str">
        <v/>
      </c>
      <c r="CL88" s="62" t="str">
        <v/>
      </c>
      <c r="CM88" s="62" t="str">
        <v/>
      </c>
      <c r="CN88" s="130" t="str">
        <v/>
      </c>
    </row>
    <row r="89" spans="1:92">
      <c r="A89" s="39"/>
      <c r="B89" s="75"/>
      <c r="C89" s="41"/>
      <c r="D89" s="41"/>
      <c r="E89" s="41"/>
      <c r="F89" s="42"/>
      <c r="G89" s="61" t="str">
        <v/>
      </c>
      <c r="H89" s="61" t="str">
        <v/>
      </c>
      <c r="I89" s="42"/>
      <c r="J89" s="61" t="str">
        <v/>
      </c>
      <c r="K89" s="61" t="str">
        <v/>
      </c>
      <c r="L89" s="61" t="str">
        <v/>
      </c>
      <c r="M89" s="61" t="str">
        <v/>
      </c>
      <c r="N89" s="62" t="str">
        <v/>
      </c>
      <c r="O89" s="61" t="str">
        <v/>
      </c>
      <c r="P89" s="61" t="str">
        <v/>
      </c>
      <c r="Q89" s="61" t="str">
        <v/>
      </c>
      <c r="R89" s="61" t="str">
        <v/>
      </c>
      <c r="S89" s="61" t="str">
        <v/>
      </c>
      <c r="T89" s="45"/>
      <c r="U89" s="46"/>
      <c r="V89" s="46"/>
      <c r="W89" s="47"/>
      <c r="X89" s="46"/>
      <c r="Y89" s="46"/>
      <c r="Z89" s="46"/>
      <c r="AA89" s="46"/>
      <c r="AB89" s="47"/>
      <c r="AC89" s="62" t="str">
        <v/>
      </c>
      <c r="AD89" s="62" t="str">
        <v/>
      </c>
      <c r="AE89" s="62" t="str">
        <v/>
      </c>
      <c r="AF89" s="62" t="str">
        <v/>
      </c>
      <c r="AG89" s="63" t="str">
        <v/>
      </c>
      <c r="AH89" s="61" t="str">
        <v/>
      </c>
      <c r="AI89" s="61" t="str">
        <v/>
      </c>
      <c r="AJ89" s="64" t="str">
        <v/>
      </c>
      <c r="AK89" s="61" t="str">
        <v/>
      </c>
      <c r="AL89" s="61" t="str">
        <v/>
      </c>
      <c r="AM89" s="61" t="str">
        <v/>
      </c>
      <c r="AN89" s="61" t="str">
        <v/>
      </c>
      <c r="AO89" s="61" t="str">
        <v/>
      </c>
      <c r="AP89" s="42"/>
      <c r="AQ89" s="76"/>
      <c r="AR89" s="74"/>
      <c r="AS89" s="74" t="str">
        <v/>
      </c>
      <c r="AT89" s="72" t="str">
        <v/>
      </c>
      <c r="AU89" s="73"/>
      <c r="AV89" s="65" t="str">
        <v/>
      </c>
      <c r="AW89" s="62" t="str">
        <v/>
      </c>
      <c r="AX89" s="62" t="str">
        <v/>
      </c>
      <c r="AY89" s="66" t="str">
        <v/>
      </c>
      <c r="AZ89" s="61" t="str">
        <v/>
      </c>
      <c r="BA89" s="61" t="str">
        <v/>
      </c>
      <c r="BB89" s="61" t="str">
        <v/>
      </c>
      <c r="BC89" s="64" t="str">
        <v/>
      </c>
      <c r="BD89" s="61" t="str">
        <v/>
      </c>
      <c r="BE89" s="61" t="str">
        <v/>
      </c>
      <c r="BF89" s="61" t="str">
        <v/>
      </c>
      <c r="BG89" s="61" t="str">
        <v/>
      </c>
      <c r="BH89" s="61" t="str">
        <v/>
      </c>
      <c r="BI89" s="42"/>
      <c r="BJ89" s="67"/>
      <c r="BK89" s="60"/>
      <c r="BL89" s="60" t="str">
        <v/>
      </c>
      <c r="BM89" s="60" t="str">
        <v/>
      </c>
      <c r="BN89" s="60" t="str">
        <v/>
      </c>
      <c r="BO89" s="60" t="str">
        <v/>
      </c>
      <c r="BP89" s="60" t="str">
        <v/>
      </c>
      <c r="BQ89" s="60" t="str">
        <v/>
      </c>
      <c r="BR89" s="60" t="str">
        <v/>
      </c>
      <c r="BS89" s="60" t="str">
        <v/>
      </c>
      <c r="BT89" s="68" t="str">
        <v/>
      </c>
      <c r="BU89" s="42"/>
      <c r="BV89" s="62" t="str">
        <v/>
      </c>
      <c r="BW89" s="62" t="str">
        <v/>
      </c>
      <c r="BX89" s="62" t="str">
        <v/>
      </c>
      <c r="BY89" s="62" t="str">
        <v/>
      </c>
      <c r="BZ89" s="62" t="str">
        <v/>
      </c>
      <c r="CA89" s="62" t="str">
        <v/>
      </c>
      <c r="CB89" s="62" t="str">
        <v/>
      </c>
      <c r="CC89" s="62" t="str">
        <v/>
      </c>
      <c r="CD89" s="62" t="str">
        <v/>
      </c>
      <c r="CE89" s="122" t="str">
        <v/>
      </c>
      <c r="CF89" s="62" t="str">
        <v/>
      </c>
      <c r="CG89" s="62" t="str">
        <v/>
      </c>
      <c r="CH89" s="62" t="str">
        <v/>
      </c>
      <c r="CI89" s="62" t="str">
        <v/>
      </c>
      <c r="CJ89" s="62" t="str">
        <v/>
      </c>
      <c r="CK89" s="62" t="str">
        <v/>
      </c>
      <c r="CL89" s="62" t="str">
        <v/>
      </c>
      <c r="CM89" s="62" t="str">
        <v/>
      </c>
      <c r="CN89" s="130" t="str">
        <v/>
      </c>
    </row>
    <row r="90" spans="1:92">
      <c r="A90" s="39"/>
      <c r="B90" s="75"/>
      <c r="C90" s="41"/>
      <c r="D90" s="41"/>
      <c r="E90" s="41"/>
      <c r="F90" s="42"/>
      <c r="G90" s="61" t="str">
        <v/>
      </c>
      <c r="H90" s="61" t="str">
        <v/>
      </c>
      <c r="I90" s="42"/>
      <c r="J90" s="61" t="str">
        <v/>
      </c>
      <c r="K90" s="61" t="str">
        <v/>
      </c>
      <c r="L90" s="61" t="str">
        <v/>
      </c>
      <c r="M90" s="61" t="str">
        <v/>
      </c>
      <c r="N90" s="62" t="str">
        <v/>
      </c>
      <c r="O90" s="61" t="str">
        <v/>
      </c>
      <c r="P90" s="61" t="str">
        <v/>
      </c>
      <c r="Q90" s="61" t="str">
        <v/>
      </c>
      <c r="R90" s="61" t="str">
        <v/>
      </c>
      <c r="S90" s="61" t="str">
        <v/>
      </c>
      <c r="T90" s="45"/>
      <c r="U90" s="46"/>
      <c r="V90" s="46"/>
      <c r="W90" s="47"/>
      <c r="X90" s="46"/>
      <c r="Y90" s="46"/>
      <c r="Z90" s="46"/>
      <c r="AA90" s="46"/>
      <c r="AB90" s="47"/>
      <c r="AC90" s="62" t="str">
        <v/>
      </c>
      <c r="AD90" s="62" t="str">
        <v/>
      </c>
      <c r="AE90" s="62" t="str">
        <v/>
      </c>
      <c r="AF90" s="62" t="str">
        <v/>
      </c>
      <c r="AG90" s="63" t="str">
        <v/>
      </c>
      <c r="AH90" s="61" t="str">
        <v/>
      </c>
      <c r="AI90" s="61" t="str">
        <v/>
      </c>
      <c r="AJ90" s="64" t="str">
        <v/>
      </c>
      <c r="AK90" s="61" t="str">
        <v/>
      </c>
      <c r="AL90" s="61" t="str">
        <v/>
      </c>
      <c r="AM90" s="61" t="str">
        <v/>
      </c>
      <c r="AN90" s="61" t="str">
        <v/>
      </c>
      <c r="AO90" s="61" t="str">
        <v/>
      </c>
      <c r="AP90" s="42"/>
      <c r="AQ90" s="76"/>
      <c r="AR90" s="74"/>
      <c r="AS90" s="74" t="str">
        <v/>
      </c>
      <c r="AT90" s="72" t="str">
        <v/>
      </c>
      <c r="AU90" s="73"/>
      <c r="AV90" s="65" t="str">
        <v/>
      </c>
      <c r="AW90" s="62" t="str">
        <v/>
      </c>
      <c r="AX90" s="62" t="str">
        <v/>
      </c>
      <c r="AY90" s="66" t="str">
        <v/>
      </c>
      <c r="AZ90" s="61" t="str">
        <v/>
      </c>
      <c r="BA90" s="61" t="str">
        <v/>
      </c>
      <c r="BB90" s="61" t="str">
        <v/>
      </c>
      <c r="BC90" s="64" t="str">
        <v/>
      </c>
      <c r="BD90" s="61" t="str">
        <v/>
      </c>
      <c r="BE90" s="61" t="str">
        <v/>
      </c>
      <c r="BF90" s="61" t="str">
        <v/>
      </c>
      <c r="BG90" s="61" t="str">
        <v/>
      </c>
      <c r="BH90" s="61" t="str">
        <v/>
      </c>
      <c r="BI90" s="42"/>
      <c r="BJ90" s="67"/>
      <c r="BK90" s="60"/>
      <c r="BL90" s="60" t="str">
        <v/>
      </c>
      <c r="BM90" s="60" t="str">
        <v/>
      </c>
      <c r="BN90" s="60" t="str">
        <v/>
      </c>
      <c r="BO90" s="60" t="str">
        <v/>
      </c>
      <c r="BP90" s="60" t="str">
        <v/>
      </c>
      <c r="BQ90" s="60" t="str">
        <v/>
      </c>
      <c r="BR90" s="60" t="str">
        <v/>
      </c>
      <c r="BS90" s="60" t="str">
        <v/>
      </c>
      <c r="BT90" s="68" t="str">
        <v/>
      </c>
      <c r="BU90" s="42"/>
      <c r="BV90" s="62" t="str">
        <v/>
      </c>
      <c r="BW90" s="62" t="str">
        <v/>
      </c>
      <c r="BX90" s="62" t="str">
        <v/>
      </c>
      <c r="BY90" s="62" t="str">
        <v/>
      </c>
      <c r="BZ90" s="62" t="str">
        <v/>
      </c>
      <c r="CA90" s="62" t="str">
        <v/>
      </c>
      <c r="CB90" s="62" t="str">
        <v/>
      </c>
      <c r="CC90" s="62" t="str">
        <v/>
      </c>
      <c r="CD90" s="62" t="str">
        <v/>
      </c>
      <c r="CE90" s="122" t="str">
        <v/>
      </c>
      <c r="CF90" s="62" t="str">
        <v/>
      </c>
      <c r="CG90" s="62" t="str">
        <v/>
      </c>
      <c r="CH90" s="62" t="str">
        <v/>
      </c>
      <c r="CI90" s="62" t="str">
        <v/>
      </c>
      <c r="CJ90" s="62" t="str">
        <v/>
      </c>
      <c r="CK90" s="62" t="str">
        <v/>
      </c>
      <c r="CL90" s="62" t="str">
        <v/>
      </c>
      <c r="CM90" s="62" t="str">
        <v/>
      </c>
      <c r="CN90" s="130" t="str">
        <v/>
      </c>
    </row>
    <row r="91" spans="1:92">
      <c r="A91" s="39"/>
      <c r="B91" s="75"/>
      <c r="C91" s="41"/>
      <c r="D91" s="41"/>
      <c r="E91" s="41"/>
      <c r="F91" s="42"/>
      <c r="G91" s="61" t="str">
        <v/>
      </c>
      <c r="H91" s="61" t="str">
        <v/>
      </c>
      <c r="I91" s="42"/>
      <c r="J91" s="61" t="str">
        <v/>
      </c>
      <c r="K91" s="61" t="str">
        <v/>
      </c>
      <c r="L91" s="61" t="str">
        <v/>
      </c>
      <c r="M91" s="61" t="str">
        <v/>
      </c>
      <c r="N91" s="62" t="str">
        <v/>
      </c>
      <c r="O91" s="61" t="str">
        <v/>
      </c>
      <c r="P91" s="61" t="str">
        <v/>
      </c>
      <c r="Q91" s="61" t="str">
        <v/>
      </c>
      <c r="R91" s="61" t="str">
        <v/>
      </c>
      <c r="S91" s="61" t="str">
        <v/>
      </c>
      <c r="T91" s="45"/>
      <c r="U91" s="46"/>
      <c r="V91" s="46"/>
      <c r="W91" s="47"/>
      <c r="X91" s="46"/>
      <c r="Y91" s="46"/>
      <c r="Z91" s="46"/>
      <c r="AA91" s="46"/>
      <c r="AB91" s="47"/>
      <c r="AC91" s="62" t="str">
        <v/>
      </c>
      <c r="AD91" s="62" t="str">
        <v/>
      </c>
      <c r="AE91" s="62" t="str">
        <v/>
      </c>
      <c r="AF91" s="62" t="str">
        <v/>
      </c>
      <c r="AG91" s="63" t="str">
        <v/>
      </c>
      <c r="AH91" s="61" t="str">
        <v/>
      </c>
      <c r="AI91" s="61" t="str">
        <v/>
      </c>
      <c r="AJ91" s="64" t="str">
        <v/>
      </c>
      <c r="AK91" s="61" t="str">
        <v/>
      </c>
      <c r="AL91" s="61" t="str">
        <v/>
      </c>
      <c r="AM91" s="61" t="str">
        <v/>
      </c>
      <c r="AN91" s="61" t="str">
        <v/>
      </c>
      <c r="AO91" s="61" t="str">
        <v/>
      </c>
      <c r="AP91" s="42"/>
      <c r="AQ91" s="76"/>
      <c r="AR91" s="74"/>
      <c r="AS91" s="74" t="str">
        <v/>
      </c>
      <c r="AT91" s="72" t="str">
        <v/>
      </c>
      <c r="AU91" s="73"/>
      <c r="AV91" s="65" t="str">
        <v/>
      </c>
      <c r="AW91" s="62" t="str">
        <v/>
      </c>
      <c r="AX91" s="62" t="str">
        <v/>
      </c>
      <c r="AY91" s="66" t="str">
        <v/>
      </c>
      <c r="AZ91" s="61" t="str">
        <v/>
      </c>
      <c r="BA91" s="61" t="str">
        <v/>
      </c>
      <c r="BB91" s="61" t="str">
        <v/>
      </c>
      <c r="BC91" s="64" t="str">
        <v/>
      </c>
      <c r="BD91" s="61" t="str">
        <v/>
      </c>
      <c r="BE91" s="61" t="str">
        <v/>
      </c>
      <c r="BF91" s="61" t="str">
        <v/>
      </c>
      <c r="BG91" s="61" t="str">
        <v/>
      </c>
      <c r="BH91" s="61" t="str">
        <v/>
      </c>
      <c r="BI91" s="42"/>
      <c r="BJ91" s="67"/>
      <c r="BK91" s="60"/>
      <c r="BL91" s="60" t="str">
        <v/>
      </c>
      <c r="BM91" s="60" t="str">
        <v/>
      </c>
      <c r="BN91" s="60" t="str">
        <v/>
      </c>
      <c r="BO91" s="60" t="str">
        <v/>
      </c>
      <c r="BP91" s="60" t="str">
        <v/>
      </c>
      <c r="BQ91" s="60" t="str">
        <v/>
      </c>
      <c r="BR91" s="60" t="str">
        <v/>
      </c>
      <c r="BS91" s="60" t="str">
        <v/>
      </c>
      <c r="BT91" s="68" t="str">
        <v/>
      </c>
      <c r="BU91" s="42"/>
      <c r="BV91" s="62" t="str">
        <v/>
      </c>
      <c r="BW91" s="62" t="str">
        <v/>
      </c>
      <c r="BX91" s="62" t="str">
        <v/>
      </c>
      <c r="BY91" s="62" t="str">
        <v/>
      </c>
      <c r="BZ91" s="62" t="str">
        <v/>
      </c>
      <c r="CA91" s="62" t="str">
        <v/>
      </c>
      <c r="CB91" s="62" t="str">
        <v/>
      </c>
      <c r="CC91" s="62" t="str">
        <v/>
      </c>
      <c r="CD91" s="62" t="str">
        <v/>
      </c>
      <c r="CE91" s="122" t="str">
        <v/>
      </c>
      <c r="CF91" s="62" t="str">
        <v/>
      </c>
      <c r="CG91" s="62" t="str">
        <v/>
      </c>
      <c r="CH91" s="62" t="str">
        <v/>
      </c>
      <c r="CI91" s="62" t="str">
        <v/>
      </c>
      <c r="CJ91" s="62" t="str">
        <v/>
      </c>
      <c r="CK91" s="62" t="str">
        <v/>
      </c>
      <c r="CL91" s="62" t="str">
        <v/>
      </c>
      <c r="CM91" s="62" t="str">
        <v/>
      </c>
      <c r="CN91" s="130" t="str">
        <v/>
      </c>
    </row>
    <row r="92" spans="1:92">
      <c r="A92" s="39"/>
      <c r="B92" s="75"/>
      <c r="C92" s="41"/>
      <c r="D92" s="41"/>
      <c r="E92" s="41"/>
      <c r="F92" s="42"/>
      <c r="G92" s="61" t="str">
        <v/>
      </c>
      <c r="H92" s="61" t="str">
        <v/>
      </c>
      <c r="I92" s="42"/>
      <c r="J92" s="61" t="str">
        <v/>
      </c>
      <c r="K92" s="61" t="str">
        <v/>
      </c>
      <c r="L92" s="61" t="str">
        <v/>
      </c>
      <c r="M92" s="61" t="str">
        <v/>
      </c>
      <c r="N92" s="62" t="str">
        <v/>
      </c>
      <c r="O92" s="61" t="str">
        <v/>
      </c>
      <c r="P92" s="61" t="str">
        <v/>
      </c>
      <c r="Q92" s="61" t="str">
        <v/>
      </c>
      <c r="R92" s="61" t="str">
        <v/>
      </c>
      <c r="S92" s="61" t="str">
        <v/>
      </c>
      <c r="T92" s="45"/>
      <c r="U92" s="46"/>
      <c r="V92" s="46"/>
      <c r="W92" s="47"/>
      <c r="X92" s="46"/>
      <c r="Y92" s="46"/>
      <c r="Z92" s="46"/>
      <c r="AA92" s="46"/>
      <c r="AB92" s="47"/>
      <c r="AC92" s="62" t="str">
        <v/>
      </c>
      <c r="AD92" s="62" t="str">
        <v/>
      </c>
      <c r="AE92" s="62" t="str">
        <v/>
      </c>
      <c r="AF92" s="62" t="str">
        <v/>
      </c>
      <c r="AG92" s="63" t="str">
        <v/>
      </c>
      <c r="AH92" s="61" t="str">
        <v/>
      </c>
      <c r="AI92" s="61" t="str">
        <v/>
      </c>
      <c r="AJ92" s="64" t="str">
        <v/>
      </c>
      <c r="AK92" s="61" t="str">
        <v/>
      </c>
      <c r="AL92" s="61" t="str">
        <v/>
      </c>
      <c r="AM92" s="61" t="str">
        <v/>
      </c>
      <c r="AN92" s="61" t="str">
        <v/>
      </c>
      <c r="AO92" s="61" t="str">
        <v/>
      </c>
      <c r="AP92" s="42"/>
      <c r="AQ92" s="76"/>
      <c r="AR92" s="74"/>
      <c r="AS92" s="74" t="str">
        <v/>
      </c>
      <c r="AT92" s="72" t="str">
        <v/>
      </c>
      <c r="AU92" s="73"/>
      <c r="AV92" s="65" t="str">
        <v/>
      </c>
      <c r="AW92" s="62" t="str">
        <v/>
      </c>
      <c r="AX92" s="62" t="str">
        <v/>
      </c>
      <c r="AY92" s="66" t="str">
        <v/>
      </c>
      <c r="AZ92" s="61" t="str">
        <v/>
      </c>
      <c r="BA92" s="61" t="str">
        <v/>
      </c>
      <c r="BB92" s="61" t="str">
        <v/>
      </c>
      <c r="BC92" s="64" t="str">
        <v/>
      </c>
      <c r="BD92" s="61" t="str">
        <v/>
      </c>
      <c r="BE92" s="61" t="str">
        <v/>
      </c>
      <c r="BF92" s="61" t="str">
        <v/>
      </c>
      <c r="BG92" s="61" t="str">
        <v/>
      </c>
      <c r="BH92" s="61" t="str">
        <v/>
      </c>
      <c r="BI92" s="42"/>
      <c r="BJ92" s="67"/>
      <c r="BK92" s="60"/>
      <c r="BL92" s="60" t="str">
        <v/>
      </c>
      <c r="BM92" s="60" t="str">
        <v/>
      </c>
      <c r="BN92" s="60" t="str">
        <v/>
      </c>
      <c r="BO92" s="60" t="str">
        <v/>
      </c>
      <c r="BP92" s="60" t="str">
        <v/>
      </c>
      <c r="BQ92" s="60" t="str">
        <v/>
      </c>
      <c r="BR92" s="60" t="str">
        <v/>
      </c>
      <c r="BS92" s="60" t="str">
        <v/>
      </c>
      <c r="BT92" s="68" t="str">
        <v/>
      </c>
      <c r="BU92" s="42"/>
      <c r="BV92" s="62" t="str">
        <v/>
      </c>
      <c r="BW92" s="62" t="str">
        <v/>
      </c>
      <c r="BX92" s="62" t="str">
        <v/>
      </c>
      <c r="BY92" s="62" t="str">
        <v/>
      </c>
      <c r="BZ92" s="62" t="str">
        <v/>
      </c>
      <c r="CA92" s="62" t="str">
        <v/>
      </c>
      <c r="CB92" s="62" t="str">
        <v/>
      </c>
      <c r="CC92" s="62" t="str">
        <v/>
      </c>
      <c r="CD92" s="62" t="str">
        <v/>
      </c>
      <c r="CE92" s="122" t="str">
        <v/>
      </c>
      <c r="CF92" s="62" t="str">
        <v/>
      </c>
      <c r="CG92" s="62" t="str">
        <v/>
      </c>
      <c r="CH92" s="62" t="str">
        <v/>
      </c>
      <c r="CI92" s="62" t="str">
        <v/>
      </c>
      <c r="CJ92" s="62" t="str">
        <v/>
      </c>
      <c r="CK92" s="62" t="str">
        <v/>
      </c>
      <c r="CL92" s="62" t="str">
        <v/>
      </c>
      <c r="CM92" s="62" t="str">
        <v/>
      </c>
      <c r="CN92" s="130" t="str">
        <v/>
      </c>
    </row>
    <row r="93" spans="1:92">
      <c r="A93" s="39"/>
      <c r="B93" s="75"/>
      <c r="C93" s="41"/>
      <c r="D93" s="41"/>
      <c r="E93" s="41"/>
      <c r="F93" s="42"/>
      <c r="G93" s="61" t="str">
        <v/>
      </c>
      <c r="H93" s="61" t="str">
        <v/>
      </c>
      <c r="I93" s="42"/>
      <c r="J93" s="61" t="str">
        <v/>
      </c>
      <c r="K93" s="61" t="str">
        <v/>
      </c>
      <c r="L93" s="61" t="str">
        <v/>
      </c>
      <c r="M93" s="61" t="str">
        <v/>
      </c>
      <c r="N93" s="62" t="str">
        <v/>
      </c>
      <c r="O93" s="61" t="str">
        <v/>
      </c>
      <c r="P93" s="61" t="str">
        <v/>
      </c>
      <c r="Q93" s="61" t="str">
        <v/>
      </c>
      <c r="R93" s="61" t="str">
        <v/>
      </c>
      <c r="S93" s="61" t="str">
        <v/>
      </c>
      <c r="T93" s="45"/>
      <c r="U93" s="46"/>
      <c r="V93" s="46"/>
      <c r="W93" s="47"/>
      <c r="X93" s="46"/>
      <c r="Y93" s="46"/>
      <c r="Z93" s="46"/>
      <c r="AA93" s="46"/>
      <c r="AB93" s="47"/>
      <c r="AC93" s="62" t="str">
        <v/>
      </c>
      <c r="AD93" s="62" t="str">
        <v/>
      </c>
      <c r="AE93" s="62" t="str">
        <v/>
      </c>
      <c r="AF93" s="62" t="str">
        <v/>
      </c>
      <c r="AG93" s="63" t="str">
        <v/>
      </c>
      <c r="AH93" s="61" t="str">
        <v/>
      </c>
      <c r="AI93" s="61" t="str">
        <v/>
      </c>
      <c r="AJ93" s="64" t="str">
        <v/>
      </c>
      <c r="AK93" s="61" t="str">
        <v/>
      </c>
      <c r="AL93" s="61" t="str">
        <v/>
      </c>
      <c r="AM93" s="61" t="str">
        <v/>
      </c>
      <c r="AN93" s="61" t="str">
        <v/>
      </c>
      <c r="AO93" s="61" t="str">
        <v/>
      </c>
      <c r="AP93" s="42"/>
      <c r="AQ93" s="76"/>
      <c r="AR93" s="74"/>
      <c r="AS93" s="74" t="str">
        <v/>
      </c>
      <c r="AT93" s="72" t="str">
        <v/>
      </c>
      <c r="AU93" s="73"/>
      <c r="AV93" s="65" t="str">
        <v/>
      </c>
      <c r="AW93" s="62" t="str">
        <v/>
      </c>
      <c r="AX93" s="62" t="str">
        <v/>
      </c>
      <c r="AY93" s="66" t="str">
        <v/>
      </c>
      <c r="AZ93" s="61" t="str">
        <v/>
      </c>
      <c r="BA93" s="61" t="str">
        <v/>
      </c>
      <c r="BB93" s="61" t="str">
        <v/>
      </c>
      <c r="BC93" s="64" t="str">
        <v/>
      </c>
      <c r="BD93" s="61" t="str">
        <v/>
      </c>
      <c r="BE93" s="61" t="str">
        <v/>
      </c>
      <c r="BF93" s="61" t="str">
        <v/>
      </c>
      <c r="BG93" s="61" t="str">
        <v/>
      </c>
      <c r="BH93" s="61" t="str">
        <v/>
      </c>
      <c r="BI93" s="42"/>
      <c r="BJ93" s="67"/>
      <c r="BK93" s="60"/>
      <c r="BL93" s="60" t="str">
        <v/>
      </c>
      <c r="BM93" s="60" t="str">
        <v/>
      </c>
      <c r="BN93" s="60" t="str">
        <v/>
      </c>
      <c r="BO93" s="60" t="str">
        <v/>
      </c>
      <c r="BP93" s="60" t="str">
        <v/>
      </c>
      <c r="BQ93" s="60" t="str">
        <v/>
      </c>
      <c r="BR93" s="60" t="str">
        <v/>
      </c>
      <c r="BS93" s="60" t="str">
        <v/>
      </c>
      <c r="BT93" s="68" t="str">
        <v/>
      </c>
      <c r="BU93" s="42"/>
      <c r="BV93" s="62" t="str">
        <v/>
      </c>
      <c r="BW93" s="62" t="str">
        <v/>
      </c>
      <c r="BX93" s="62" t="str">
        <v/>
      </c>
      <c r="BY93" s="62" t="str">
        <v/>
      </c>
      <c r="BZ93" s="62" t="str">
        <v/>
      </c>
      <c r="CA93" s="62" t="str">
        <v/>
      </c>
      <c r="CB93" s="62" t="str">
        <v/>
      </c>
      <c r="CC93" s="62" t="str">
        <v/>
      </c>
      <c r="CD93" s="62" t="str">
        <v/>
      </c>
      <c r="CE93" s="122" t="str">
        <v/>
      </c>
      <c r="CF93" s="62" t="str">
        <v/>
      </c>
      <c r="CG93" s="62" t="str">
        <v/>
      </c>
      <c r="CH93" s="62" t="str">
        <v/>
      </c>
      <c r="CI93" s="62" t="str">
        <v/>
      </c>
      <c r="CJ93" s="62" t="str">
        <v/>
      </c>
      <c r="CK93" s="62" t="str">
        <v/>
      </c>
      <c r="CL93" s="62" t="str">
        <v/>
      </c>
      <c r="CM93" s="62" t="str">
        <v/>
      </c>
      <c r="CN93" s="130" t="str">
        <v/>
      </c>
    </row>
    <row r="94" spans="1:92">
      <c r="A94" s="39"/>
      <c r="B94" s="75"/>
      <c r="C94" s="41"/>
      <c r="D94" s="41"/>
      <c r="E94" s="41"/>
      <c r="F94" s="42"/>
      <c r="G94" s="61" t="str">
        <v/>
      </c>
      <c r="H94" s="61" t="str">
        <v/>
      </c>
      <c r="I94" s="42"/>
      <c r="J94" s="61" t="str">
        <v/>
      </c>
      <c r="K94" s="61" t="str">
        <v/>
      </c>
      <c r="L94" s="61" t="str">
        <v/>
      </c>
      <c r="M94" s="61" t="str">
        <v/>
      </c>
      <c r="N94" s="62" t="str">
        <v/>
      </c>
      <c r="O94" s="61" t="str">
        <v/>
      </c>
      <c r="P94" s="61" t="str">
        <v/>
      </c>
      <c r="Q94" s="61" t="str">
        <v/>
      </c>
      <c r="R94" s="61" t="str">
        <v/>
      </c>
      <c r="S94" s="61" t="str">
        <v/>
      </c>
      <c r="T94" s="45"/>
      <c r="U94" s="46"/>
      <c r="V94" s="46"/>
      <c r="W94" s="47"/>
      <c r="X94" s="46"/>
      <c r="Y94" s="46"/>
      <c r="Z94" s="46"/>
      <c r="AA94" s="46"/>
      <c r="AB94" s="47"/>
      <c r="AC94" s="62" t="str">
        <v/>
      </c>
      <c r="AD94" s="62" t="str">
        <v/>
      </c>
      <c r="AE94" s="62" t="str">
        <v/>
      </c>
      <c r="AF94" s="62" t="str">
        <v/>
      </c>
      <c r="AG94" s="63" t="str">
        <v/>
      </c>
      <c r="AH94" s="61" t="str">
        <v/>
      </c>
      <c r="AI94" s="61" t="str">
        <v/>
      </c>
      <c r="AJ94" s="64" t="str">
        <v/>
      </c>
      <c r="AK94" s="61" t="str">
        <v/>
      </c>
      <c r="AL94" s="61" t="str">
        <v/>
      </c>
      <c r="AM94" s="61" t="str">
        <v/>
      </c>
      <c r="AN94" s="61" t="str">
        <v/>
      </c>
      <c r="AO94" s="61" t="str">
        <v/>
      </c>
      <c r="AP94" s="42"/>
      <c r="AQ94" s="76"/>
      <c r="AR94" s="74"/>
      <c r="AS94" s="74" t="str">
        <v/>
      </c>
      <c r="AT94" s="72" t="str">
        <v/>
      </c>
      <c r="AU94" s="73"/>
      <c r="AV94" s="65" t="str">
        <v/>
      </c>
      <c r="AW94" s="62" t="str">
        <v/>
      </c>
      <c r="AX94" s="62" t="str">
        <v/>
      </c>
      <c r="AY94" s="66" t="str">
        <v/>
      </c>
      <c r="AZ94" s="61" t="str">
        <v/>
      </c>
      <c r="BA94" s="61" t="str">
        <v/>
      </c>
      <c r="BB94" s="61" t="str">
        <v/>
      </c>
      <c r="BC94" s="64" t="str">
        <v/>
      </c>
      <c r="BD94" s="61" t="str">
        <v/>
      </c>
      <c r="BE94" s="61" t="str">
        <v/>
      </c>
      <c r="BF94" s="61" t="str">
        <v/>
      </c>
      <c r="BG94" s="61" t="str">
        <v/>
      </c>
      <c r="BH94" s="61" t="str">
        <v/>
      </c>
      <c r="BI94" s="42"/>
      <c r="BJ94" s="67"/>
      <c r="BK94" s="60"/>
      <c r="BL94" s="60" t="str">
        <v/>
      </c>
      <c r="BM94" s="60" t="str">
        <v/>
      </c>
      <c r="BN94" s="60" t="str">
        <v/>
      </c>
      <c r="BO94" s="60" t="str">
        <v/>
      </c>
      <c r="BP94" s="60" t="str">
        <v/>
      </c>
      <c r="BQ94" s="60" t="str">
        <v/>
      </c>
      <c r="BR94" s="60" t="str">
        <v/>
      </c>
      <c r="BS94" s="60" t="str">
        <v/>
      </c>
      <c r="BT94" s="68" t="str">
        <v/>
      </c>
      <c r="BU94" s="42"/>
      <c r="BV94" s="62" t="str">
        <v/>
      </c>
      <c r="BW94" s="62" t="str">
        <v/>
      </c>
      <c r="BX94" s="62" t="str">
        <v/>
      </c>
      <c r="BY94" s="62" t="str">
        <v/>
      </c>
      <c r="BZ94" s="62" t="str">
        <v/>
      </c>
      <c r="CA94" s="62" t="str">
        <v/>
      </c>
      <c r="CB94" s="62" t="str">
        <v/>
      </c>
      <c r="CC94" s="62" t="str">
        <v/>
      </c>
      <c r="CD94" s="62" t="str">
        <v/>
      </c>
      <c r="CE94" s="122" t="str">
        <v/>
      </c>
      <c r="CF94" s="62" t="str">
        <v/>
      </c>
      <c r="CG94" s="62" t="str">
        <v/>
      </c>
      <c r="CH94" s="62" t="str">
        <v/>
      </c>
      <c r="CI94" s="62" t="str">
        <v/>
      </c>
      <c r="CJ94" s="62" t="str">
        <v/>
      </c>
      <c r="CK94" s="62" t="str">
        <v/>
      </c>
      <c r="CL94" s="62" t="str">
        <v/>
      </c>
      <c r="CM94" s="62" t="str">
        <v/>
      </c>
      <c r="CN94" s="130" t="str">
        <v/>
      </c>
    </row>
    <row r="95" spans="1:92">
      <c r="A95" s="39"/>
      <c r="B95" s="75"/>
      <c r="C95" s="41"/>
      <c r="D95" s="41"/>
      <c r="E95" s="41"/>
      <c r="F95" s="42"/>
      <c r="G95" s="61" t="str">
        <v/>
      </c>
      <c r="H95" s="61" t="str">
        <v/>
      </c>
      <c r="I95" s="42"/>
      <c r="J95" s="61" t="str">
        <v/>
      </c>
      <c r="K95" s="61" t="str">
        <v/>
      </c>
      <c r="L95" s="61" t="str">
        <v/>
      </c>
      <c r="M95" s="61" t="str">
        <v/>
      </c>
      <c r="N95" s="62" t="str">
        <v/>
      </c>
      <c r="O95" s="61" t="str">
        <v/>
      </c>
      <c r="P95" s="61" t="str">
        <v/>
      </c>
      <c r="Q95" s="61" t="str">
        <v/>
      </c>
      <c r="R95" s="61" t="str">
        <v/>
      </c>
      <c r="S95" s="61" t="str">
        <v/>
      </c>
      <c r="T95" s="45"/>
      <c r="U95" s="46"/>
      <c r="V95" s="46"/>
      <c r="W95" s="47"/>
      <c r="X95" s="46"/>
      <c r="Y95" s="46"/>
      <c r="Z95" s="46"/>
      <c r="AA95" s="46"/>
      <c r="AB95" s="47"/>
      <c r="AC95" s="62" t="str">
        <v/>
      </c>
      <c r="AD95" s="62" t="str">
        <v/>
      </c>
      <c r="AE95" s="62" t="str">
        <v/>
      </c>
      <c r="AF95" s="62" t="str">
        <v/>
      </c>
      <c r="AG95" s="63" t="str">
        <v/>
      </c>
      <c r="AH95" s="61" t="str">
        <v/>
      </c>
      <c r="AI95" s="61" t="str">
        <v/>
      </c>
      <c r="AJ95" s="64" t="str">
        <v/>
      </c>
      <c r="AK95" s="61" t="str">
        <v/>
      </c>
      <c r="AL95" s="61" t="str">
        <v/>
      </c>
      <c r="AM95" s="61" t="str">
        <v/>
      </c>
      <c r="AN95" s="61" t="str">
        <v/>
      </c>
      <c r="AO95" s="61" t="str">
        <v/>
      </c>
      <c r="AP95" s="42"/>
      <c r="AQ95" s="76"/>
      <c r="AR95" s="74"/>
      <c r="AS95" s="74" t="str">
        <v/>
      </c>
      <c r="AT95" s="72" t="str">
        <v/>
      </c>
      <c r="AU95" s="73"/>
      <c r="AV95" s="65" t="str">
        <v/>
      </c>
      <c r="AW95" s="62" t="str">
        <v/>
      </c>
      <c r="AX95" s="62" t="str">
        <v/>
      </c>
      <c r="AY95" s="66" t="str">
        <v/>
      </c>
      <c r="AZ95" s="61" t="str">
        <v/>
      </c>
      <c r="BA95" s="61" t="str">
        <v/>
      </c>
      <c r="BB95" s="61" t="str">
        <v/>
      </c>
      <c r="BC95" s="64" t="str">
        <v/>
      </c>
      <c r="BD95" s="61" t="str">
        <v/>
      </c>
      <c r="BE95" s="61" t="str">
        <v/>
      </c>
      <c r="BF95" s="61" t="str">
        <v/>
      </c>
      <c r="BG95" s="61" t="str">
        <v/>
      </c>
      <c r="BH95" s="61" t="str">
        <v/>
      </c>
      <c r="BI95" s="42"/>
      <c r="BJ95" s="67"/>
      <c r="BK95" s="60"/>
      <c r="BL95" s="60" t="str">
        <v/>
      </c>
      <c r="BM95" s="60" t="str">
        <v/>
      </c>
      <c r="BN95" s="60" t="str">
        <v/>
      </c>
      <c r="BO95" s="60" t="str">
        <v/>
      </c>
      <c r="BP95" s="60" t="str">
        <v/>
      </c>
      <c r="BQ95" s="60" t="str">
        <v/>
      </c>
      <c r="BR95" s="60" t="str">
        <v/>
      </c>
      <c r="BS95" s="60" t="str">
        <v/>
      </c>
      <c r="BT95" s="68" t="str">
        <v/>
      </c>
      <c r="BU95" s="42"/>
      <c r="BV95" s="62" t="str">
        <v/>
      </c>
      <c r="BW95" s="62" t="str">
        <v/>
      </c>
      <c r="BX95" s="62" t="str">
        <v/>
      </c>
      <c r="BY95" s="62" t="str">
        <v/>
      </c>
      <c r="BZ95" s="62" t="str">
        <v/>
      </c>
      <c r="CA95" s="62" t="str">
        <v/>
      </c>
      <c r="CB95" s="62" t="str">
        <v/>
      </c>
      <c r="CC95" s="62" t="str">
        <v/>
      </c>
      <c r="CD95" s="62" t="str">
        <v/>
      </c>
      <c r="CE95" s="122" t="str">
        <v/>
      </c>
      <c r="CF95" s="62" t="str">
        <v/>
      </c>
      <c r="CG95" s="62" t="str">
        <v/>
      </c>
      <c r="CH95" s="62" t="str">
        <v/>
      </c>
      <c r="CI95" s="62" t="str">
        <v/>
      </c>
      <c r="CJ95" s="62" t="str">
        <v/>
      </c>
      <c r="CK95" s="62" t="str">
        <v/>
      </c>
      <c r="CL95" s="62" t="str">
        <v/>
      </c>
      <c r="CM95" s="62" t="str">
        <v/>
      </c>
      <c r="CN95" s="130" t="str">
        <v/>
      </c>
    </row>
    <row r="96" spans="1:92">
      <c r="A96" s="39"/>
      <c r="B96" s="75"/>
      <c r="C96" s="41"/>
      <c r="D96" s="41"/>
      <c r="E96" s="41"/>
      <c r="F96" s="42"/>
      <c r="G96" s="61" t="str">
        <v/>
      </c>
      <c r="H96" s="61" t="str">
        <v/>
      </c>
      <c r="I96" s="42"/>
      <c r="J96" s="61" t="str">
        <v/>
      </c>
      <c r="K96" s="61" t="str">
        <v/>
      </c>
      <c r="L96" s="61" t="str">
        <v/>
      </c>
      <c r="M96" s="61" t="str">
        <v/>
      </c>
      <c r="N96" s="62" t="str">
        <v/>
      </c>
      <c r="O96" s="61" t="str">
        <v/>
      </c>
      <c r="P96" s="61" t="str">
        <v/>
      </c>
      <c r="Q96" s="61" t="str">
        <v/>
      </c>
      <c r="R96" s="61" t="str">
        <v/>
      </c>
      <c r="S96" s="61" t="str">
        <v/>
      </c>
      <c r="T96" s="45"/>
      <c r="U96" s="46"/>
      <c r="V96" s="46"/>
      <c r="W96" s="47"/>
      <c r="X96" s="46"/>
      <c r="Y96" s="46"/>
      <c r="Z96" s="46"/>
      <c r="AA96" s="46"/>
      <c r="AB96" s="47"/>
      <c r="AC96" s="62" t="str">
        <v/>
      </c>
      <c r="AD96" s="62" t="str">
        <v/>
      </c>
      <c r="AE96" s="62" t="str">
        <v/>
      </c>
      <c r="AF96" s="62" t="str">
        <v/>
      </c>
      <c r="AG96" s="63" t="str">
        <v/>
      </c>
      <c r="AH96" s="61" t="str">
        <v/>
      </c>
      <c r="AI96" s="61" t="str">
        <v/>
      </c>
      <c r="AJ96" s="64" t="str">
        <v/>
      </c>
      <c r="AK96" s="61" t="str">
        <v/>
      </c>
      <c r="AL96" s="61" t="str">
        <v/>
      </c>
      <c r="AM96" s="61" t="str">
        <v/>
      </c>
      <c r="AN96" s="61" t="str">
        <v/>
      </c>
      <c r="AO96" s="61" t="str">
        <v/>
      </c>
      <c r="AP96" s="42"/>
      <c r="AQ96" s="76"/>
      <c r="AR96" s="74"/>
      <c r="AS96" s="74" t="str">
        <v/>
      </c>
      <c r="AT96" s="72" t="str">
        <v/>
      </c>
      <c r="AU96" s="73"/>
      <c r="AV96" s="65" t="str">
        <v/>
      </c>
      <c r="AW96" s="62" t="str">
        <v/>
      </c>
      <c r="AX96" s="62" t="str">
        <v/>
      </c>
      <c r="AY96" s="66" t="str">
        <v/>
      </c>
      <c r="AZ96" s="61" t="str">
        <v/>
      </c>
      <c r="BA96" s="61" t="str">
        <v/>
      </c>
      <c r="BB96" s="61" t="str">
        <v/>
      </c>
      <c r="BC96" s="64" t="str">
        <v/>
      </c>
      <c r="BD96" s="61" t="str">
        <v/>
      </c>
      <c r="BE96" s="61" t="str">
        <v/>
      </c>
      <c r="BF96" s="61" t="str">
        <v/>
      </c>
      <c r="BG96" s="61" t="str">
        <v/>
      </c>
      <c r="BH96" s="61" t="str">
        <v/>
      </c>
      <c r="BI96" s="42"/>
      <c r="BJ96" s="67"/>
      <c r="BK96" s="60"/>
      <c r="BL96" s="60" t="str">
        <v/>
      </c>
      <c r="BM96" s="60" t="str">
        <v/>
      </c>
      <c r="BN96" s="60" t="str">
        <v/>
      </c>
      <c r="BO96" s="60" t="str">
        <v/>
      </c>
      <c r="BP96" s="60" t="str">
        <v/>
      </c>
      <c r="BQ96" s="60" t="str">
        <v/>
      </c>
      <c r="BR96" s="60" t="str">
        <v/>
      </c>
      <c r="BS96" s="60" t="str">
        <v/>
      </c>
      <c r="BT96" s="68" t="str">
        <v/>
      </c>
      <c r="BU96" s="42"/>
      <c r="BV96" s="62" t="str">
        <v/>
      </c>
      <c r="BW96" s="62" t="str">
        <v/>
      </c>
      <c r="BX96" s="62" t="str">
        <v/>
      </c>
      <c r="BY96" s="62" t="str">
        <v/>
      </c>
      <c r="BZ96" s="62" t="str">
        <v/>
      </c>
      <c r="CA96" s="62" t="str">
        <v/>
      </c>
      <c r="CB96" s="62" t="str">
        <v/>
      </c>
      <c r="CC96" s="62" t="str">
        <v/>
      </c>
      <c r="CD96" s="62" t="str">
        <v/>
      </c>
      <c r="CE96" s="122" t="str">
        <v/>
      </c>
      <c r="CF96" s="62" t="str">
        <v/>
      </c>
      <c r="CG96" s="62" t="str">
        <v/>
      </c>
      <c r="CH96" s="62" t="str">
        <v/>
      </c>
      <c r="CI96" s="62" t="str">
        <v/>
      </c>
      <c r="CJ96" s="62" t="str">
        <v/>
      </c>
      <c r="CK96" s="62" t="str">
        <v/>
      </c>
      <c r="CL96" s="62" t="str">
        <v/>
      </c>
      <c r="CM96" s="62" t="str">
        <v/>
      </c>
      <c r="CN96" s="130" t="str">
        <v/>
      </c>
    </row>
    <row r="97" spans="1:92">
      <c r="A97" s="39"/>
      <c r="B97" s="75"/>
      <c r="C97" s="41"/>
      <c r="D97" s="41"/>
      <c r="E97" s="41"/>
      <c r="F97" s="42"/>
      <c r="G97" s="61" t="str">
        <v/>
      </c>
      <c r="H97" s="61" t="str">
        <v/>
      </c>
      <c r="I97" s="42"/>
      <c r="J97" s="61" t="str">
        <v/>
      </c>
      <c r="K97" s="61" t="str">
        <v/>
      </c>
      <c r="L97" s="61" t="str">
        <v/>
      </c>
      <c r="M97" s="61" t="str">
        <v/>
      </c>
      <c r="N97" s="62" t="str">
        <v/>
      </c>
      <c r="O97" s="61" t="str">
        <v/>
      </c>
      <c r="P97" s="61" t="str">
        <v/>
      </c>
      <c r="Q97" s="61" t="str">
        <v/>
      </c>
      <c r="R97" s="61" t="str">
        <v/>
      </c>
      <c r="S97" s="61" t="str">
        <v/>
      </c>
      <c r="T97" s="45"/>
      <c r="U97" s="46"/>
      <c r="V97" s="46"/>
      <c r="W97" s="47"/>
      <c r="X97" s="46"/>
      <c r="Y97" s="46"/>
      <c r="Z97" s="46"/>
      <c r="AA97" s="46"/>
      <c r="AB97" s="47"/>
      <c r="AC97" s="62" t="str">
        <v/>
      </c>
      <c r="AD97" s="62" t="str">
        <v/>
      </c>
      <c r="AE97" s="62" t="str">
        <v/>
      </c>
      <c r="AF97" s="62" t="str">
        <v/>
      </c>
      <c r="AG97" s="63" t="str">
        <v/>
      </c>
      <c r="AH97" s="61" t="str">
        <v/>
      </c>
      <c r="AI97" s="61" t="str">
        <v/>
      </c>
      <c r="AJ97" s="64" t="str">
        <v/>
      </c>
      <c r="AK97" s="61" t="str">
        <v/>
      </c>
      <c r="AL97" s="61" t="str">
        <v/>
      </c>
      <c r="AM97" s="61" t="str">
        <v/>
      </c>
      <c r="AN97" s="61" t="str">
        <v/>
      </c>
      <c r="AO97" s="61" t="str">
        <v/>
      </c>
      <c r="AP97" s="42"/>
      <c r="AQ97" s="76"/>
      <c r="AR97" s="74"/>
      <c r="AS97" s="74" t="str">
        <v/>
      </c>
      <c r="AT97" s="72" t="str">
        <v/>
      </c>
      <c r="AU97" s="73"/>
      <c r="AV97" s="65" t="str">
        <v/>
      </c>
      <c r="AW97" s="62" t="str">
        <v/>
      </c>
      <c r="AX97" s="62" t="str">
        <v/>
      </c>
      <c r="AY97" s="66" t="str">
        <v/>
      </c>
      <c r="AZ97" s="61" t="str">
        <v/>
      </c>
      <c r="BA97" s="61" t="str">
        <v/>
      </c>
      <c r="BB97" s="61" t="str">
        <v/>
      </c>
      <c r="BC97" s="64" t="str">
        <v/>
      </c>
      <c r="BD97" s="61" t="str">
        <v/>
      </c>
      <c r="BE97" s="61" t="str">
        <v/>
      </c>
      <c r="BF97" s="61" t="str">
        <v/>
      </c>
      <c r="BG97" s="61" t="str">
        <v/>
      </c>
      <c r="BH97" s="61" t="str">
        <v/>
      </c>
      <c r="BI97" s="42"/>
      <c r="BJ97" s="67"/>
      <c r="BK97" s="60"/>
      <c r="BL97" s="60" t="str">
        <v/>
      </c>
      <c r="BM97" s="60" t="str">
        <v/>
      </c>
      <c r="BN97" s="60" t="str">
        <v/>
      </c>
      <c r="BO97" s="60" t="str">
        <v/>
      </c>
      <c r="BP97" s="60" t="str">
        <v/>
      </c>
      <c r="BQ97" s="60" t="str">
        <v/>
      </c>
      <c r="BR97" s="60" t="str">
        <v/>
      </c>
      <c r="BS97" s="60" t="str">
        <v/>
      </c>
      <c r="BT97" s="68" t="str">
        <v/>
      </c>
      <c r="BU97" s="42"/>
      <c r="BV97" s="62" t="str">
        <v/>
      </c>
      <c r="BW97" s="62" t="str">
        <v/>
      </c>
      <c r="BX97" s="62" t="str">
        <v/>
      </c>
      <c r="BY97" s="62" t="str">
        <v/>
      </c>
      <c r="BZ97" s="62" t="str">
        <v/>
      </c>
      <c r="CA97" s="62" t="str">
        <v/>
      </c>
      <c r="CB97" s="62" t="str">
        <v/>
      </c>
      <c r="CC97" s="62" t="str">
        <v/>
      </c>
      <c r="CD97" s="62" t="str">
        <v/>
      </c>
      <c r="CE97" s="122" t="str">
        <v/>
      </c>
      <c r="CF97" s="62" t="str">
        <v/>
      </c>
      <c r="CG97" s="62" t="str">
        <v/>
      </c>
      <c r="CH97" s="62" t="str">
        <v/>
      </c>
      <c r="CI97" s="62" t="str">
        <v/>
      </c>
      <c r="CJ97" s="62" t="str">
        <v/>
      </c>
      <c r="CK97" s="62" t="str">
        <v/>
      </c>
      <c r="CL97" s="62" t="str">
        <v/>
      </c>
      <c r="CM97" s="62" t="str">
        <v/>
      </c>
      <c r="CN97" s="130" t="str">
        <v/>
      </c>
    </row>
    <row r="98" spans="1:92">
      <c r="A98" s="39"/>
      <c r="B98" s="75"/>
      <c r="C98" s="41"/>
      <c r="D98" s="41"/>
      <c r="E98" s="41"/>
      <c r="F98" s="42"/>
      <c r="G98" s="61" t="str">
        <v/>
      </c>
      <c r="H98" s="61" t="str">
        <v/>
      </c>
      <c r="I98" s="42"/>
      <c r="J98" s="61" t="str">
        <v/>
      </c>
      <c r="K98" s="61" t="str">
        <v/>
      </c>
      <c r="L98" s="61" t="str">
        <v/>
      </c>
      <c r="M98" s="61" t="str">
        <v/>
      </c>
      <c r="N98" s="62" t="str">
        <v/>
      </c>
      <c r="O98" s="61" t="str">
        <v/>
      </c>
      <c r="P98" s="61" t="str">
        <v/>
      </c>
      <c r="Q98" s="61" t="str">
        <v/>
      </c>
      <c r="R98" s="61" t="str">
        <v/>
      </c>
      <c r="S98" s="61" t="str">
        <v/>
      </c>
      <c r="T98" s="45"/>
      <c r="U98" s="46"/>
      <c r="V98" s="46"/>
      <c r="W98" s="47"/>
      <c r="X98" s="46"/>
      <c r="Y98" s="46"/>
      <c r="Z98" s="46"/>
      <c r="AA98" s="46"/>
      <c r="AB98" s="47"/>
      <c r="AC98" s="62" t="str">
        <v/>
      </c>
      <c r="AD98" s="62" t="str">
        <v/>
      </c>
      <c r="AE98" s="62" t="str">
        <v/>
      </c>
      <c r="AF98" s="62" t="str">
        <v/>
      </c>
      <c r="AG98" s="63" t="str">
        <v/>
      </c>
      <c r="AH98" s="61" t="str">
        <v/>
      </c>
      <c r="AI98" s="61" t="str">
        <v/>
      </c>
      <c r="AJ98" s="64" t="str">
        <v/>
      </c>
      <c r="AK98" s="61" t="str">
        <v/>
      </c>
      <c r="AL98" s="61" t="str">
        <v/>
      </c>
      <c r="AM98" s="61" t="str">
        <v/>
      </c>
      <c r="AN98" s="61" t="str">
        <v/>
      </c>
      <c r="AO98" s="61" t="str">
        <v/>
      </c>
      <c r="AP98" s="42"/>
      <c r="AQ98" s="76"/>
      <c r="AR98" s="74"/>
      <c r="AS98" s="74" t="str">
        <v/>
      </c>
      <c r="AT98" s="72" t="str">
        <v/>
      </c>
      <c r="AU98" s="73"/>
      <c r="AV98" s="65" t="str">
        <v/>
      </c>
      <c r="AW98" s="62" t="str">
        <v/>
      </c>
      <c r="AX98" s="62" t="str">
        <v/>
      </c>
      <c r="AY98" s="66" t="str">
        <v/>
      </c>
      <c r="AZ98" s="61" t="str">
        <v/>
      </c>
      <c r="BA98" s="61" t="str">
        <v/>
      </c>
      <c r="BB98" s="61" t="str">
        <v/>
      </c>
      <c r="BC98" s="64" t="str">
        <v/>
      </c>
      <c r="BD98" s="61" t="str">
        <v/>
      </c>
      <c r="BE98" s="61" t="str">
        <v/>
      </c>
      <c r="BF98" s="61" t="str">
        <v/>
      </c>
      <c r="BG98" s="61" t="str">
        <v/>
      </c>
      <c r="BH98" s="61" t="str">
        <v/>
      </c>
      <c r="BI98" s="42"/>
      <c r="BJ98" s="67"/>
      <c r="BK98" s="60"/>
      <c r="BL98" s="60" t="str">
        <v/>
      </c>
      <c r="BM98" s="60" t="str">
        <v/>
      </c>
      <c r="BN98" s="60" t="str">
        <v/>
      </c>
      <c r="BO98" s="60" t="str">
        <v/>
      </c>
      <c r="BP98" s="60" t="str">
        <v/>
      </c>
      <c r="BQ98" s="60" t="str">
        <v/>
      </c>
      <c r="BR98" s="60" t="str">
        <v/>
      </c>
      <c r="BS98" s="60" t="str">
        <v/>
      </c>
      <c r="BT98" s="68" t="str">
        <v/>
      </c>
      <c r="BU98" s="42"/>
      <c r="BV98" s="62" t="str">
        <v/>
      </c>
      <c r="BW98" s="62" t="str">
        <v/>
      </c>
      <c r="BX98" s="62" t="str">
        <v/>
      </c>
      <c r="BY98" s="62" t="str">
        <v/>
      </c>
      <c r="BZ98" s="62" t="str">
        <v/>
      </c>
      <c r="CA98" s="62" t="str">
        <v/>
      </c>
      <c r="CB98" s="62" t="str">
        <v/>
      </c>
      <c r="CC98" s="62" t="str">
        <v/>
      </c>
      <c r="CD98" s="62" t="str">
        <v/>
      </c>
      <c r="CE98" s="122" t="str">
        <v/>
      </c>
      <c r="CF98" s="62" t="str">
        <v/>
      </c>
      <c r="CG98" s="62" t="str">
        <v/>
      </c>
      <c r="CH98" s="62" t="str">
        <v/>
      </c>
      <c r="CI98" s="62" t="str">
        <v/>
      </c>
      <c r="CJ98" s="62" t="str">
        <v/>
      </c>
      <c r="CK98" s="62" t="str">
        <v/>
      </c>
      <c r="CL98" s="62" t="str">
        <v/>
      </c>
      <c r="CM98" s="62" t="str">
        <v/>
      </c>
      <c r="CN98" s="130" t="str">
        <v/>
      </c>
    </row>
    <row r="99" spans="1:92">
      <c r="A99" s="39"/>
      <c r="B99" s="75"/>
      <c r="C99" s="41"/>
      <c r="D99" s="41"/>
      <c r="E99" s="41"/>
      <c r="F99" s="42"/>
      <c r="G99" s="61" t="str">
        <v/>
      </c>
      <c r="H99" s="61" t="str">
        <v/>
      </c>
      <c r="I99" s="42"/>
      <c r="J99" s="61" t="str">
        <v/>
      </c>
      <c r="K99" s="61" t="str">
        <v/>
      </c>
      <c r="L99" s="61" t="str">
        <v/>
      </c>
      <c r="M99" s="61" t="str">
        <v/>
      </c>
      <c r="N99" s="62" t="str">
        <v/>
      </c>
      <c r="O99" s="61" t="str">
        <v/>
      </c>
      <c r="P99" s="61" t="str">
        <v/>
      </c>
      <c r="Q99" s="61" t="str">
        <v/>
      </c>
      <c r="R99" s="61" t="str">
        <v/>
      </c>
      <c r="S99" s="61" t="str">
        <v/>
      </c>
      <c r="T99" s="45"/>
      <c r="U99" s="46"/>
      <c r="V99" s="46"/>
      <c r="W99" s="47"/>
      <c r="X99" s="46"/>
      <c r="Y99" s="46"/>
      <c r="Z99" s="46"/>
      <c r="AA99" s="46"/>
      <c r="AB99" s="47"/>
      <c r="AC99" s="62" t="str">
        <v/>
      </c>
      <c r="AD99" s="62" t="str">
        <v/>
      </c>
      <c r="AE99" s="62" t="str">
        <v/>
      </c>
      <c r="AF99" s="62" t="str">
        <v/>
      </c>
      <c r="AG99" s="63" t="str">
        <v/>
      </c>
      <c r="AH99" s="61" t="str">
        <v/>
      </c>
      <c r="AI99" s="61" t="str">
        <v/>
      </c>
      <c r="AJ99" s="64" t="str">
        <v/>
      </c>
      <c r="AK99" s="61" t="str">
        <v/>
      </c>
      <c r="AL99" s="61" t="str">
        <v/>
      </c>
      <c r="AM99" s="61" t="str">
        <v/>
      </c>
      <c r="AN99" s="61" t="str">
        <v/>
      </c>
      <c r="AO99" s="61" t="str">
        <v/>
      </c>
      <c r="AP99" s="42"/>
      <c r="AQ99" s="76"/>
      <c r="AR99" s="74"/>
      <c r="AS99" s="74" t="str">
        <v/>
      </c>
      <c r="AT99" s="72" t="str">
        <v/>
      </c>
      <c r="AU99" s="73"/>
      <c r="AV99" s="65" t="str">
        <v/>
      </c>
      <c r="AW99" s="62" t="str">
        <v/>
      </c>
      <c r="AX99" s="62" t="str">
        <v/>
      </c>
      <c r="AY99" s="66" t="str">
        <v/>
      </c>
      <c r="AZ99" s="61" t="str">
        <v/>
      </c>
      <c r="BA99" s="61" t="str">
        <v/>
      </c>
      <c r="BB99" s="61" t="str">
        <v/>
      </c>
      <c r="BC99" s="64" t="str">
        <v/>
      </c>
      <c r="BD99" s="61" t="str">
        <v/>
      </c>
      <c r="BE99" s="61" t="str">
        <v/>
      </c>
      <c r="BF99" s="61" t="str">
        <v/>
      </c>
      <c r="BG99" s="61" t="str">
        <v/>
      </c>
      <c r="BH99" s="61" t="str">
        <v/>
      </c>
      <c r="BI99" s="42"/>
      <c r="BJ99" s="67"/>
      <c r="BK99" s="60"/>
      <c r="BL99" s="60" t="str">
        <v/>
      </c>
      <c r="BM99" s="60" t="str">
        <v/>
      </c>
      <c r="BN99" s="60" t="str">
        <v/>
      </c>
      <c r="BO99" s="60" t="str">
        <v/>
      </c>
      <c r="BP99" s="60" t="str">
        <v/>
      </c>
      <c r="BQ99" s="60" t="str">
        <v/>
      </c>
      <c r="BR99" s="60" t="str">
        <v/>
      </c>
      <c r="BS99" s="60" t="str">
        <v/>
      </c>
      <c r="BT99" s="68" t="str">
        <v/>
      </c>
      <c r="BU99" s="42"/>
      <c r="BV99" s="62" t="str">
        <v/>
      </c>
      <c r="BW99" s="62" t="str">
        <v/>
      </c>
      <c r="BX99" s="62" t="str">
        <v/>
      </c>
      <c r="BY99" s="62" t="str">
        <v/>
      </c>
      <c r="BZ99" s="62" t="str">
        <v/>
      </c>
      <c r="CA99" s="62" t="str">
        <v/>
      </c>
      <c r="CB99" s="62" t="str">
        <v/>
      </c>
      <c r="CC99" s="62" t="str">
        <v/>
      </c>
      <c r="CD99" s="62" t="str">
        <v/>
      </c>
      <c r="CE99" s="122" t="str">
        <v/>
      </c>
      <c r="CF99" s="62" t="str">
        <v/>
      </c>
      <c r="CG99" s="62" t="str">
        <v/>
      </c>
      <c r="CH99" s="62" t="str">
        <v/>
      </c>
      <c r="CI99" s="62" t="str">
        <v/>
      </c>
      <c r="CJ99" s="62" t="str">
        <v/>
      </c>
      <c r="CK99" s="62" t="str">
        <v/>
      </c>
      <c r="CL99" s="62" t="str">
        <v/>
      </c>
      <c r="CM99" s="62" t="str">
        <v/>
      </c>
      <c r="CN99" s="130" t="str">
        <v/>
      </c>
    </row>
    <row r="100" spans="1:92">
      <c r="A100" s="39"/>
      <c r="B100" s="75"/>
      <c r="C100" s="41"/>
      <c r="D100" s="41"/>
      <c r="E100" s="41"/>
      <c r="F100" s="42"/>
      <c r="G100" s="61" t="str">
        <v/>
      </c>
      <c r="H100" s="61" t="str">
        <v/>
      </c>
      <c r="I100" s="42"/>
      <c r="J100" s="61" t="str">
        <v/>
      </c>
      <c r="K100" s="61" t="str">
        <v/>
      </c>
      <c r="L100" s="61" t="str">
        <v/>
      </c>
      <c r="M100" s="61" t="str">
        <v/>
      </c>
      <c r="N100" s="62" t="str">
        <v/>
      </c>
      <c r="O100" s="61" t="str">
        <v/>
      </c>
      <c r="P100" s="61" t="str">
        <v/>
      </c>
      <c r="Q100" s="61" t="str">
        <v/>
      </c>
      <c r="R100" s="61" t="str">
        <v/>
      </c>
      <c r="S100" s="61" t="str">
        <v/>
      </c>
      <c r="T100" s="45"/>
      <c r="U100" s="46"/>
      <c r="V100" s="46"/>
      <c r="W100" s="47"/>
      <c r="X100" s="46"/>
      <c r="Y100" s="46"/>
      <c r="Z100" s="46"/>
      <c r="AA100" s="46"/>
      <c r="AB100" s="47"/>
      <c r="AC100" s="62" t="str">
        <v/>
      </c>
      <c r="AD100" s="62" t="str">
        <v/>
      </c>
      <c r="AE100" s="62" t="str">
        <v/>
      </c>
      <c r="AF100" s="62" t="str">
        <v/>
      </c>
      <c r="AG100" s="63" t="str">
        <v/>
      </c>
      <c r="AH100" s="61" t="str">
        <v/>
      </c>
      <c r="AI100" s="61" t="str">
        <v/>
      </c>
      <c r="AJ100" s="64" t="str">
        <v/>
      </c>
      <c r="AK100" s="61" t="str">
        <v/>
      </c>
      <c r="AL100" s="61" t="str">
        <v/>
      </c>
      <c r="AM100" s="61" t="str">
        <v/>
      </c>
      <c r="AN100" s="61" t="str">
        <v/>
      </c>
      <c r="AO100" s="61" t="str">
        <v/>
      </c>
      <c r="AP100" s="42"/>
      <c r="AQ100" s="76"/>
      <c r="AR100" s="74"/>
      <c r="AS100" s="74" t="str">
        <v/>
      </c>
      <c r="AT100" s="72" t="str">
        <v/>
      </c>
      <c r="AU100" s="73"/>
      <c r="AV100" s="65" t="str">
        <v/>
      </c>
      <c r="AW100" s="62" t="str">
        <v/>
      </c>
      <c r="AX100" s="62" t="str">
        <v/>
      </c>
      <c r="AY100" s="66" t="str">
        <v/>
      </c>
      <c r="AZ100" s="61" t="str">
        <v/>
      </c>
      <c r="BA100" s="61" t="str">
        <v/>
      </c>
      <c r="BB100" s="61" t="str">
        <v/>
      </c>
      <c r="BC100" s="64" t="str">
        <v/>
      </c>
      <c r="BD100" s="61" t="str">
        <v/>
      </c>
      <c r="BE100" s="61" t="str">
        <v/>
      </c>
      <c r="BF100" s="61" t="str">
        <v/>
      </c>
      <c r="BG100" s="61" t="str">
        <v/>
      </c>
      <c r="BH100" s="61" t="str">
        <v/>
      </c>
      <c r="BI100" s="42"/>
      <c r="BJ100" s="67"/>
      <c r="BK100" s="60"/>
      <c r="BL100" s="60" t="str">
        <v/>
      </c>
      <c r="BM100" s="60" t="str">
        <v/>
      </c>
      <c r="BN100" s="60" t="str">
        <v/>
      </c>
      <c r="BO100" s="60" t="str">
        <v/>
      </c>
      <c r="BP100" s="60" t="str">
        <v/>
      </c>
      <c r="BQ100" s="60" t="str">
        <v/>
      </c>
      <c r="BR100" s="60" t="str">
        <v/>
      </c>
      <c r="BS100" s="60" t="str">
        <v/>
      </c>
      <c r="BT100" s="68" t="str">
        <v/>
      </c>
      <c r="BU100" s="42"/>
      <c r="BV100" s="62" t="str">
        <v/>
      </c>
      <c r="BW100" s="62" t="str">
        <v/>
      </c>
      <c r="BX100" s="62" t="str">
        <v/>
      </c>
      <c r="BY100" s="62" t="str">
        <v/>
      </c>
      <c r="BZ100" s="62" t="str">
        <v/>
      </c>
      <c r="CA100" s="62" t="str">
        <v/>
      </c>
      <c r="CB100" s="62" t="str">
        <v/>
      </c>
      <c r="CC100" s="62" t="str">
        <v/>
      </c>
      <c r="CD100" s="62" t="str">
        <v/>
      </c>
      <c r="CE100" s="122" t="str">
        <v/>
      </c>
      <c r="CF100" s="62" t="str">
        <v/>
      </c>
      <c r="CG100" s="62" t="str">
        <v/>
      </c>
      <c r="CH100" s="62" t="str">
        <v/>
      </c>
      <c r="CI100" s="62" t="str">
        <v/>
      </c>
      <c r="CJ100" s="62" t="str">
        <v/>
      </c>
      <c r="CK100" s="62" t="str">
        <v/>
      </c>
      <c r="CL100" s="62" t="str">
        <v/>
      </c>
      <c r="CM100" s="62" t="str">
        <v/>
      </c>
      <c r="CN100" s="130" t="str">
        <v/>
      </c>
    </row>
  </sheetData>
  <dataValidations count="2">
    <dataValidation type="list" allowBlank="1" showErrorMessage="1" sqref="B3:B100" xr:uid="{00000000-0002-0000-0000-000001000000}">
      <formula1>"hombre,mujer"</formula1>
    </dataValidation>
    <dataValidation type="list" allowBlank="1" showErrorMessage="1" sqref="T3:AB100" xr:uid="{00000000-0002-0000-0000-000002000000}">
      <formula1>"0,2,0,15,0,10,0,05,0,-0,05,-0,10,-0,15,-0,20"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Alimentacion_calc!$A$3:$A$100</xm:f>
          </x14:formula1>
          <xm:sqref>BJ3:BJ100</xm:sqref>
        </x14:dataValidation>
        <x14:dataValidation type="list" allowBlank="1" showErrorMessage="1" xr:uid="{00000000-0002-0000-0000-000003000000}">
          <x14:formula1>
            <xm:f>Alimentacion_calc!$B$3:$B$100</xm:f>
          </x14:formula1>
          <xm:sqref>BK3:BK100</xm:sqref>
        </x14:dataValidation>
        <x14:dataValidation type="list" allowBlank="1" showErrorMessage="1" xr:uid="{00000000-0002-0000-0000-000004000000}">
          <x14:formula1>
            <xm:f>Actividad_calc!$B$3:$B$30</xm:f>
          </x14:formula1>
          <xm:sqref>AR3:AR100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7E6B"/>
    <outlinePr summaryBelow="0" summaryRight="0"/>
  </sheetPr>
  <dimension ref="A1:L100"/>
  <sheetViews>
    <sheetView workbookViewId="0">
      <pane ySplit="1" topLeftCell="A2" activePane="bottomLeft" state="frozen"/>
      <selection pane="bottomLeft" activeCell="F6" sqref="F6"/>
    </sheetView>
  </sheetViews>
  <sheetFormatPr defaultColWidth="14.42578125" defaultRowHeight="15" customHeight="1"/>
  <cols>
    <col min="1" max="1" width="14.42578125" style="110"/>
    <col min="2" max="5" width="14.42578125" customWidth="1"/>
  </cols>
  <sheetData>
    <row r="1" spans="1:12">
      <c r="A1" s="162" t="s">
        <v>193</v>
      </c>
      <c r="B1" s="79" t="s">
        <v>88</v>
      </c>
      <c r="C1" s="79" t="s">
        <v>681</v>
      </c>
      <c r="D1" s="79" t="s">
        <v>677</v>
      </c>
      <c r="E1" s="79" t="s">
        <v>678</v>
      </c>
      <c r="F1" s="77" t="s">
        <v>676</v>
      </c>
      <c r="G1" s="77" t="s">
        <v>679</v>
      </c>
      <c r="H1" s="79" t="s">
        <v>90</v>
      </c>
      <c r="I1" s="77" t="s">
        <v>916</v>
      </c>
      <c r="J1" t="s">
        <v>675</v>
      </c>
      <c r="K1" t="s">
        <v>680</v>
      </c>
      <c r="L1" t="s">
        <v>674</v>
      </c>
    </row>
    <row r="2" spans="1:12">
      <c r="A2" s="162" t="s">
        <v>682</v>
      </c>
      <c r="B2" s="79" t="s">
        <v>91</v>
      </c>
      <c r="C2" s="79" t="s">
        <v>688</v>
      </c>
      <c r="D2" s="79" t="s">
        <v>685</v>
      </c>
      <c r="E2" s="79" t="s">
        <v>686</v>
      </c>
      <c r="F2" s="78" t="s">
        <v>684</v>
      </c>
      <c r="G2" s="78">
        <v>0.32</v>
      </c>
      <c r="H2" s="79">
        <v>6</v>
      </c>
      <c r="I2" s="160">
        <v>90</v>
      </c>
      <c r="J2" t="s">
        <v>683</v>
      </c>
      <c r="K2" t="s">
        <v>687</v>
      </c>
    </row>
    <row r="3" spans="1:12">
      <c r="A3" s="162" t="s">
        <v>689</v>
      </c>
      <c r="B3" s="79" t="s">
        <v>92</v>
      </c>
      <c r="C3" s="79" t="s">
        <v>688</v>
      </c>
      <c r="D3" s="79" t="s">
        <v>685</v>
      </c>
      <c r="E3" s="79" t="s">
        <v>686</v>
      </c>
      <c r="F3" s="78" t="s">
        <v>691</v>
      </c>
      <c r="G3" s="78">
        <v>0.42</v>
      </c>
      <c r="H3" s="79">
        <v>5.5</v>
      </c>
      <c r="I3" s="160">
        <v>120</v>
      </c>
      <c r="J3" t="s">
        <v>690</v>
      </c>
      <c r="K3" t="s">
        <v>692</v>
      </c>
    </row>
    <row r="4" spans="1:12">
      <c r="A4" s="162" t="s">
        <v>693</v>
      </c>
      <c r="B4" s="79" t="s">
        <v>93</v>
      </c>
      <c r="C4" s="79" t="s">
        <v>688</v>
      </c>
      <c r="D4" s="79" t="s">
        <v>685</v>
      </c>
      <c r="E4" s="79" t="s">
        <v>696</v>
      </c>
      <c r="F4" s="78" t="s">
        <v>695</v>
      </c>
      <c r="G4" s="78">
        <v>0.4</v>
      </c>
      <c r="H4" s="79">
        <v>5.5</v>
      </c>
      <c r="I4" s="160">
        <v>120</v>
      </c>
      <c r="J4" t="s">
        <v>694</v>
      </c>
      <c r="K4" t="s">
        <v>697</v>
      </c>
    </row>
    <row r="5" spans="1:12">
      <c r="A5" s="162" t="s">
        <v>698</v>
      </c>
      <c r="B5" s="79" t="s">
        <v>94</v>
      </c>
      <c r="C5" s="79" t="s">
        <v>688</v>
      </c>
      <c r="D5" s="79" t="s">
        <v>685</v>
      </c>
      <c r="E5" s="79" t="s">
        <v>701</v>
      </c>
      <c r="F5" s="78" t="s">
        <v>700</v>
      </c>
      <c r="G5" s="78">
        <v>0.22</v>
      </c>
      <c r="H5" s="79">
        <v>4</v>
      </c>
      <c r="I5" s="160">
        <v>60</v>
      </c>
      <c r="J5" t="s">
        <v>699</v>
      </c>
      <c r="K5" t="s">
        <v>702</v>
      </c>
    </row>
    <row r="6" spans="1:12">
      <c r="A6" s="162" t="s">
        <v>703</v>
      </c>
      <c r="B6" s="79" t="s">
        <v>95</v>
      </c>
      <c r="C6" s="79" t="s">
        <v>688</v>
      </c>
      <c r="D6" s="79" t="s">
        <v>685</v>
      </c>
      <c r="E6" s="79" t="s">
        <v>686</v>
      </c>
      <c r="F6" s="78" t="s">
        <v>705</v>
      </c>
      <c r="G6" s="78">
        <v>0.38</v>
      </c>
      <c r="H6" s="79">
        <v>6.5</v>
      </c>
      <c r="I6" s="160">
        <v>90</v>
      </c>
      <c r="J6" t="s">
        <v>704</v>
      </c>
      <c r="K6" t="s">
        <v>706</v>
      </c>
    </row>
    <row r="7" spans="1:12">
      <c r="A7" s="162" t="s">
        <v>707</v>
      </c>
      <c r="B7" s="79" t="s">
        <v>96</v>
      </c>
      <c r="C7" s="79" t="s">
        <v>688</v>
      </c>
      <c r="D7" s="79" t="s">
        <v>685</v>
      </c>
      <c r="E7" s="79" t="s">
        <v>710</v>
      </c>
      <c r="F7" s="78" t="s">
        <v>709</v>
      </c>
      <c r="G7" s="78">
        <v>0.4</v>
      </c>
      <c r="H7" s="79">
        <v>7</v>
      </c>
      <c r="I7" s="160">
        <v>120</v>
      </c>
      <c r="J7" t="s">
        <v>708</v>
      </c>
      <c r="K7" t="s">
        <v>711</v>
      </c>
    </row>
    <row r="8" spans="1:12">
      <c r="A8" s="162" t="s">
        <v>712</v>
      </c>
      <c r="B8" s="79" t="s">
        <v>97</v>
      </c>
      <c r="C8" s="79" t="s">
        <v>688</v>
      </c>
      <c r="D8" s="79" t="s">
        <v>685</v>
      </c>
      <c r="E8" s="79" t="s">
        <v>715</v>
      </c>
      <c r="F8" s="78" t="s">
        <v>714</v>
      </c>
      <c r="G8" s="78">
        <v>0.34</v>
      </c>
      <c r="H8" s="79">
        <v>5</v>
      </c>
      <c r="I8" s="160">
        <v>90</v>
      </c>
      <c r="J8" t="s">
        <v>713</v>
      </c>
      <c r="K8" t="s">
        <v>716</v>
      </c>
    </row>
    <row r="9" spans="1:12">
      <c r="A9" s="162" t="s">
        <v>717</v>
      </c>
      <c r="B9" s="79" t="s">
        <v>98</v>
      </c>
      <c r="C9" s="79" t="s">
        <v>688</v>
      </c>
      <c r="D9" s="79" t="s">
        <v>685</v>
      </c>
      <c r="E9" s="79" t="s">
        <v>710</v>
      </c>
      <c r="F9" s="78" t="s">
        <v>719</v>
      </c>
      <c r="G9" s="78">
        <v>0.42</v>
      </c>
      <c r="H9" s="79">
        <v>6</v>
      </c>
      <c r="I9" s="160">
        <v>90</v>
      </c>
      <c r="J9" t="s">
        <v>718</v>
      </c>
      <c r="K9" t="s">
        <v>720</v>
      </c>
    </row>
    <row r="10" spans="1:12">
      <c r="A10" s="162" t="s">
        <v>721</v>
      </c>
      <c r="B10" s="79" t="s">
        <v>99</v>
      </c>
      <c r="C10" s="79" t="s">
        <v>688</v>
      </c>
      <c r="D10" s="79" t="s">
        <v>685</v>
      </c>
      <c r="E10" s="79" t="s">
        <v>715</v>
      </c>
      <c r="F10" s="78" t="s">
        <v>723</v>
      </c>
      <c r="G10" s="78">
        <v>0.35</v>
      </c>
      <c r="H10" s="79">
        <v>5.5</v>
      </c>
      <c r="I10" s="160">
        <v>90</v>
      </c>
      <c r="J10" t="s">
        <v>722</v>
      </c>
      <c r="K10" t="s">
        <v>724</v>
      </c>
    </row>
    <row r="11" spans="1:12">
      <c r="A11" s="162" t="s">
        <v>725</v>
      </c>
      <c r="B11" s="79" t="s">
        <v>100</v>
      </c>
      <c r="C11" s="79" t="s">
        <v>688</v>
      </c>
      <c r="D11" s="79" t="s">
        <v>685</v>
      </c>
      <c r="E11" s="79" t="s">
        <v>728</v>
      </c>
      <c r="F11" s="78" t="s">
        <v>727</v>
      </c>
      <c r="G11" s="78">
        <v>0.2</v>
      </c>
      <c r="H11" s="79">
        <v>4</v>
      </c>
      <c r="I11" s="160">
        <v>60</v>
      </c>
      <c r="J11" t="s">
        <v>726</v>
      </c>
      <c r="K11" t="s">
        <v>729</v>
      </c>
    </row>
    <row r="12" spans="1:12">
      <c r="A12" s="162" t="s">
        <v>730</v>
      </c>
      <c r="B12" s="79" t="s">
        <v>101</v>
      </c>
      <c r="C12" s="79" t="s">
        <v>688</v>
      </c>
      <c r="D12" s="79" t="s">
        <v>685</v>
      </c>
      <c r="E12" s="79" t="s">
        <v>733</v>
      </c>
      <c r="F12" s="78" t="s">
        <v>732</v>
      </c>
      <c r="G12" s="78">
        <v>0.4</v>
      </c>
      <c r="H12" s="79">
        <v>6</v>
      </c>
      <c r="I12" s="160">
        <v>90</v>
      </c>
      <c r="J12" t="s">
        <v>731</v>
      </c>
      <c r="K12" t="s">
        <v>734</v>
      </c>
    </row>
    <row r="13" spans="1:12">
      <c r="A13" s="162" t="s">
        <v>735</v>
      </c>
      <c r="B13" s="79" t="s">
        <v>102</v>
      </c>
      <c r="C13" s="79" t="s">
        <v>688</v>
      </c>
      <c r="D13" s="79" t="s">
        <v>685</v>
      </c>
      <c r="E13" s="79" t="s">
        <v>738</v>
      </c>
      <c r="F13" s="78" t="s">
        <v>737</v>
      </c>
      <c r="G13" s="78">
        <v>0.2</v>
      </c>
      <c r="H13" s="79">
        <v>4</v>
      </c>
      <c r="I13" s="160">
        <v>60</v>
      </c>
      <c r="J13" t="s">
        <v>736</v>
      </c>
      <c r="K13" t="s">
        <v>739</v>
      </c>
    </row>
    <row r="14" spans="1:12">
      <c r="A14" s="162" t="s">
        <v>740</v>
      </c>
      <c r="B14" s="79" t="s">
        <v>103</v>
      </c>
      <c r="C14" s="79" t="s">
        <v>688</v>
      </c>
      <c r="D14" s="79" t="s">
        <v>685</v>
      </c>
      <c r="E14" s="79" t="s">
        <v>743</v>
      </c>
      <c r="F14" s="78" t="s">
        <v>742</v>
      </c>
      <c r="G14" s="78">
        <v>0.22</v>
      </c>
      <c r="H14" s="79">
        <v>3.5</v>
      </c>
      <c r="I14" s="160">
        <v>60</v>
      </c>
      <c r="J14" t="s">
        <v>741</v>
      </c>
      <c r="K14" t="s">
        <v>744</v>
      </c>
    </row>
    <row r="15" spans="1:12">
      <c r="A15" s="162" t="s">
        <v>745</v>
      </c>
      <c r="B15" s="79" t="s">
        <v>104</v>
      </c>
      <c r="C15" s="79" t="s">
        <v>688</v>
      </c>
      <c r="D15" s="79" t="s">
        <v>685</v>
      </c>
      <c r="E15" s="79" t="s">
        <v>747</v>
      </c>
      <c r="F15" s="78" t="s">
        <v>737</v>
      </c>
      <c r="G15" s="78">
        <v>0.22</v>
      </c>
      <c r="H15" s="79">
        <v>3.5</v>
      </c>
      <c r="I15" s="160">
        <v>60</v>
      </c>
      <c r="J15" t="s">
        <v>746</v>
      </c>
      <c r="K15" t="s">
        <v>748</v>
      </c>
    </row>
    <row r="16" spans="1:12">
      <c r="A16" s="162" t="s">
        <v>749</v>
      </c>
      <c r="B16" s="79" t="s">
        <v>105</v>
      </c>
      <c r="C16" s="79" t="s">
        <v>688</v>
      </c>
      <c r="D16" s="79" t="s">
        <v>685</v>
      </c>
      <c r="E16" s="79" t="s">
        <v>752</v>
      </c>
      <c r="F16" s="78" t="s">
        <v>751</v>
      </c>
      <c r="G16" s="78">
        <v>0.22</v>
      </c>
      <c r="H16" s="79">
        <v>3.5</v>
      </c>
      <c r="I16" s="160">
        <v>60</v>
      </c>
      <c r="J16" t="s">
        <v>750</v>
      </c>
      <c r="K16" t="s">
        <v>753</v>
      </c>
    </row>
    <row r="17" spans="1:11">
      <c r="A17" s="162" t="s">
        <v>754</v>
      </c>
      <c r="B17" s="79" t="s">
        <v>106</v>
      </c>
      <c r="C17" s="79" t="s">
        <v>688</v>
      </c>
      <c r="D17" s="79" t="s">
        <v>756</v>
      </c>
      <c r="E17" s="79" t="s">
        <v>757</v>
      </c>
      <c r="F17" s="78" t="s">
        <v>732</v>
      </c>
      <c r="G17" s="78">
        <v>0.45</v>
      </c>
      <c r="H17" s="79">
        <v>6.5</v>
      </c>
      <c r="I17" s="160">
        <v>120</v>
      </c>
      <c r="J17" t="s">
        <v>755</v>
      </c>
      <c r="K17" t="s">
        <v>758</v>
      </c>
    </row>
    <row r="18" spans="1:11">
      <c r="A18" s="162" t="s">
        <v>759</v>
      </c>
      <c r="B18" s="79" t="s">
        <v>107</v>
      </c>
      <c r="C18" s="79" t="s">
        <v>688</v>
      </c>
      <c r="D18" s="79" t="s">
        <v>756</v>
      </c>
      <c r="E18" s="79" t="s">
        <v>757</v>
      </c>
      <c r="F18" s="78" t="s">
        <v>761</v>
      </c>
      <c r="G18" s="78">
        <v>0.4</v>
      </c>
      <c r="H18" s="79">
        <v>6</v>
      </c>
      <c r="I18" s="160">
        <v>90</v>
      </c>
      <c r="J18" t="s">
        <v>760</v>
      </c>
      <c r="K18" t="s">
        <v>762</v>
      </c>
    </row>
    <row r="19" spans="1:11">
      <c r="A19" s="162" t="s">
        <v>763</v>
      </c>
      <c r="B19" s="79" t="s">
        <v>108</v>
      </c>
      <c r="C19" s="79" t="s">
        <v>688</v>
      </c>
      <c r="D19" s="79" t="s">
        <v>756</v>
      </c>
      <c r="E19" s="79" t="s">
        <v>765</v>
      </c>
      <c r="F19" s="78" t="s">
        <v>719</v>
      </c>
      <c r="G19" s="78">
        <v>0.48</v>
      </c>
      <c r="H19" s="79">
        <v>7</v>
      </c>
      <c r="I19" s="160">
        <v>150</v>
      </c>
      <c r="J19" t="s">
        <v>764</v>
      </c>
      <c r="K19" t="s">
        <v>766</v>
      </c>
    </row>
    <row r="20" spans="1:11">
      <c r="A20" s="162" t="s">
        <v>767</v>
      </c>
      <c r="B20" s="79" t="s">
        <v>109</v>
      </c>
      <c r="C20" s="79" t="s">
        <v>688</v>
      </c>
      <c r="D20" s="79" t="s">
        <v>756</v>
      </c>
      <c r="E20" s="79" t="s">
        <v>769</v>
      </c>
      <c r="F20" s="78" t="s">
        <v>732</v>
      </c>
      <c r="G20" s="78">
        <v>0.45</v>
      </c>
      <c r="H20" s="79">
        <v>6.5</v>
      </c>
      <c r="I20" s="160">
        <v>120</v>
      </c>
      <c r="J20" t="s">
        <v>768</v>
      </c>
      <c r="K20" t="s">
        <v>770</v>
      </c>
    </row>
    <row r="21" spans="1:11">
      <c r="A21" s="162" t="s">
        <v>771</v>
      </c>
      <c r="B21" s="79" t="s">
        <v>110</v>
      </c>
      <c r="C21" s="79" t="s">
        <v>688</v>
      </c>
      <c r="D21" s="79" t="s">
        <v>756</v>
      </c>
      <c r="E21" s="79" t="s">
        <v>757</v>
      </c>
      <c r="F21" s="78" t="s">
        <v>773</v>
      </c>
      <c r="G21" s="78">
        <v>0.4</v>
      </c>
      <c r="H21" s="79">
        <v>6</v>
      </c>
      <c r="I21" s="160">
        <v>90</v>
      </c>
      <c r="J21" t="s">
        <v>772</v>
      </c>
      <c r="K21" t="s">
        <v>774</v>
      </c>
    </row>
    <row r="22" spans="1:11">
      <c r="A22" s="162" t="s">
        <v>775</v>
      </c>
      <c r="B22" s="79" t="s">
        <v>111</v>
      </c>
      <c r="C22" s="79" t="s">
        <v>688</v>
      </c>
      <c r="D22" s="79" t="s">
        <v>756</v>
      </c>
      <c r="E22" s="79" t="s">
        <v>778</v>
      </c>
      <c r="F22" s="78" t="s">
        <v>777</v>
      </c>
      <c r="G22" s="78">
        <v>0.48</v>
      </c>
      <c r="H22" s="79">
        <v>6</v>
      </c>
      <c r="I22" s="160">
        <v>120</v>
      </c>
      <c r="J22" t="s">
        <v>776</v>
      </c>
      <c r="K22" t="s">
        <v>779</v>
      </c>
    </row>
    <row r="23" spans="1:11">
      <c r="A23" s="162" t="s">
        <v>780</v>
      </c>
      <c r="B23" s="79" t="s">
        <v>112</v>
      </c>
      <c r="C23" s="79" t="s">
        <v>688</v>
      </c>
      <c r="D23" s="79" t="s">
        <v>756</v>
      </c>
      <c r="E23" s="79" t="s">
        <v>782</v>
      </c>
      <c r="F23" s="78" t="s">
        <v>691</v>
      </c>
      <c r="G23" s="78">
        <v>0.45</v>
      </c>
      <c r="H23" s="79">
        <v>5.5</v>
      </c>
      <c r="I23" s="160">
        <v>120</v>
      </c>
      <c r="J23" t="s">
        <v>781</v>
      </c>
      <c r="K23" t="s">
        <v>783</v>
      </c>
    </row>
    <row r="24" spans="1:11">
      <c r="A24" s="162" t="s">
        <v>784</v>
      </c>
      <c r="B24" s="79" t="s">
        <v>113</v>
      </c>
      <c r="C24" s="79" t="s">
        <v>688</v>
      </c>
      <c r="D24" s="79" t="s">
        <v>756</v>
      </c>
      <c r="E24" s="79" t="s">
        <v>787</v>
      </c>
      <c r="F24" s="78" t="s">
        <v>786</v>
      </c>
      <c r="G24" s="78">
        <v>0.25</v>
      </c>
      <c r="H24" s="79">
        <v>3.5</v>
      </c>
      <c r="I24" s="160">
        <v>60</v>
      </c>
      <c r="J24" t="s">
        <v>785</v>
      </c>
      <c r="K24" t="s">
        <v>788</v>
      </c>
    </row>
    <row r="25" spans="1:11">
      <c r="A25" s="162" t="s">
        <v>789</v>
      </c>
      <c r="B25" s="79" t="s">
        <v>114</v>
      </c>
      <c r="C25" s="79" t="s">
        <v>688</v>
      </c>
      <c r="D25" s="79" t="s">
        <v>756</v>
      </c>
      <c r="E25" s="79" t="s">
        <v>778</v>
      </c>
      <c r="F25" s="78" t="s">
        <v>791</v>
      </c>
      <c r="G25" s="78">
        <v>0.38</v>
      </c>
      <c r="H25" s="79">
        <v>5.5</v>
      </c>
      <c r="I25" s="160">
        <v>90</v>
      </c>
      <c r="J25" t="s">
        <v>790</v>
      </c>
      <c r="K25" t="s">
        <v>792</v>
      </c>
    </row>
    <row r="26" spans="1:11">
      <c r="A26" s="162" t="s">
        <v>793</v>
      </c>
      <c r="B26" s="79" t="s">
        <v>115</v>
      </c>
      <c r="C26" s="79" t="s">
        <v>688</v>
      </c>
      <c r="D26" s="79" t="s">
        <v>795</v>
      </c>
      <c r="E26" s="79" t="s">
        <v>796</v>
      </c>
      <c r="F26" s="78" t="s">
        <v>684</v>
      </c>
      <c r="G26" s="79">
        <v>0.18</v>
      </c>
      <c r="H26" s="79">
        <v>3.5</v>
      </c>
      <c r="I26" s="161">
        <v>45</v>
      </c>
      <c r="J26" t="s">
        <v>794</v>
      </c>
      <c r="K26" t="s">
        <v>797</v>
      </c>
    </row>
    <row r="27" spans="1:11">
      <c r="A27" s="162" t="s">
        <v>798</v>
      </c>
      <c r="B27" s="79" t="s">
        <v>116</v>
      </c>
      <c r="C27" s="79" t="s">
        <v>688</v>
      </c>
      <c r="D27" s="79" t="s">
        <v>795</v>
      </c>
      <c r="E27" s="79" t="s">
        <v>800</v>
      </c>
      <c r="F27" s="78" t="s">
        <v>684</v>
      </c>
      <c r="G27" s="79">
        <v>0.18</v>
      </c>
      <c r="H27" s="79">
        <v>3.5</v>
      </c>
      <c r="I27" s="161">
        <v>45</v>
      </c>
      <c r="J27" t="s">
        <v>799</v>
      </c>
      <c r="K27" t="s">
        <v>801</v>
      </c>
    </row>
    <row r="28" spans="1:11">
      <c r="A28" s="162" t="s">
        <v>802</v>
      </c>
      <c r="B28" s="79" t="s">
        <v>117</v>
      </c>
      <c r="C28" s="79" t="s">
        <v>688</v>
      </c>
      <c r="D28" s="79" t="s">
        <v>795</v>
      </c>
      <c r="E28" s="79" t="s">
        <v>804</v>
      </c>
      <c r="F28" s="78" t="s">
        <v>684</v>
      </c>
      <c r="G28" s="78">
        <v>0.18</v>
      </c>
      <c r="H28" s="79">
        <v>3</v>
      </c>
      <c r="I28" s="160">
        <v>45</v>
      </c>
      <c r="J28" t="s">
        <v>803</v>
      </c>
      <c r="K28" t="s">
        <v>805</v>
      </c>
    </row>
    <row r="29" spans="1:11">
      <c r="A29" s="162" t="s">
        <v>806</v>
      </c>
      <c r="B29" s="79" t="s">
        <v>118</v>
      </c>
      <c r="C29" s="79" t="s">
        <v>688</v>
      </c>
      <c r="D29" s="79" t="s">
        <v>795</v>
      </c>
      <c r="E29" s="79" t="s">
        <v>809</v>
      </c>
      <c r="F29" s="78" t="s">
        <v>808</v>
      </c>
      <c r="G29" s="78">
        <v>0.2</v>
      </c>
      <c r="H29" s="79">
        <v>4</v>
      </c>
      <c r="I29" s="160">
        <v>45</v>
      </c>
      <c r="J29" t="s">
        <v>807</v>
      </c>
      <c r="K29" t="s">
        <v>810</v>
      </c>
    </row>
    <row r="30" spans="1:11">
      <c r="A30" s="162" t="s">
        <v>811</v>
      </c>
      <c r="B30" s="79" t="s">
        <v>119</v>
      </c>
      <c r="C30" s="79" t="s">
        <v>688</v>
      </c>
      <c r="D30" s="79" t="s">
        <v>795</v>
      </c>
      <c r="E30" s="79" t="s">
        <v>814</v>
      </c>
      <c r="F30" s="78" t="s">
        <v>813</v>
      </c>
      <c r="G30" s="78">
        <v>0.2</v>
      </c>
      <c r="H30" s="79">
        <v>4</v>
      </c>
      <c r="I30" s="160">
        <v>45</v>
      </c>
      <c r="J30" t="s">
        <v>812</v>
      </c>
      <c r="K30" t="s">
        <v>815</v>
      </c>
    </row>
    <row r="31" spans="1:11">
      <c r="A31" s="162" t="s">
        <v>816</v>
      </c>
      <c r="B31" s="79" t="s">
        <v>120</v>
      </c>
      <c r="C31" s="79" t="s">
        <v>688</v>
      </c>
      <c r="D31" s="79" t="s">
        <v>818</v>
      </c>
      <c r="E31" s="79" t="s">
        <v>819</v>
      </c>
      <c r="F31" s="78" t="s">
        <v>684</v>
      </c>
      <c r="G31" s="78">
        <v>0.3</v>
      </c>
      <c r="H31" s="79">
        <v>8.5</v>
      </c>
      <c r="I31" s="160">
        <v>90</v>
      </c>
      <c r="J31" t="s">
        <v>817</v>
      </c>
      <c r="K31" t="s">
        <v>820</v>
      </c>
    </row>
    <row r="32" spans="1:11">
      <c r="A32" s="162" t="s">
        <v>821</v>
      </c>
      <c r="B32" s="79" t="s">
        <v>121</v>
      </c>
      <c r="C32" s="79" t="s">
        <v>688</v>
      </c>
      <c r="D32" s="79" t="s">
        <v>818</v>
      </c>
      <c r="E32" s="79" t="s">
        <v>823</v>
      </c>
      <c r="F32" s="78" t="s">
        <v>742</v>
      </c>
      <c r="G32" s="78">
        <v>0.4</v>
      </c>
      <c r="H32" s="79">
        <v>9</v>
      </c>
      <c r="I32" s="160">
        <v>90</v>
      </c>
      <c r="J32" t="s">
        <v>822</v>
      </c>
      <c r="K32" t="s">
        <v>824</v>
      </c>
    </row>
    <row r="33" spans="1:12">
      <c r="A33" s="162" t="s">
        <v>825</v>
      </c>
      <c r="B33" s="79" t="s">
        <v>122</v>
      </c>
      <c r="C33" s="79" t="s">
        <v>688</v>
      </c>
      <c r="D33" s="79" t="s">
        <v>818</v>
      </c>
      <c r="E33" s="79" t="s">
        <v>828</v>
      </c>
      <c r="F33" s="78" t="s">
        <v>827</v>
      </c>
      <c r="G33" s="78">
        <v>0.42</v>
      </c>
      <c r="H33" s="79">
        <v>9</v>
      </c>
      <c r="I33" s="160">
        <v>120</v>
      </c>
      <c r="J33" t="s">
        <v>826</v>
      </c>
      <c r="K33" t="s">
        <v>829</v>
      </c>
    </row>
    <row r="34" spans="1:12">
      <c r="A34" s="162" t="s">
        <v>830</v>
      </c>
      <c r="B34" s="79" t="s">
        <v>123</v>
      </c>
      <c r="C34" s="79" t="s">
        <v>688</v>
      </c>
      <c r="D34" s="79" t="s">
        <v>818</v>
      </c>
      <c r="E34" s="79" t="s">
        <v>833</v>
      </c>
      <c r="F34" s="78" t="s">
        <v>832</v>
      </c>
      <c r="G34" s="78">
        <v>0.35</v>
      </c>
      <c r="H34" s="79">
        <v>8</v>
      </c>
      <c r="I34" s="160">
        <v>90</v>
      </c>
      <c r="J34" t="s">
        <v>831</v>
      </c>
      <c r="K34" t="s">
        <v>834</v>
      </c>
    </row>
    <row r="35" spans="1:12">
      <c r="A35" s="162" t="s">
        <v>835</v>
      </c>
      <c r="B35" s="79" t="s">
        <v>124</v>
      </c>
      <c r="C35" s="79" t="s">
        <v>839</v>
      </c>
      <c r="D35" s="79" t="s">
        <v>818</v>
      </c>
      <c r="E35" s="79" t="s">
        <v>837</v>
      </c>
      <c r="F35" s="78" t="s">
        <v>684</v>
      </c>
      <c r="G35" s="79"/>
      <c r="H35" s="79">
        <v>3.5</v>
      </c>
      <c r="I35" s="79">
        <v>0</v>
      </c>
      <c r="J35" t="s">
        <v>836</v>
      </c>
      <c r="K35" t="s">
        <v>838</v>
      </c>
      <c r="L35">
        <v>100</v>
      </c>
    </row>
    <row r="36" spans="1:12">
      <c r="A36" s="162" t="s">
        <v>840</v>
      </c>
      <c r="B36" s="79" t="s">
        <v>125</v>
      </c>
      <c r="C36" s="79" t="s">
        <v>839</v>
      </c>
      <c r="D36" s="79" t="s">
        <v>818</v>
      </c>
      <c r="E36" s="79" t="s">
        <v>837</v>
      </c>
      <c r="F36" s="78" t="s">
        <v>684</v>
      </c>
      <c r="G36" s="79"/>
      <c r="H36" s="79">
        <v>9.8000000000000007</v>
      </c>
      <c r="I36" s="79">
        <v>0</v>
      </c>
      <c r="J36" t="s">
        <v>841</v>
      </c>
      <c r="K36" t="s">
        <v>842</v>
      </c>
      <c r="L36">
        <v>170</v>
      </c>
    </row>
    <row r="37" spans="1:12">
      <c r="A37" s="162" t="s">
        <v>843</v>
      </c>
      <c r="B37" s="79" t="s">
        <v>126</v>
      </c>
      <c r="C37" s="79" t="s">
        <v>839</v>
      </c>
      <c r="D37" s="79" t="s">
        <v>818</v>
      </c>
      <c r="E37" s="79" t="s">
        <v>819</v>
      </c>
      <c r="F37" s="78" t="s">
        <v>845</v>
      </c>
      <c r="G37" s="79"/>
      <c r="H37" s="79">
        <v>10.5</v>
      </c>
      <c r="I37" s="79">
        <v>0</v>
      </c>
      <c r="J37" t="s">
        <v>844</v>
      </c>
      <c r="K37" t="s">
        <v>846</v>
      </c>
      <c r="L37">
        <v>160</v>
      </c>
    </row>
    <row r="38" spans="1:12">
      <c r="A38" s="162" t="s">
        <v>847</v>
      </c>
      <c r="B38" s="79" t="s">
        <v>127</v>
      </c>
      <c r="C38" s="79" t="s">
        <v>839</v>
      </c>
      <c r="D38" s="79" t="s">
        <v>818</v>
      </c>
      <c r="E38" s="79" t="s">
        <v>823</v>
      </c>
      <c r="F38" s="78" t="s">
        <v>849</v>
      </c>
      <c r="G38" s="79"/>
      <c r="H38" s="79">
        <v>11.5</v>
      </c>
      <c r="I38" s="79">
        <v>0</v>
      </c>
      <c r="J38" t="s">
        <v>848</v>
      </c>
      <c r="K38" t="s">
        <v>850</v>
      </c>
      <c r="L38">
        <v>120</v>
      </c>
    </row>
    <row r="39" spans="1:12">
      <c r="A39" s="162" t="s">
        <v>851</v>
      </c>
      <c r="B39" s="79" t="s">
        <v>128</v>
      </c>
      <c r="C39" s="79" t="s">
        <v>839</v>
      </c>
      <c r="D39" s="79" t="s">
        <v>818</v>
      </c>
      <c r="E39" s="79" t="s">
        <v>823</v>
      </c>
      <c r="F39" s="78" t="s">
        <v>684</v>
      </c>
      <c r="G39" s="79"/>
      <c r="H39" s="79">
        <v>8</v>
      </c>
      <c r="I39" s="79">
        <v>0</v>
      </c>
      <c r="J39" t="s">
        <v>852</v>
      </c>
      <c r="K39" t="s">
        <v>853</v>
      </c>
      <c r="L39">
        <v>100</v>
      </c>
    </row>
    <row r="40" spans="1:12">
      <c r="A40" s="162" t="s">
        <v>854</v>
      </c>
      <c r="B40" s="79" t="s">
        <v>129</v>
      </c>
      <c r="C40" s="79" t="s">
        <v>839</v>
      </c>
      <c r="D40" s="79" t="s">
        <v>818</v>
      </c>
      <c r="E40" s="79" t="s">
        <v>856</v>
      </c>
      <c r="F40" s="78" t="s">
        <v>684</v>
      </c>
      <c r="G40" s="79"/>
      <c r="H40" s="79">
        <v>9</v>
      </c>
      <c r="I40" s="79">
        <v>0</v>
      </c>
      <c r="J40" t="s">
        <v>855</v>
      </c>
      <c r="K40" t="s">
        <v>857</v>
      </c>
      <c r="L40">
        <v>120</v>
      </c>
    </row>
    <row r="41" spans="1:12">
      <c r="A41" s="162" t="s">
        <v>858</v>
      </c>
      <c r="B41" s="79" t="s">
        <v>130</v>
      </c>
      <c r="C41" s="79" t="s">
        <v>839</v>
      </c>
      <c r="D41" s="79" t="s">
        <v>756</v>
      </c>
      <c r="E41" s="79" t="s">
        <v>861</v>
      </c>
      <c r="F41" s="78" t="s">
        <v>860</v>
      </c>
      <c r="G41" s="79"/>
      <c r="H41" s="79">
        <v>8</v>
      </c>
      <c r="I41" s="79">
        <v>0</v>
      </c>
      <c r="J41" t="s">
        <v>859</v>
      </c>
      <c r="K41" t="s">
        <v>862</v>
      </c>
      <c r="L41">
        <v>80</v>
      </c>
    </row>
    <row r="42" spans="1:12">
      <c r="A42" s="162" t="s">
        <v>863</v>
      </c>
      <c r="B42" s="79" t="s">
        <v>131</v>
      </c>
      <c r="C42" s="79" t="s">
        <v>839</v>
      </c>
      <c r="D42" s="79" t="s">
        <v>756</v>
      </c>
      <c r="E42" s="79" t="s">
        <v>837</v>
      </c>
      <c r="F42" s="78" t="s">
        <v>860</v>
      </c>
      <c r="G42" s="79"/>
      <c r="H42" s="79">
        <v>10</v>
      </c>
      <c r="I42" s="79">
        <v>0</v>
      </c>
      <c r="J42" t="s">
        <v>864</v>
      </c>
      <c r="K42" t="s">
        <v>865</v>
      </c>
      <c r="L42">
        <v>70</v>
      </c>
    </row>
    <row r="43" spans="1:12">
      <c r="A43" s="162" t="s">
        <v>866</v>
      </c>
      <c r="B43" s="79" t="s">
        <v>132</v>
      </c>
      <c r="C43" s="79" t="s">
        <v>839</v>
      </c>
      <c r="D43" s="79" t="s">
        <v>756</v>
      </c>
      <c r="E43" s="79" t="s">
        <v>861</v>
      </c>
      <c r="F43" s="78" t="s">
        <v>868</v>
      </c>
      <c r="G43" s="79"/>
      <c r="H43" s="79">
        <v>8.5</v>
      </c>
      <c r="I43" s="79">
        <v>0</v>
      </c>
      <c r="J43" t="s">
        <v>867</v>
      </c>
      <c r="K43" t="s">
        <v>869</v>
      </c>
      <c r="L43">
        <v>90</v>
      </c>
    </row>
    <row r="44" spans="1:12">
      <c r="A44" s="162" t="s">
        <v>870</v>
      </c>
      <c r="B44" s="79" t="s">
        <v>133</v>
      </c>
      <c r="C44" s="79" t="s">
        <v>839</v>
      </c>
      <c r="D44" s="79" t="s">
        <v>756</v>
      </c>
      <c r="E44" s="79" t="s">
        <v>861</v>
      </c>
      <c r="F44" s="78" t="s">
        <v>872</v>
      </c>
      <c r="G44" s="79"/>
      <c r="H44" s="79">
        <v>6.5</v>
      </c>
      <c r="I44" s="79">
        <v>0</v>
      </c>
      <c r="J44" t="s">
        <v>871</v>
      </c>
      <c r="K44" t="s">
        <v>873</v>
      </c>
      <c r="L44">
        <v>140</v>
      </c>
    </row>
    <row r="45" spans="1:12">
      <c r="A45" s="162" t="s">
        <v>874</v>
      </c>
      <c r="B45" s="79" t="s">
        <v>134</v>
      </c>
      <c r="C45" s="79" t="s">
        <v>839</v>
      </c>
      <c r="D45" s="79" t="s">
        <v>756</v>
      </c>
      <c r="E45" s="79" t="s">
        <v>877</v>
      </c>
      <c r="F45" s="78" t="s">
        <v>876</v>
      </c>
      <c r="G45" s="79"/>
      <c r="H45" s="79">
        <v>8.8000000000000007</v>
      </c>
      <c r="I45" s="79">
        <v>0</v>
      </c>
      <c r="J45" t="s">
        <v>875</v>
      </c>
      <c r="K45" t="s">
        <v>878</v>
      </c>
      <c r="L45">
        <v>90</v>
      </c>
    </row>
    <row r="46" spans="1:12">
      <c r="A46" s="162" t="s">
        <v>879</v>
      </c>
      <c r="B46" s="79" t="s">
        <v>135</v>
      </c>
      <c r="C46" s="79" t="s">
        <v>839</v>
      </c>
      <c r="D46" s="79" t="s">
        <v>756</v>
      </c>
      <c r="E46" s="79" t="s">
        <v>837</v>
      </c>
      <c r="F46" s="78" t="s">
        <v>684</v>
      </c>
      <c r="G46" s="79"/>
      <c r="H46" s="79">
        <v>6.5</v>
      </c>
      <c r="I46" s="79">
        <v>0</v>
      </c>
      <c r="J46" t="s">
        <v>880</v>
      </c>
      <c r="K46" t="s">
        <v>881</v>
      </c>
      <c r="L46">
        <v>100</v>
      </c>
    </row>
    <row r="47" spans="1:12">
      <c r="A47" s="162" t="s">
        <v>882</v>
      </c>
      <c r="B47" s="79" t="s">
        <v>136</v>
      </c>
      <c r="C47" s="79" t="s">
        <v>839</v>
      </c>
      <c r="D47" s="79" t="s">
        <v>756</v>
      </c>
      <c r="E47" s="79" t="s">
        <v>837</v>
      </c>
      <c r="F47" s="78" t="s">
        <v>884</v>
      </c>
      <c r="G47" s="79"/>
      <c r="H47" s="79">
        <v>7.5</v>
      </c>
      <c r="I47" s="79">
        <v>0</v>
      </c>
      <c r="J47" t="s">
        <v>883</v>
      </c>
      <c r="K47" t="s">
        <v>885</v>
      </c>
      <c r="L47">
        <v>110</v>
      </c>
    </row>
    <row r="48" spans="1:12">
      <c r="A48" s="162" t="s">
        <v>886</v>
      </c>
      <c r="B48" s="79" t="s">
        <v>137</v>
      </c>
      <c r="C48" s="79" t="s">
        <v>839</v>
      </c>
      <c r="D48" s="79" t="s">
        <v>685</v>
      </c>
      <c r="E48" s="79" t="s">
        <v>889</v>
      </c>
      <c r="F48" s="78" t="s">
        <v>888</v>
      </c>
      <c r="G48" s="79"/>
      <c r="H48" s="79">
        <v>8.5</v>
      </c>
      <c r="I48" s="79">
        <v>0</v>
      </c>
      <c r="J48" t="s">
        <v>887</v>
      </c>
      <c r="K48" t="s">
        <v>890</v>
      </c>
      <c r="L48">
        <v>24</v>
      </c>
    </row>
    <row r="49" spans="1:12">
      <c r="A49" s="162" t="s">
        <v>891</v>
      </c>
      <c r="B49" s="79" t="s">
        <v>138</v>
      </c>
      <c r="C49" s="79" t="s">
        <v>839</v>
      </c>
      <c r="D49" s="79" t="s">
        <v>685</v>
      </c>
      <c r="E49" s="79" t="s">
        <v>894</v>
      </c>
      <c r="F49" s="78" t="s">
        <v>893</v>
      </c>
      <c r="G49" s="79"/>
      <c r="H49" s="79">
        <v>10.5</v>
      </c>
      <c r="I49" s="79">
        <v>0</v>
      </c>
      <c r="J49" t="s">
        <v>892</v>
      </c>
      <c r="K49" t="s">
        <v>895</v>
      </c>
      <c r="L49">
        <v>120</v>
      </c>
    </row>
    <row r="50" spans="1:12">
      <c r="A50" s="162" t="s">
        <v>896</v>
      </c>
      <c r="B50" s="79" t="s">
        <v>139</v>
      </c>
      <c r="C50" s="79" t="s">
        <v>839</v>
      </c>
      <c r="D50" s="79" t="s">
        <v>685</v>
      </c>
      <c r="E50" s="79" t="s">
        <v>899</v>
      </c>
      <c r="F50" s="78" t="s">
        <v>898</v>
      </c>
      <c r="G50" s="79"/>
      <c r="H50" s="79">
        <v>9.5</v>
      </c>
      <c r="I50" s="79">
        <v>0</v>
      </c>
      <c r="J50" t="s">
        <v>897</v>
      </c>
      <c r="K50" t="s">
        <v>900</v>
      </c>
      <c r="L50">
        <v>30</v>
      </c>
    </row>
    <row r="51" spans="1:12">
      <c r="A51" s="162" t="s">
        <v>901</v>
      </c>
      <c r="B51" s="79" t="s">
        <v>140</v>
      </c>
      <c r="C51" s="79" t="s">
        <v>839</v>
      </c>
      <c r="D51" s="79" t="s">
        <v>903</v>
      </c>
      <c r="E51" s="79" t="s">
        <v>904</v>
      </c>
      <c r="F51" s="78" t="s">
        <v>684</v>
      </c>
      <c r="G51" s="79"/>
      <c r="H51" s="79">
        <v>2.2999999999999998</v>
      </c>
      <c r="I51" s="79">
        <v>0</v>
      </c>
      <c r="J51" t="s">
        <v>902</v>
      </c>
      <c r="K51" t="s">
        <v>905</v>
      </c>
      <c r="L51">
        <v>40</v>
      </c>
    </row>
    <row r="52" spans="1:12">
      <c r="A52" s="162" t="s">
        <v>906</v>
      </c>
      <c r="B52" s="79" t="s">
        <v>141</v>
      </c>
      <c r="C52" s="79" t="s">
        <v>839</v>
      </c>
      <c r="D52" s="79" t="s">
        <v>903</v>
      </c>
      <c r="E52" s="79" t="s">
        <v>909</v>
      </c>
      <c r="F52" s="78" t="s">
        <v>908</v>
      </c>
      <c r="G52" s="79"/>
      <c r="H52" s="79">
        <v>2.5</v>
      </c>
      <c r="I52" s="79">
        <v>0</v>
      </c>
      <c r="J52" t="s">
        <v>907</v>
      </c>
      <c r="K52" t="s">
        <v>910</v>
      </c>
      <c r="L52">
        <v>50</v>
      </c>
    </row>
    <row r="53" spans="1:12">
      <c r="A53" s="162" t="s">
        <v>911</v>
      </c>
      <c r="B53" s="79" t="s">
        <v>142</v>
      </c>
      <c r="C53" s="79" t="s">
        <v>839</v>
      </c>
      <c r="D53" s="79" t="s">
        <v>903</v>
      </c>
      <c r="E53" s="79" t="s">
        <v>913</v>
      </c>
      <c r="F53" s="78" t="s">
        <v>684</v>
      </c>
      <c r="G53" s="79"/>
      <c r="H53" s="79">
        <v>2</v>
      </c>
      <c r="I53" s="79">
        <v>0</v>
      </c>
      <c r="J53" t="s">
        <v>912</v>
      </c>
      <c r="K53" t="s">
        <v>914</v>
      </c>
      <c r="L53">
        <v>50</v>
      </c>
    </row>
    <row r="54" spans="1:12">
      <c r="A54" s="162"/>
      <c r="B54" s="79"/>
      <c r="C54" s="79"/>
      <c r="D54" s="79"/>
      <c r="E54" s="79"/>
      <c r="F54" s="78"/>
      <c r="G54" s="79"/>
      <c r="H54" s="79"/>
      <c r="I54" s="79"/>
    </row>
    <row r="55" spans="1:12">
      <c r="A55" s="81"/>
      <c r="B55" s="80"/>
      <c r="C55" s="80"/>
      <c r="D55" s="80"/>
      <c r="E55" s="80"/>
      <c r="F55" s="81"/>
      <c r="G55" s="81"/>
      <c r="H55" s="80"/>
      <c r="I55" s="81"/>
    </row>
    <row r="56" spans="1:12">
      <c r="A56" s="81"/>
      <c r="B56" s="80"/>
      <c r="C56" s="80"/>
      <c r="D56" s="80"/>
      <c r="E56" s="80"/>
      <c r="F56" s="81"/>
      <c r="G56" s="81"/>
      <c r="H56" s="80"/>
      <c r="I56" s="81"/>
    </row>
    <row r="57" spans="1:12">
      <c r="A57" s="81"/>
      <c r="B57" s="80"/>
      <c r="C57" s="80"/>
      <c r="D57" s="80"/>
      <c r="E57" s="80"/>
      <c r="F57" s="81"/>
      <c r="G57" s="81"/>
      <c r="H57" s="80"/>
      <c r="I57" s="81"/>
    </row>
    <row r="58" spans="1:12">
      <c r="A58" s="81"/>
      <c r="B58" s="80"/>
      <c r="C58" s="80"/>
      <c r="D58" s="80"/>
      <c r="E58" s="80"/>
      <c r="F58" s="81"/>
      <c r="G58" s="81"/>
      <c r="H58" s="80"/>
      <c r="I58" s="81"/>
    </row>
    <row r="59" spans="1:12">
      <c r="A59" s="81"/>
      <c r="B59" s="80"/>
      <c r="C59" s="80"/>
      <c r="D59" s="80"/>
      <c r="E59" s="80"/>
      <c r="F59" s="81"/>
      <c r="G59" s="81"/>
      <c r="H59" s="80"/>
      <c r="I59" s="81"/>
    </row>
    <row r="60" spans="1:12">
      <c r="A60" s="81"/>
      <c r="B60" s="80"/>
      <c r="C60" s="80"/>
      <c r="D60" s="80"/>
      <c r="E60" s="80"/>
      <c r="F60" s="81"/>
      <c r="G60" s="81"/>
      <c r="H60" s="80"/>
      <c r="I60" s="81"/>
    </row>
    <row r="61" spans="1:12">
      <c r="A61" s="81"/>
      <c r="B61" s="80"/>
      <c r="C61" s="80"/>
      <c r="D61" s="80"/>
      <c r="E61" s="80"/>
      <c r="F61" s="81"/>
      <c r="G61" s="81"/>
      <c r="H61" s="80"/>
      <c r="I61" s="81"/>
    </row>
    <row r="62" spans="1:12">
      <c r="A62" s="81"/>
      <c r="B62" s="80"/>
      <c r="C62" s="80"/>
      <c r="D62" s="80"/>
      <c r="E62" s="80"/>
      <c r="F62" s="81"/>
      <c r="G62" s="81"/>
      <c r="H62" s="80"/>
      <c r="I62" s="81"/>
    </row>
    <row r="63" spans="1:12">
      <c r="A63" s="81"/>
      <c r="B63" s="80"/>
      <c r="C63" s="80"/>
      <c r="D63" s="80"/>
      <c r="E63" s="80"/>
      <c r="F63" s="81"/>
      <c r="G63" s="81"/>
      <c r="H63" s="80"/>
      <c r="I63" s="81"/>
    </row>
    <row r="64" spans="1:12">
      <c r="A64" s="81"/>
      <c r="B64" s="80"/>
      <c r="C64" s="80"/>
      <c r="D64" s="80"/>
      <c r="E64" s="80"/>
      <c r="F64" s="81"/>
      <c r="G64" s="81"/>
      <c r="H64" s="80"/>
      <c r="I64" s="81"/>
    </row>
    <row r="65" spans="1:9">
      <c r="A65" s="81"/>
      <c r="B65" s="80"/>
      <c r="C65" s="80"/>
      <c r="D65" s="80"/>
      <c r="E65" s="80"/>
      <c r="F65" s="81"/>
      <c r="G65" s="81"/>
      <c r="H65" s="80"/>
      <c r="I65" s="81"/>
    </row>
    <row r="66" spans="1:9">
      <c r="A66" s="81"/>
      <c r="B66" s="80"/>
      <c r="C66" s="80"/>
      <c r="D66" s="80"/>
      <c r="E66" s="80"/>
      <c r="F66" s="81"/>
      <c r="G66" s="81"/>
      <c r="H66" s="80"/>
      <c r="I66" s="81"/>
    </row>
    <row r="67" spans="1:9">
      <c r="A67" s="81"/>
      <c r="B67" s="80"/>
      <c r="C67" s="80"/>
      <c r="D67" s="80"/>
      <c r="E67" s="80"/>
      <c r="F67" s="81"/>
      <c r="G67" s="81"/>
      <c r="H67" s="80"/>
      <c r="I67" s="81"/>
    </row>
    <row r="68" spans="1:9">
      <c r="A68" s="81"/>
      <c r="B68" s="80"/>
      <c r="C68" s="80"/>
      <c r="D68" s="80"/>
      <c r="E68" s="80"/>
      <c r="F68" s="81"/>
      <c r="G68" s="81"/>
      <c r="H68" s="80"/>
      <c r="I68" s="81"/>
    </row>
    <row r="69" spans="1:9">
      <c r="A69" s="81"/>
      <c r="B69" s="80"/>
      <c r="C69" s="80"/>
      <c r="D69" s="80"/>
      <c r="E69" s="80"/>
      <c r="F69" s="81"/>
      <c r="G69" s="81"/>
      <c r="H69" s="80"/>
      <c r="I69" s="81"/>
    </row>
    <row r="70" spans="1:9">
      <c r="A70" s="81"/>
      <c r="B70" s="80"/>
      <c r="C70" s="80"/>
      <c r="D70" s="80"/>
      <c r="E70" s="80"/>
      <c r="F70" s="81"/>
      <c r="G70" s="81"/>
      <c r="H70" s="80"/>
      <c r="I70" s="81"/>
    </row>
    <row r="71" spans="1:9">
      <c r="A71" s="81"/>
      <c r="B71" s="80"/>
      <c r="C71" s="80"/>
      <c r="D71" s="80"/>
      <c r="E71" s="80"/>
      <c r="F71" s="81"/>
      <c r="G71" s="81"/>
      <c r="H71" s="80"/>
      <c r="I71" s="81"/>
    </row>
    <row r="72" spans="1:9">
      <c r="A72" s="81"/>
      <c r="B72" s="80"/>
      <c r="C72" s="80"/>
      <c r="D72" s="80"/>
      <c r="E72" s="80"/>
      <c r="F72" s="81"/>
      <c r="G72" s="81"/>
      <c r="H72" s="80"/>
      <c r="I72" s="81"/>
    </row>
    <row r="73" spans="1:9">
      <c r="A73" s="81"/>
      <c r="B73" s="80"/>
      <c r="C73" s="80"/>
      <c r="D73" s="80"/>
      <c r="E73" s="80"/>
      <c r="F73" s="81"/>
      <c r="G73" s="81"/>
      <c r="H73" s="80"/>
      <c r="I73" s="81"/>
    </row>
    <row r="74" spans="1:9">
      <c r="A74" s="81"/>
      <c r="B74" s="80"/>
      <c r="C74" s="80"/>
      <c r="D74" s="80"/>
      <c r="E74" s="80"/>
      <c r="F74" s="81"/>
      <c r="G74" s="81"/>
      <c r="H74" s="80"/>
      <c r="I74" s="81"/>
    </row>
    <row r="75" spans="1:9">
      <c r="A75" s="81"/>
      <c r="B75" s="80"/>
      <c r="C75" s="80"/>
      <c r="D75" s="80"/>
      <c r="E75" s="80"/>
      <c r="F75" s="81"/>
      <c r="G75" s="81"/>
      <c r="H75" s="80"/>
      <c r="I75" s="81"/>
    </row>
    <row r="76" spans="1:9">
      <c r="A76" s="81"/>
      <c r="B76" s="80"/>
      <c r="C76" s="80"/>
      <c r="D76" s="80"/>
      <c r="E76" s="80"/>
      <c r="F76" s="81"/>
      <c r="G76" s="81"/>
      <c r="H76" s="80"/>
      <c r="I76" s="81"/>
    </row>
    <row r="77" spans="1:9">
      <c r="A77" s="81"/>
      <c r="B77" s="80"/>
      <c r="C77" s="80"/>
      <c r="D77" s="80"/>
      <c r="E77" s="80"/>
      <c r="F77" s="81"/>
      <c r="G77" s="81"/>
      <c r="H77" s="80"/>
      <c r="I77" s="81"/>
    </row>
    <row r="78" spans="1:9">
      <c r="A78" s="81"/>
      <c r="B78" s="80"/>
      <c r="C78" s="80"/>
      <c r="D78" s="80"/>
      <c r="E78" s="80"/>
      <c r="F78" s="81"/>
      <c r="G78" s="81"/>
      <c r="H78" s="80"/>
      <c r="I78" s="81"/>
    </row>
    <row r="79" spans="1:9">
      <c r="A79" s="81"/>
      <c r="B79" s="80"/>
      <c r="C79" s="80"/>
      <c r="D79" s="80"/>
      <c r="E79" s="80"/>
      <c r="F79" s="81"/>
      <c r="G79" s="81"/>
      <c r="H79" s="80"/>
      <c r="I79" s="81"/>
    </row>
    <row r="80" spans="1:9">
      <c r="A80" s="81"/>
      <c r="B80" s="80"/>
      <c r="C80" s="80"/>
      <c r="D80" s="80"/>
      <c r="E80" s="80"/>
      <c r="F80" s="81"/>
      <c r="G80" s="81"/>
      <c r="H80" s="80"/>
      <c r="I80" s="81"/>
    </row>
    <row r="81" spans="1:9">
      <c r="A81" s="81"/>
      <c r="B81" s="80"/>
      <c r="C81" s="80"/>
      <c r="D81" s="80"/>
      <c r="E81" s="80"/>
      <c r="F81" s="81"/>
      <c r="G81" s="81"/>
      <c r="H81" s="80"/>
      <c r="I81" s="81"/>
    </row>
    <row r="82" spans="1:9">
      <c r="A82" s="81"/>
      <c r="B82" s="80"/>
      <c r="C82" s="80"/>
      <c r="D82" s="80"/>
      <c r="E82" s="80"/>
      <c r="F82" s="81"/>
      <c r="G82" s="81"/>
      <c r="H82" s="80"/>
      <c r="I82" s="81"/>
    </row>
    <row r="83" spans="1:9">
      <c r="A83" s="81"/>
      <c r="B83" s="80"/>
      <c r="C83" s="80"/>
      <c r="D83" s="80"/>
      <c r="E83" s="80"/>
      <c r="F83" s="81"/>
      <c r="G83" s="81"/>
      <c r="H83" s="80"/>
      <c r="I83" s="81"/>
    </row>
    <row r="84" spans="1:9">
      <c r="A84" s="81"/>
      <c r="B84" s="80"/>
      <c r="C84" s="80"/>
      <c r="D84" s="80"/>
      <c r="E84" s="80"/>
      <c r="F84" s="81"/>
      <c r="G84" s="81"/>
      <c r="H84" s="80"/>
      <c r="I84" s="81"/>
    </row>
    <row r="85" spans="1:9">
      <c r="A85" s="81"/>
      <c r="B85" s="80"/>
      <c r="C85" s="80"/>
      <c r="D85" s="80"/>
      <c r="E85" s="80"/>
      <c r="F85" s="81"/>
      <c r="G85" s="81"/>
      <c r="H85" s="80"/>
      <c r="I85" s="81"/>
    </row>
    <row r="86" spans="1:9">
      <c r="A86" s="81"/>
      <c r="B86" s="80"/>
      <c r="C86" s="80"/>
      <c r="D86" s="80"/>
      <c r="E86" s="80"/>
      <c r="F86" s="81"/>
      <c r="G86" s="81"/>
      <c r="H86" s="80"/>
      <c r="I86" s="81"/>
    </row>
    <row r="87" spans="1:9">
      <c r="A87" s="81"/>
      <c r="B87" s="80"/>
      <c r="C87" s="80"/>
      <c r="D87" s="80"/>
      <c r="E87" s="80"/>
      <c r="F87" s="81"/>
      <c r="G87" s="81"/>
      <c r="H87" s="80"/>
      <c r="I87" s="81"/>
    </row>
    <row r="88" spans="1:9">
      <c r="A88" s="81"/>
      <c r="B88" s="80"/>
      <c r="C88" s="80"/>
      <c r="D88" s="80"/>
      <c r="E88" s="80"/>
      <c r="F88" s="81"/>
      <c r="G88" s="81"/>
      <c r="H88" s="80"/>
      <c r="I88" s="81"/>
    </row>
    <row r="89" spans="1:9">
      <c r="A89" s="81"/>
      <c r="B89" s="80"/>
      <c r="C89" s="80"/>
      <c r="D89" s="80"/>
      <c r="E89" s="80"/>
      <c r="F89" s="81"/>
      <c r="G89" s="81"/>
      <c r="H89" s="80"/>
      <c r="I89" s="81"/>
    </row>
    <row r="90" spans="1:9">
      <c r="A90" s="81"/>
      <c r="B90" s="80"/>
      <c r="C90" s="80"/>
      <c r="D90" s="80"/>
      <c r="E90" s="80"/>
      <c r="F90" s="81"/>
      <c r="G90" s="81"/>
      <c r="H90" s="80"/>
      <c r="I90" s="81"/>
    </row>
    <row r="91" spans="1:9">
      <c r="A91" s="81"/>
      <c r="B91" s="80"/>
      <c r="C91" s="80"/>
      <c r="D91" s="80"/>
      <c r="E91" s="80"/>
      <c r="F91" s="81"/>
      <c r="G91" s="81"/>
      <c r="H91" s="80"/>
      <c r="I91" s="81"/>
    </row>
    <row r="92" spans="1:9">
      <c r="A92" s="81"/>
      <c r="B92" s="80"/>
      <c r="C92" s="80"/>
      <c r="D92" s="80"/>
      <c r="E92" s="80"/>
      <c r="F92" s="81"/>
      <c r="G92" s="81"/>
      <c r="H92" s="80"/>
      <c r="I92" s="81"/>
    </row>
    <row r="93" spans="1:9">
      <c r="A93" s="81"/>
      <c r="B93" s="80"/>
      <c r="C93" s="80"/>
      <c r="D93" s="80"/>
      <c r="E93" s="80"/>
      <c r="F93" s="81"/>
      <c r="G93" s="81"/>
      <c r="H93" s="80"/>
      <c r="I93" s="81"/>
    </row>
    <row r="94" spans="1:9">
      <c r="A94" s="81"/>
      <c r="B94" s="80"/>
      <c r="C94" s="80"/>
      <c r="D94" s="80"/>
      <c r="E94" s="80"/>
      <c r="F94" s="81"/>
      <c r="G94" s="81"/>
      <c r="H94" s="80"/>
      <c r="I94" s="81"/>
    </row>
    <row r="95" spans="1:9">
      <c r="A95" s="81"/>
      <c r="B95" s="80"/>
      <c r="C95" s="80"/>
      <c r="D95" s="80"/>
      <c r="E95" s="80"/>
      <c r="F95" s="81"/>
      <c r="G95" s="81"/>
      <c r="H95" s="80"/>
      <c r="I95" s="81"/>
    </row>
    <row r="96" spans="1:9">
      <c r="A96" s="81"/>
      <c r="B96" s="80"/>
      <c r="C96" s="80"/>
      <c r="D96" s="80"/>
      <c r="E96" s="80"/>
      <c r="F96" s="81"/>
      <c r="G96" s="81"/>
      <c r="H96" s="80"/>
      <c r="I96" s="81"/>
    </row>
    <row r="97" spans="1:9">
      <c r="A97" s="81"/>
      <c r="B97" s="80"/>
      <c r="C97" s="80"/>
      <c r="D97" s="80"/>
      <c r="E97" s="80"/>
      <c r="F97" s="81"/>
      <c r="G97" s="81"/>
      <c r="H97" s="80"/>
      <c r="I97" s="81"/>
    </row>
    <row r="98" spans="1:9">
      <c r="A98" s="81"/>
      <c r="B98" s="80"/>
      <c r="C98" s="80"/>
      <c r="D98" s="80"/>
      <c r="E98" s="80"/>
      <c r="F98" s="81"/>
      <c r="G98" s="81"/>
      <c r="H98" s="80"/>
      <c r="I98" s="81"/>
    </row>
    <row r="99" spans="1:9">
      <c r="A99" s="81"/>
      <c r="B99" s="80"/>
      <c r="C99" s="80"/>
      <c r="D99" s="80"/>
      <c r="E99" s="80"/>
      <c r="F99" s="81"/>
      <c r="G99" s="81"/>
      <c r="H99" s="80"/>
      <c r="I99" s="81"/>
    </row>
    <row r="100" spans="1:9">
      <c r="A100" s="81"/>
      <c r="B100" s="80"/>
      <c r="C100" s="80"/>
      <c r="D100" s="80"/>
      <c r="E100" s="80"/>
      <c r="F100" s="81"/>
      <c r="G100" s="81"/>
      <c r="H100" s="80"/>
      <c r="I100" s="81"/>
    </row>
  </sheetData>
  <autoFilter ref="A1:I10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D7E6B"/>
    <outlinePr summaryBelow="0" summaryRight="0"/>
  </sheetPr>
  <dimension ref="A1:BV100"/>
  <sheetViews>
    <sheetView tabSelected="1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A5" sqref="A5"/>
    </sheetView>
  </sheetViews>
  <sheetFormatPr defaultColWidth="14.42578125" defaultRowHeight="15" customHeight="1"/>
  <cols>
    <col min="1" max="1" width="14.42578125" style="137"/>
    <col min="2" max="2" width="14.42578125" style="166"/>
    <col min="3" max="3" width="7.28515625" style="137" customWidth="1"/>
    <col min="4" max="4" width="14.42578125" style="137"/>
    <col min="5" max="9" width="7.28515625" style="137" customWidth="1"/>
    <col min="10" max="10" width="14.42578125" style="137"/>
    <col min="11" max="16" width="7.28515625" style="137" customWidth="1"/>
    <col min="17" max="17" width="14.42578125" style="137"/>
    <col min="18" max="23" width="7.28515625" style="137" customWidth="1"/>
    <col min="24" max="24" width="14.42578125" style="137" customWidth="1"/>
    <col min="25" max="30" width="7.28515625" style="137" customWidth="1"/>
    <col min="31" max="31" width="14.42578125" style="137" customWidth="1"/>
    <col min="32" max="37" width="7.28515625" style="137" customWidth="1"/>
    <col min="38" max="38" width="14.42578125" style="137" customWidth="1"/>
    <col min="39" max="44" width="7.28515625" style="137" customWidth="1"/>
    <col min="45" max="45" width="14.42578125" style="137" customWidth="1"/>
    <col min="46" max="51" width="7.28515625" style="137" customWidth="1"/>
    <col min="52" max="52" width="14.42578125" style="137" customWidth="1"/>
    <col min="53" max="58" width="7.28515625" style="137" customWidth="1"/>
    <col min="59" max="59" width="14.42578125" style="137" customWidth="1"/>
    <col min="60" max="65" width="7.28515625" style="137" customWidth="1"/>
    <col min="66" max="66" width="14.42578125" style="137" customWidth="1"/>
    <col min="67" max="72" width="7.28515625" style="137" customWidth="1"/>
    <col min="73" max="74" width="14.42578125" style="137" customWidth="1"/>
    <col min="75" max="16384" width="14.42578125" style="137"/>
  </cols>
  <sheetData>
    <row r="1" spans="1:74">
      <c r="A1" s="157"/>
      <c r="B1" s="163"/>
      <c r="C1" s="158"/>
      <c r="D1" s="132" t="s">
        <v>143</v>
      </c>
      <c r="E1" s="132"/>
      <c r="F1" s="132"/>
      <c r="G1" s="132"/>
      <c r="H1" s="132"/>
      <c r="I1" s="132"/>
      <c r="J1" s="132" t="s">
        <v>144</v>
      </c>
      <c r="K1" s="132"/>
      <c r="L1" s="132"/>
      <c r="M1" s="132"/>
      <c r="N1" s="132"/>
      <c r="O1" s="132"/>
      <c r="P1" s="132"/>
      <c r="Q1" s="132" t="s">
        <v>145</v>
      </c>
      <c r="R1" s="132"/>
      <c r="S1" s="132"/>
      <c r="T1" s="132"/>
      <c r="U1" s="132"/>
      <c r="V1" s="132"/>
      <c r="W1" s="132"/>
      <c r="X1" s="134" t="s">
        <v>146</v>
      </c>
      <c r="Y1" s="134"/>
      <c r="Z1" s="134"/>
      <c r="AA1" s="134"/>
      <c r="AB1" s="134"/>
      <c r="AC1" s="134"/>
      <c r="AD1" s="132"/>
      <c r="AE1" s="134" t="s">
        <v>147</v>
      </c>
      <c r="AF1" s="134"/>
      <c r="AG1" s="134"/>
      <c r="AH1" s="134"/>
      <c r="AI1" s="134"/>
      <c r="AJ1" s="134"/>
      <c r="AK1" s="132"/>
      <c r="AL1" s="134" t="s">
        <v>148</v>
      </c>
      <c r="AM1" s="134"/>
      <c r="AN1" s="134"/>
      <c r="AO1" s="134"/>
      <c r="AP1" s="134"/>
      <c r="AQ1" s="134"/>
      <c r="AR1" s="132"/>
      <c r="AS1" s="134" t="s">
        <v>149</v>
      </c>
      <c r="AT1" s="134"/>
      <c r="AU1" s="134"/>
      <c r="AV1" s="134"/>
      <c r="AW1" s="134"/>
      <c r="AX1" s="134"/>
      <c r="AY1" s="132"/>
      <c r="AZ1" s="134" t="s">
        <v>150</v>
      </c>
      <c r="BA1" s="134"/>
      <c r="BB1" s="134"/>
      <c r="BC1" s="134"/>
      <c r="BD1" s="134"/>
      <c r="BE1" s="134"/>
      <c r="BF1" s="132"/>
      <c r="BG1" s="134" t="s">
        <v>151</v>
      </c>
      <c r="BH1" s="134"/>
      <c r="BI1" s="134"/>
      <c r="BJ1" s="134"/>
      <c r="BK1" s="134"/>
      <c r="BL1" s="134"/>
      <c r="BM1" s="132"/>
      <c r="BN1" s="134" t="s">
        <v>152</v>
      </c>
      <c r="BO1" s="133"/>
      <c r="BP1" s="133"/>
      <c r="BQ1" s="134"/>
      <c r="BR1" s="134"/>
      <c r="BS1" s="134"/>
      <c r="BT1" s="132"/>
      <c r="BU1" s="135"/>
      <c r="BV1" s="136">
        <v>80</v>
      </c>
    </row>
    <row r="2" spans="1:74">
      <c r="A2" s="159" t="s">
        <v>7</v>
      </c>
      <c r="B2" s="164" t="s">
        <v>153</v>
      </c>
      <c r="C2" s="132"/>
      <c r="D2" s="132" t="s">
        <v>154</v>
      </c>
      <c r="E2" s="132" t="s">
        <v>917</v>
      </c>
      <c r="F2" s="132" t="s">
        <v>918</v>
      </c>
      <c r="G2" s="167" t="s">
        <v>920</v>
      </c>
      <c r="H2" s="167" t="s">
        <v>919</v>
      </c>
      <c r="I2" s="132" t="s">
        <v>155</v>
      </c>
      <c r="J2" s="132" t="s">
        <v>156</v>
      </c>
      <c r="K2" s="132" t="s">
        <v>157</v>
      </c>
      <c r="L2" s="132" t="s">
        <v>158</v>
      </c>
      <c r="M2" s="132" t="s">
        <v>159</v>
      </c>
      <c r="N2" s="132" t="s">
        <v>656</v>
      </c>
      <c r="O2" s="132" t="s">
        <v>657</v>
      </c>
      <c r="P2" s="132" t="s">
        <v>155</v>
      </c>
      <c r="Q2" s="132" t="s">
        <v>160</v>
      </c>
      <c r="R2" s="132" t="s">
        <v>161</v>
      </c>
      <c r="S2" s="132" t="s">
        <v>162</v>
      </c>
      <c r="T2" s="132" t="s">
        <v>163</v>
      </c>
      <c r="U2" s="132" t="s">
        <v>658</v>
      </c>
      <c r="V2" s="132" t="s">
        <v>659</v>
      </c>
      <c r="W2" s="132" t="s">
        <v>155</v>
      </c>
      <c r="X2" s="134" t="s">
        <v>164</v>
      </c>
      <c r="Y2" s="132" t="s">
        <v>165</v>
      </c>
      <c r="Z2" s="134" t="s">
        <v>166</v>
      </c>
      <c r="AA2" s="152" t="s">
        <v>167</v>
      </c>
      <c r="AB2" s="132" t="s">
        <v>660</v>
      </c>
      <c r="AC2" s="132" t="s">
        <v>659</v>
      </c>
      <c r="AD2" s="132" t="s">
        <v>155</v>
      </c>
      <c r="AE2" s="134" t="s">
        <v>168</v>
      </c>
      <c r="AF2" s="134" t="s">
        <v>169</v>
      </c>
      <c r="AG2" s="134" t="s">
        <v>170</v>
      </c>
      <c r="AH2" s="134" t="s">
        <v>171</v>
      </c>
      <c r="AI2" s="132" t="s">
        <v>661</v>
      </c>
      <c r="AJ2" s="132" t="s">
        <v>662</v>
      </c>
      <c r="AK2" s="132" t="s">
        <v>155</v>
      </c>
      <c r="AL2" s="134" t="s">
        <v>172</v>
      </c>
      <c r="AM2" s="134" t="s">
        <v>173</v>
      </c>
      <c r="AN2" s="134" t="s">
        <v>174</v>
      </c>
      <c r="AO2" s="134" t="s">
        <v>175</v>
      </c>
      <c r="AP2" s="132" t="s">
        <v>663</v>
      </c>
      <c r="AQ2" s="132" t="s">
        <v>664</v>
      </c>
      <c r="AR2" s="132" t="s">
        <v>155</v>
      </c>
      <c r="AS2" s="134" t="s">
        <v>176</v>
      </c>
      <c r="AT2" s="134" t="s">
        <v>177</v>
      </c>
      <c r="AU2" s="134" t="s">
        <v>178</v>
      </c>
      <c r="AV2" s="134" t="s">
        <v>179</v>
      </c>
      <c r="AW2" s="132" t="s">
        <v>665</v>
      </c>
      <c r="AX2" s="132" t="s">
        <v>666</v>
      </c>
      <c r="AY2" s="132" t="s">
        <v>155</v>
      </c>
      <c r="AZ2" s="134" t="s">
        <v>180</v>
      </c>
      <c r="BA2" s="134" t="s">
        <v>181</v>
      </c>
      <c r="BB2" s="134" t="s">
        <v>182</v>
      </c>
      <c r="BC2" s="134" t="s">
        <v>183</v>
      </c>
      <c r="BD2" s="132" t="s">
        <v>667</v>
      </c>
      <c r="BE2" s="132" t="s">
        <v>668</v>
      </c>
      <c r="BF2" s="132" t="s">
        <v>155</v>
      </c>
      <c r="BG2" s="134" t="s">
        <v>184</v>
      </c>
      <c r="BH2" s="134" t="s">
        <v>185</v>
      </c>
      <c r="BI2" s="134" t="s">
        <v>186</v>
      </c>
      <c r="BJ2" s="134" t="s">
        <v>187</v>
      </c>
      <c r="BK2" s="132" t="s">
        <v>669</v>
      </c>
      <c r="BL2" s="132" t="s">
        <v>670</v>
      </c>
      <c r="BM2" s="132" t="s">
        <v>155</v>
      </c>
      <c r="BN2" s="134" t="s">
        <v>188</v>
      </c>
      <c r="BO2" s="133" t="s">
        <v>189</v>
      </c>
      <c r="BP2" s="133" t="s">
        <v>673</v>
      </c>
      <c r="BQ2" s="134" t="s">
        <v>190</v>
      </c>
      <c r="BR2" s="132" t="s">
        <v>671</v>
      </c>
      <c r="BS2" s="132" t="s">
        <v>672</v>
      </c>
      <c r="BT2" s="132" t="s">
        <v>155</v>
      </c>
      <c r="BU2" s="138" t="s">
        <v>191</v>
      </c>
      <c r="BV2" s="133"/>
    </row>
    <row r="3" spans="1:74">
      <c r="A3" s="139" t="s">
        <v>915</v>
      </c>
      <c r="B3" s="165" t="s">
        <v>85</v>
      </c>
      <c r="C3" s="155"/>
      <c r="D3" s="141"/>
      <c r="E3" s="144"/>
      <c r="F3" s="144"/>
      <c r="G3" s="143"/>
      <c r="H3" s="144"/>
      <c r="I3" s="156" t="e">
        <f t="array" ref="I3:I100">IF(ISBLANK($B3:$B100),"",_xlfn.LET(
_xlpm.peso_usuario, _xlfn.XLOOKUP($A3:$A100, Objetivos_calc!$A3:$A100, Objetivos_calc!$E3:$E100, ""),
_xlpm.met, _xlfn.XLOOKUP(D3:D100, Actividad_data!$B2:$B100, Actividad_data!$H2:$H100, ""),
_xlpm.carga_relativa, _xlfn.XLOOKUP(D3:D100, Actividad_data!$B2:$B100, Actividad_data!$G2:$G100, ""),
_xlpm.factor_reps, 0.7 + (0.8 * 1 / (1 + F3:F100 / 30)),
_xlpm.factor_trabajo, 1 + (1 / (1 + ((_xlpm.carga_relativa / ( (G3:G100 / _xlpm.peso_usuario) * (1 / (1 + F3:F100 / 30)) ) ) - 1) / 2 ) - 1),
_xlpm.factor_intensidad, _xlpm.factor_reps * _xlpm.factor_trabajo,
_xlpm.min_trabajo, E3:E100 * F3:F100 * IF(H3:H100="",#REF!, H3:H100) / 60,
_xlpm.min_descan, (E3:E100 - 1) * IF(#REF!="",#REF!,#REF!) / 60,
_xlpm.kcals_trabajo, _xlpm.min_trabajo * _xlpm.peso_usuario * _xlpm.met * _xlpm.factor_intensidad / 60,
_xlpm.kcals_descan, _xlpm.min_descan * _xlpm.peso_usuario * 1.5 / 60,
_xlpm.kcals_trabajo + _xlpm.kcals_descan
))</f>
        <v>#REF!</v>
      </c>
      <c r="J3" s="141"/>
      <c r="K3" s="144"/>
      <c r="L3" s="144"/>
      <c r="M3" s="143"/>
      <c r="N3" s="144"/>
      <c r="O3" s="144"/>
      <c r="P3" s="156" t="e">
        <f t="array" ref="P3:P100">IF(ISBLANK($B3:$B100),"", _xlfn.LET(
 _xlpm.met, _xlfn.XLOOKUP(J3:J100, Actividad_data!#REF!, Actividad_data!$F$2:$F$100,""),
 _xlpm.factor_intensidad, IFERROR(0.7 + 0.8 * (M3:M100 / (M3:M100 * (1 + L3:L100 / 30))),1),
 _xlpm.min_trabajo, K3:K100 * L3:L100 * IF(N3:N100="",#REF!,N3:N100) / 60,
 _xlpm.min_descan, (K3:K100 - 1) * IF(O3:O100="",#REF!,O3:O100) / 60,
 _xlpm.kcals_kg_trabajo, _xlpm.min_trabajo * _xlpm.met * _xlpm.factor_intensidad  / 60,
 _xlpm.kcals_kg_descan, _xlpm.min_descan *  1.5 / 60,
 _xlpm.kcals_kg_trabajo + _xlpm.kcals_kg_descan
))</f>
        <v>#REF!</v>
      </c>
      <c r="Q3" s="141"/>
      <c r="R3" s="144"/>
      <c r="S3" s="144"/>
      <c r="T3" s="143"/>
      <c r="U3" s="144"/>
      <c r="V3" s="144"/>
      <c r="W3" s="156" t="e">
        <f t="array" ref="W3:W100">IF(ISBLANK($B3:$B100),"", _xlfn.LET(
 _xlpm.met, _xlfn.XLOOKUP(Q3:Q100, Actividad_data!#REF!, Actividad_data!$F$2:$F$100,""),
 _xlpm.factor_intensidad, IFERROR(0.7 + 0.8 * (T3:T100 / (T3:T100 * (1 + S3:S100 / 30))),1),
 _xlpm.min_trabajo, R3:R100 * S3:S100 * IF(U3:U100="",#REF!,U3:U100) / 60,
 _xlpm.min_descan, (R3:R100 - 1) * IF(V3:V100="",#REF!,V3:V100) / 60,
 _xlpm.kcals_kg_trabajo, _xlpm.min_trabajo * _xlpm.met * _xlpm.factor_intensidad  / 60,
 _xlpm.kcals_kg_descan, _xlpm.min_descan *  1.5 / 60,
 _xlpm.kcals_kg_trabajo + _xlpm.kcals_kg_descan
))</f>
        <v>#REF!</v>
      </c>
      <c r="X3" s="145"/>
      <c r="Y3" s="148"/>
      <c r="Z3" s="148"/>
      <c r="AA3" s="147"/>
      <c r="AB3" s="148"/>
      <c r="AC3" s="148"/>
      <c r="AD3" s="156" t="e">
        <f t="array" ref="AD3:AD100">IF(ISBLANK($B3:$B100),"", _xlfn.LET(
 _xlpm.met, _xlfn.XLOOKUP(X3:X100, Actividad_data!#REF!, Actividad_data!$F$2:$F$100,""),
 _xlpm.factor_intensidad, IFERROR(0.7 + 0.8 * (AA3:AA100 / (AA3:AA100 * (1 + Z3:Z100 / 30))),1),
 _xlpm.min_trabajo, Y3:Y100 * Z3:Z100 * IF(AB3:AB100="",#REF!,AB3:AB100) / 60,
 _xlpm.min_descan, (Y3:Y100 - 1) * IF(AC3:AC100="",#REF!,AC3:AC100) / 60,
 _xlpm.kcals_kg_trabajo, _xlpm.min_trabajo * _xlpm.met * _xlpm.factor_intensidad  / 60,
 _xlpm.kcals_kg_descan, _xlpm.min_descan *  1.5 / 60,
 _xlpm.kcals_kg_trabajo + _xlpm.kcals_kg_descan
))</f>
        <v>#REF!</v>
      </c>
      <c r="AE3" s="145"/>
      <c r="AF3" s="148"/>
      <c r="AG3" s="148"/>
      <c r="AH3" s="147"/>
      <c r="AI3" s="148"/>
      <c r="AJ3" s="148"/>
      <c r="AK3" s="156" t="e">
        <f t="array" ref="AK3:AK100">IF(ISBLANK($B3:$B100),"", _xlfn.LET(
 _xlpm.met, _xlfn.XLOOKUP(AE3:AE100, Actividad_data!#REF!, Actividad_data!$F$2:$F$100,""),
 _xlpm.factor_intensidad, IFERROR(0.7 + 0.8 * (AH3:AH100 / (AH3:AH100 * (1 + AG3:AG100 / 30))),1),
 _xlpm.min_trabajo, AF3:AF100 * AG3:AG100 * IF(AI3:AI100="",#REF!,AI3:AI100) / 60,
 _xlpm.min_descan, (AF3:AF100 - 1) * IF(AJ3:AJ100="",#REF!,AJ3:AJ100) / 60,
 _xlpm.kcals_kg_trabajo, _xlpm.min_trabajo * _xlpm.met * _xlpm.factor_intensidad  / 60,
 _xlpm.kcals_kg_descan, _xlpm.min_descan *  1.5 / 60,
 _xlpm.kcals_kg_trabajo + _xlpm.kcals_kg_descan
))</f>
        <v>#REF!</v>
      </c>
      <c r="AL3" s="145"/>
      <c r="AM3" s="148"/>
      <c r="AN3" s="148"/>
      <c r="AO3" s="147"/>
      <c r="AP3" s="148"/>
      <c r="AQ3" s="148"/>
      <c r="AR3" s="156" t="e">
        <f t="array" ref="AR3:AR100">IF(ISBLANK($B3:$B100),"", _xlfn.LET(
 _xlpm.met, _xlfn.XLOOKUP(AL3:AL100, Actividad_data!#REF!, Actividad_data!$F$2:$F$100,""),
 _xlpm.factor_intensidad, IFERROR(0.7 + 0.8 * (AO3:AO100 / (AO3:AO100 * (1 + AN3:AN100 / 30))),1),
 _xlpm.min_trabajo, AM3:AM100 * AN3:AN100 * IF(AP3:AP100="",#REF!,AP3:AP100) / 60,
 _xlpm.min_descan, (AM3:AM100 - 1) * IF(AQ3:AQ100="",#REF!,AQ3:AQ100) / 60,
 _xlpm.kcals_kg_trabajo, _xlpm.min_trabajo * _xlpm.met * _xlpm.factor_intensidad  / 60,
 _xlpm.kcals_kg_descan, _xlpm.min_descan *  1.5 / 60,
 _xlpm.kcals_kg_trabajo + _xlpm.kcals_kg_descan
))</f>
        <v>#REF!</v>
      </c>
      <c r="AS3" s="145"/>
      <c r="AT3" s="148"/>
      <c r="AU3" s="148"/>
      <c r="AV3" s="147"/>
      <c r="AW3" s="148"/>
      <c r="AX3" s="148"/>
      <c r="AY3" s="156" t="e">
        <f t="array" ref="AY3:AY100">IF(ISBLANK($B3:$B100),"", _xlfn.LET(
 _xlpm.met, _xlfn.XLOOKUP(AS3:AS100, Actividad_data!#REF!, Actividad_data!$F$2:$F$100,""),
 _xlpm.factor_intensidad, IFERROR(0.7 + 0.8 * (AV3:AV100 / (AV3:AV100 * (1 + AU3:AU100 / 30))),1),
 _xlpm.min_trabajo, AT3:AT100 * AU3:AU100 * IF(AW3:AW100="",#REF!,AW3:AW100) / 60,
 _xlpm.min_descan, (AT3:AT100 - 1) * IF(AX3:AX100="",#REF!,AX3:AX100) / 60,
 _xlpm.kcals_kg_trabajo, _xlpm.min_trabajo * _xlpm.met * _xlpm.factor_intensidad  / 60,
 _xlpm.kcals_kg_descan, _xlpm.min_descan *  1.5 / 60,
 _xlpm.kcals_kg_trabajo + _xlpm.kcals_kg_descan
))</f>
        <v>#REF!</v>
      </c>
      <c r="AZ3" s="145"/>
      <c r="BA3" s="148"/>
      <c r="BB3" s="148"/>
      <c r="BC3" s="147"/>
      <c r="BD3" s="148"/>
      <c r="BE3" s="148"/>
      <c r="BF3" s="156" t="e">
        <f t="array" ref="BF3:BF100">IF(ISBLANK($B3:$B100),"", _xlfn.LET(
 _xlpm.met, _xlfn.XLOOKUP(AZ3:AZ100, Actividad_data!#REF!, Actividad_data!$F$2:$F$100,""),
 _xlpm.factor_intensidad, IFERROR(0.7 + 0.8 * (BC3:BC100 / (BC3:BC100 * (1 + BB3:BB100 / 30))),1),
 _xlpm.min_trabajo, BA3:BA100 * BB3:BB100 * IF(BD3:BD100="",#REF!,BD3:BD100) / 60,
 _xlpm.min_descan, (BA3:BA100 - 1) * IF(BE3:BE100="",#REF!,BE3:BE100) / 60,
 _xlpm.kcals_kg_trabajo, _xlpm.min_trabajo * _xlpm.met * _xlpm.factor_intensidad  / 60,
 _xlpm.kcals_kg_descan, _xlpm.min_descan *  1.5 / 60,
 _xlpm.kcals_kg_trabajo + _xlpm.kcals_kg_descan
))</f>
        <v>#REF!</v>
      </c>
      <c r="BG3" s="145"/>
      <c r="BH3" s="148"/>
      <c r="BI3" s="148"/>
      <c r="BJ3" s="147"/>
      <c r="BK3" s="148"/>
      <c r="BL3" s="148"/>
      <c r="BM3" s="156" t="e">
        <f t="array" ref="BM3:BM100">IF(ISBLANK($B3:$B100),"", _xlfn.LET(
 _xlpm.met, _xlfn.XLOOKUP(BG3:BG100, Actividad_data!#REF!, Actividad_data!$F$2:$F$100,""),
 _xlpm.factor_intensidad, IFERROR(0.7 + 0.8 * (BJ3:BJ100 / (BJ3:BJ100 * (1 + BI3:BI100 / 30))),1),
 _xlpm.min_trabajo, BH3:BH100 * BI3:BI100 * IF(BK3:BK100="",#REF!,BK3:BK100) / 60,
 _xlpm.min_descan, (BH3:BH100 - 1) * IF(BL3:BL100="",#REF!,BL3:BL100) / 60,
 _xlpm.kcals_kg_trabajo, _xlpm.min_trabajo * _xlpm.met * _xlpm.factor_intensidad  / 60,
 _xlpm.kcals_kg_descan, _xlpm.min_descan *  1.5 / 60,
 _xlpm.kcals_kg_trabajo + _xlpm.kcals_kg_descan
))</f>
        <v>#REF!</v>
      </c>
      <c r="BN3" s="145"/>
      <c r="BO3" s="146"/>
      <c r="BP3" s="146"/>
      <c r="BQ3" s="147"/>
      <c r="BR3" s="148"/>
      <c r="BS3" s="148"/>
      <c r="BT3" s="156" t="e">
        <f t="array" ref="BT3:BT100">IF(ISBLANK($B3:$B100),"", _xlfn.LET(
 _xlpm.met, _xlfn.XLOOKUP(BN3:BN100, Actividad_data!#REF!, Actividad_data!$F$2:$F$100,""),
 _xlpm.factor_intensidad, IFERROR(0.7 + 0.8 * (BQ3:BQ100 / (BQ3:BQ100 * (1 + BP3:BP100 / 30))),1),
 _xlpm.min_trabajo, BO3:BO100 * BP3:BP100 * IF(BR3:BR100="",#REF!,BR3:BR100) / 60,
 _xlpm.min_descan, (BO3:BO100 - 1) * IF(BS3:BS100="",#REF!,BS3:BS100) / 60,
 _xlpm.kcals_kg_trabajo, _xlpm.min_trabajo * _xlpm.met * _xlpm.factor_intensidad  / 60,
 _xlpm.kcals_kg_descan, _xlpm.min_descan *  1.5 / 60,
 _xlpm.kcals_kg_trabajo + _xlpm.kcals_kg_descan
))</f>
        <v>#REF!</v>
      </c>
      <c r="BU3" s="149" t="e">
        <f t="array" ref="BU3:BU100">IF(ISBLANK($B3:$B100),"", I3:I100 + P3:P100 + W3:W100 + AD3:AD100 + AK3:AK100 + AR3:AR100 + AY3:AY100 + BF3:BF100 + BM3:BM100 + BT3:BT100)</f>
        <v>#REF!</v>
      </c>
      <c r="BV3" s="136" t="e">
        <f t="shared" ref="BV3:BV5" si="0">ROUND(BU3 * $BV$1,0)</f>
        <v>#REF!</v>
      </c>
    </row>
    <row r="4" spans="1:74">
      <c r="A4" s="139" t="s">
        <v>915</v>
      </c>
      <c r="B4" s="166" t="s">
        <v>530</v>
      </c>
      <c r="C4" s="140"/>
      <c r="D4" s="141" t="s">
        <v>142</v>
      </c>
      <c r="E4" s="142">
        <v>1</v>
      </c>
      <c r="F4" s="142">
        <v>1</v>
      </c>
      <c r="G4" s="143"/>
      <c r="H4" s="144">
        <v>360</v>
      </c>
      <c r="I4" s="150" t="e">
        <v>#DIV/0!</v>
      </c>
      <c r="J4" s="141" t="s">
        <v>140</v>
      </c>
      <c r="K4" s="142">
        <v>1</v>
      </c>
      <c r="L4" s="142">
        <v>1</v>
      </c>
      <c r="M4" s="143"/>
      <c r="N4" s="144">
        <v>480</v>
      </c>
      <c r="O4" s="144"/>
      <c r="P4" s="150" t="e">
        <v>#REF!</v>
      </c>
      <c r="Q4" s="141"/>
      <c r="R4" s="142"/>
      <c r="S4" s="142"/>
      <c r="T4" s="143"/>
      <c r="U4" s="144"/>
      <c r="V4" s="144"/>
      <c r="W4" s="150" t="e">
        <v>#REF!</v>
      </c>
      <c r="X4" s="145"/>
      <c r="Y4" s="146"/>
      <c r="Z4" s="146"/>
      <c r="AA4" s="147"/>
      <c r="AB4" s="148"/>
      <c r="AC4" s="148"/>
      <c r="AD4" s="150" t="e">
        <v>#REF!</v>
      </c>
      <c r="AE4" s="145"/>
      <c r="AF4" s="146"/>
      <c r="AG4" s="146"/>
      <c r="AH4" s="147"/>
      <c r="AI4" s="148"/>
      <c r="AJ4" s="148"/>
      <c r="AK4" s="150" t="e">
        <v>#REF!</v>
      </c>
      <c r="AL4" s="145"/>
      <c r="AM4" s="146"/>
      <c r="AN4" s="146"/>
      <c r="AO4" s="147"/>
      <c r="AP4" s="148"/>
      <c r="AQ4" s="148"/>
      <c r="AR4" s="150" t="e">
        <v>#REF!</v>
      </c>
      <c r="AS4" s="145"/>
      <c r="AT4" s="146"/>
      <c r="AU4" s="146"/>
      <c r="AV4" s="147"/>
      <c r="AW4" s="148"/>
      <c r="AX4" s="148"/>
      <c r="AY4" s="150" t="e">
        <v>#REF!</v>
      </c>
      <c r="AZ4" s="145"/>
      <c r="BA4" s="146"/>
      <c r="BB4" s="146"/>
      <c r="BC4" s="147"/>
      <c r="BD4" s="148"/>
      <c r="BE4" s="148"/>
      <c r="BF4" s="150" t="e">
        <v>#REF!</v>
      </c>
      <c r="BG4" s="145"/>
      <c r="BH4" s="146"/>
      <c r="BI4" s="146"/>
      <c r="BJ4" s="147"/>
      <c r="BK4" s="148"/>
      <c r="BL4" s="148"/>
      <c r="BM4" s="150" t="e">
        <v>#REF!</v>
      </c>
      <c r="BN4" s="145"/>
      <c r="BO4" s="146"/>
      <c r="BP4" s="146"/>
      <c r="BQ4" s="147"/>
      <c r="BR4" s="148"/>
      <c r="BS4" s="148"/>
      <c r="BT4" s="150" t="e">
        <v>#REF!</v>
      </c>
      <c r="BU4" s="151" t="e">
        <v>#DIV/0!</v>
      </c>
      <c r="BV4" s="136" t="e">
        <f t="shared" si="0"/>
        <v>#DIV/0!</v>
      </c>
    </row>
    <row r="5" spans="1:74">
      <c r="A5" s="139" t="s">
        <v>915</v>
      </c>
      <c r="B5" s="166" t="s">
        <v>192</v>
      </c>
      <c r="C5" s="140"/>
      <c r="D5" s="141" t="s">
        <v>124</v>
      </c>
      <c r="E5" s="142">
        <v>1</v>
      </c>
      <c r="F5" s="142">
        <v>1</v>
      </c>
      <c r="G5" s="143">
        <v>8000</v>
      </c>
      <c r="H5" s="144">
        <v>100</v>
      </c>
      <c r="I5" s="150" t="e">
        <v>#REF!</v>
      </c>
      <c r="J5" s="141"/>
      <c r="K5" s="142"/>
      <c r="L5" s="142"/>
      <c r="M5" s="143"/>
      <c r="N5" s="144"/>
      <c r="O5" s="144"/>
      <c r="P5" s="150" t="e">
        <v>#REF!</v>
      </c>
      <c r="Q5" s="141"/>
      <c r="R5" s="142"/>
      <c r="S5" s="142"/>
      <c r="T5" s="143"/>
      <c r="U5" s="144"/>
      <c r="V5" s="144"/>
      <c r="W5" s="150" t="e">
        <v>#REF!</v>
      </c>
      <c r="X5" s="145"/>
      <c r="Y5" s="146"/>
      <c r="Z5" s="146"/>
      <c r="AA5" s="147"/>
      <c r="AB5" s="148"/>
      <c r="AC5" s="148"/>
      <c r="AD5" s="150" t="e">
        <v>#REF!</v>
      </c>
      <c r="AE5" s="145"/>
      <c r="AF5" s="146"/>
      <c r="AG5" s="146"/>
      <c r="AH5" s="147"/>
      <c r="AI5" s="148"/>
      <c r="AJ5" s="148"/>
      <c r="AK5" s="150" t="e">
        <v>#REF!</v>
      </c>
      <c r="AL5" s="145"/>
      <c r="AM5" s="146"/>
      <c r="AN5" s="146"/>
      <c r="AO5" s="147"/>
      <c r="AP5" s="148"/>
      <c r="AQ5" s="148"/>
      <c r="AR5" s="150" t="e">
        <v>#REF!</v>
      </c>
      <c r="AS5" s="145"/>
      <c r="AT5" s="146"/>
      <c r="AU5" s="146"/>
      <c r="AV5" s="147"/>
      <c r="AW5" s="148"/>
      <c r="AX5" s="148"/>
      <c r="AY5" s="150" t="e">
        <v>#REF!</v>
      </c>
      <c r="AZ5" s="145"/>
      <c r="BA5" s="146"/>
      <c r="BB5" s="146"/>
      <c r="BC5" s="147"/>
      <c r="BD5" s="148"/>
      <c r="BE5" s="148"/>
      <c r="BF5" s="150" t="e">
        <v>#REF!</v>
      </c>
      <c r="BG5" s="145"/>
      <c r="BH5" s="146"/>
      <c r="BI5" s="146"/>
      <c r="BJ5" s="147"/>
      <c r="BK5" s="148"/>
      <c r="BL5" s="148"/>
      <c r="BM5" s="150" t="e">
        <v>#REF!</v>
      </c>
      <c r="BN5" s="145"/>
      <c r="BO5" s="146"/>
      <c r="BP5" s="146"/>
      <c r="BQ5" s="147"/>
      <c r="BR5" s="148"/>
      <c r="BS5" s="148"/>
      <c r="BT5" s="150" t="e">
        <v>#REF!</v>
      </c>
      <c r="BU5" s="151" t="e">
        <v>#REF!</v>
      </c>
      <c r="BV5" s="136" t="e">
        <f t="shared" si="0"/>
        <v>#REF!</v>
      </c>
    </row>
    <row r="6" spans="1:74">
      <c r="A6" s="139" t="s">
        <v>915</v>
      </c>
      <c r="B6" s="166" t="s">
        <v>76</v>
      </c>
      <c r="C6" s="140"/>
      <c r="D6" s="141" t="s">
        <v>92</v>
      </c>
      <c r="E6" s="142">
        <v>4</v>
      </c>
      <c r="F6" s="142">
        <v>8</v>
      </c>
      <c r="G6" s="143">
        <v>30</v>
      </c>
      <c r="H6" s="144">
        <v>4</v>
      </c>
      <c r="I6" s="150" t="e">
        <v>#REF!</v>
      </c>
      <c r="J6" s="141" t="s">
        <v>98</v>
      </c>
      <c r="K6" s="142">
        <v>4</v>
      </c>
      <c r="L6" s="142">
        <v>10</v>
      </c>
      <c r="M6" s="143">
        <v>30</v>
      </c>
      <c r="N6" s="144">
        <v>4</v>
      </c>
      <c r="O6" s="144">
        <v>90</v>
      </c>
      <c r="P6" s="150" t="e">
        <v>#REF!</v>
      </c>
      <c r="Q6" s="141" t="s">
        <v>101</v>
      </c>
      <c r="R6" s="142">
        <v>3</v>
      </c>
      <c r="S6" s="142">
        <v>9</v>
      </c>
      <c r="T6" s="143">
        <v>20</v>
      </c>
      <c r="U6" s="144">
        <v>4</v>
      </c>
      <c r="V6" s="144">
        <v>90</v>
      </c>
      <c r="W6" s="150" t="e">
        <v>#REF!</v>
      </c>
      <c r="X6" s="145" t="s">
        <v>106</v>
      </c>
      <c r="Y6" s="146">
        <v>4</v>
      </c>
      <c r="Z6" s="146">
        <v>8</v>
      </c>
      <c r="AA6" s="147">
        <v>40</v>
      </c>
      <c r="AB6" s="148">
        <v>5</v>
      </c>
      <c r="AC6" s="148">
        <v>120</v>
      </c>
      <c r="AD6" s="150" t="e">
        <v>#REF!</v>
      </c>
      <c r="AE6" s="145" t="s">
        <v>109</v>
      </c>
      <c r="AF6" s="146">
        <v>3</v>
      </c>
      <c r="AG6" s="146">
        <v>10</v>
      </c>
      <c r="AH6" s="147">
        <v>40</v>
      </c>
      <c r="AI6" s="148">
        <v>4</v>
      </c>
      <c r="AJ6" s="148">
        <v>120</v>
      </c>
      <c r="AK6" s="150" t="e">
        <v>#REF!</v>
      </c>
      <c r="AL6" s="145" t="s">
        <v>113</v>
      </c>
      <c r="AM6" s="146">
        <v>3</v>
      </c>
      <c r="AN6" s="146">
        <v>13</v>
      </c>
      <c r="AO6" s="147">
        <v>30</v>
      </c>
      <c r="AP6" s="148">
        <v>3</v>
      </c>
      <c r="AQ6" s="148">
        <v>60</v>
      </c>
      <c r="AR6" s="150" t="e">
        <v>#REF!</v>
      </c>
      <c r="AS6" s="145" t="s">
        <v>115</v>
      </c>
      <c r="AT6" s="146">
        <v>1</v>
      </c>
      <c r="AU6" s="146">
        <v>1</v>
      </c>
      <c r="AV6" s="147"/>
      <c r="AW6" s="148">
        <v>180</v>
      </c>
      <c r="AX6" s="148"/>
      <c r="AY6" s="150" t="e">
        <v>#REF!</v>
      </c>
      <c r="AZ6" s="145" t="s">
        <v>117</v>
      </c>
      <c r="BA6" s="146">
        <v>3</v>
      </c>
      <c r="BB6" s="146">
        <v>16</v>
      </c>
      <c r="BC6" s="147"/>
      <c r="BD6" s="148">
        <v>2</v>
      </c>
      <c r="BE6" s="148">
        <v>45</v>
      </c>
      <c r="BF6" s="150" t="e">
        <v>#REF!</v>
      </c>
      <c r="BG6" s="145" t="s">
        <v>142</v>
      </c>
      <c r="BH6" s="146">
        <v>1</v>
      </c>
      <c r="BI6" s="146">
        <v>1</v>
      </c>
      <c r="BJ6" s="147"/>
      <c r="BK6" s="148">
        <v>360</v>
      </c>
      <c r="BL6" s="148"/>
      <c r="BM6" s="150" t="e">
        <v>#REF!</v>
      </c>
      <c r="BN6" s="145" t="s">
        <v>140</v>
      </c>
      <c r="BO6" s="146">
        <v>1</v>
      </c>
      <c r="BP6" s="146">
        <v>1</v>
      </c>
      <c r="BQ6" s="147"/>
      <c r="BR6" s="148">
        <v>240</v>
      </c>
      <c r="BS6" s="148"/>
      <c r="BT6" s="150" t="e">
        <v>#REF!</v>
      </c>
      <c r="BU6" s="151" t="e">
        <v>#REF!</v>
      </c>
      <c r="BV6" s="136" t="e">
        <f t="shared" ref="BV6:BV8" si="1">ROUND(BU6 * $BV$1,0)</f>
        <v>#REF!</v>
      </c>
    </row>
    <row r="7" spans="1:74">
      <c r="A7" s="139" t="s">
        <v>915</v>
      </c>
      <c r="B7" s="166" t="s">
        <v>79</v>
      </c>
      <c r="C7" s="140"/>
      <c r="D7" s="141" t="s">
        <v>93</v>
      </c>
      <c r="E7" s="142">
        <v>4</v>
      </c>
      <c r="F7" s="142">
        <v>8</v>
      </c>
      <c r="G7" s="143">
        <v>30</v>
      </c>
      <c r="H7" s="144">
        <v>4</v>
      </c>
      <c r="I7" s="150" t="e">
        <v>#REF!</v>
      </c>
      <c r="J7" s="141" t="s">
        <v>99</v>
      </c>
      <c r="K7" s="142">
        <v>3</v>
      </c>
      <c r="L7" s="142">
        <v>10</v>
      </c>
      <c r="M7" s="143">
        <v>20</v>
      </c>
      <c r="N7" s="144">
        <v>4</v>
      </c>
      <c r="O7" s="144">
        <v>90</v>
      </c>
      <c r="P7" s="150" t="e">
        <v>#REF!</v>
      </c>
      <c r="Q7" s="145" t="s">
        <v>101</v>
      </c>
      <c r="R7" s="146">
        <v>3</v>
      </c>
      <c r="S7" s="146">
        <v>9</v>
      </c>
      <c r="T7" s="147">
        <v>20</v>
      </c>
      <c r="U7" s="148">
        <v>4</v>
      </c>
      <c r="V7" s="148">
        <v>90</v>
      </c>
      <c r="W7" s="150" t="e">
        <v>#REF!</v>
      </c>
      <c r="X7" s="145" t="s">
        <v>102</v>
      </c>
      <c r="Y7" s="146">
        <v>3</v>
      </c>
      <c r="Z7" s="146">
        <v>13</v>
      </c>
      <c r="AA7" s="147">
        <v>8</v>
      </c>
      <c r="AB7" s="148">
        <v>3</v>
      </c>
      <c r="AC7" s="148">
        <v>60</v>
      </c>
      <c r="AD7" s="150" t="e">
        <v>#REF!</v>
      </c>
      <c r="AE7" s="145" t="s">
        <v>103</v>
      </c>
      <c r="AF7" s="146">
        <v>3</v>
      </c>
      <c r="AG7" s="146">
        <v>11</v>
      </c>
      <c r="AH7" s="147">
        <v>10</v>
      </c>
      <c r="AI7" s="148">
        <v>3</v>
      </c>
      <c r="AJ7" s="148">
        <v>60</v>
      </c>
      <c r="AK7" s="150" t="e">
        <v>#REF!</v>
      </c>
      <c r="AL7" s="145" t="s">
        <v>105</v>
      </c>
      <c r="AM7" s="146">
        <v>3</v>
      </c>
      <c r="AN7" s="146">
        <v>11</v>
      </c>
      <c r="AO7" s="147">
        <v>15</v>
      </c>
      <c r="AP7" s="148">
        <v>3</v>
      </c>
      <c r="AQ7" s="148">
        <v>60</v>
      </c>
      <c r="AR7" s="150" t="e">
        <v>#REF!</v>
      </c>
      <c r="AS7" s="145" t="s">
        <v>116</v>
      </c>
      <c r="AT7" s="146">
        <v>1</v>
      </c>
      <c r="AU7" s="146">
        <v>1</v>
      </c>
      <c r="AV7" s="147"/>
      <c r="AW7" s="148">
        <v>240</v>
      </c>
      <c r="AX7" s="148"/>
      <c r="AY7" s="150" t="e">
        <v>#REF!</v>
      </c>
      <c r="AZ7" s="145" t="s">
        <v>119</v>
      </c>
      <c r="BA7" s="146">
        <v>3</v>
      </c>
      <c r="BB7" s="146">
        <v>20</v>
      </c>
      <c r="BC7" s="147">
        <v>5</v>
      </c>
      <c r="BD7" s="148">
        <v>2</v>
      </c>
      <c r="BE7" s="148">
        <v>45</v>
      </c>
      <c r="BF7" s="150" t="e">
        <v>#REF!</v>
      </c>
      <c r="BG7" s="145" t="s">
        <v>142</v>
      </c>
      <c r="BH7" s="146">
        <v>1</v>
      </c>
      <c r="BI7" s="146">
        <v>1</v>
      </c>
      <c r="BJ7" s="147"/>
      <c r="BK7" s="148">
        <v>360</v>
      </c>
      <c r="BL7" s="148"/>
      <c r="BM7" s="150" t="e">
        <v>#REF!</v>
      </c>
      <c r="BN7" s="145" t="s">
        <v>140</v>
      </c>
      <c r="BO7" s="146">
        <v>1</v>
      </c>
      <c r="BP7" s="146">
        <v>1</v>
      </c>
      <c r="BQ7" s="147"/>
      <c r="BR7" s="148">
        <v>240</v>
      </c>
      <c r="BS7" s="148"/>
      <c r="BT7" s="150" t="e">
        <v>#REF!</v>
      </c>
      <c r="BU7" s="151" t="e">
        <v>#REF!</v>
      </c>
      <c r="BV7" s="136" t="e">
        <f t="shared" si="1"/>
        <v>#REF!</v>
      </c>
    </row>
    <row r="8" spans="1:74">
      <c r="A8" s="139" t="s">
        <v>915</v>
      </c>
      <c r="B8" s="166" t="s">
        <v>83</v>
      </c>
      <c r="C8" s="140"/>
      <c r="D8" s="141" t="s">
        <v>107</v>
      </c>
      <c r="E8" s="142">
        <v>4</v>
      </c>
      <c r="F8" s="142">
        <v>10</v>
      </c>
      <c r="G8" s="143">
        <v>20</v>
      </c>
      <c r="H8" s="144">
        <v>4</v>
      </c>
      <c r="I8" s="150" t="e">
        <v>#REF!</v>
      </c>
      <c r="J8" s="141" t="s">
        <v>108</v>
      </c>
      <c r="K8" s="142">
        <v>4</v>
      </c>
      <c r="L8" s="142">
        <v>7</v>
      </c>
      <c r="M8" s="143">
        <v>50</v>
      </c>
      <c r="N8" s="144">
        <v>5</v>
      </c>
      <c r="O8" s="144">
        <v>150</v>
      </c>
      <c r="P8" s="150" t="e">
        <v>#REF!</v>
      </c>
      <c r="Q8" s="141" t="s">
        <v>110</v>
      </c>
      <c r="R8" s="142">
        <v>3</v>
      </c>
      <c r="S8" s="142">
        <v>11</v>
      </c>
      <c r="T8" s="143">
        <v>12</v>
      </c>
      <c r="U8" s="144">
        <v>4</v>
      </c>
      <c r="V8" s="144">
        <v>90</v>
      </c>
      <c r="W8" s="150" t="e">
        <v>#REF!</v>
      </c>
      <c r="X8" s="145" t="s">
        <v>112</v>
      </c>
      <c r="Y8" s="146">
        <v>3</v>
      </c>
      <c r="Z8" s="146">
        <v>10</v>
      </c>
      <c r="AA8" s="143">
        <v>40</v>
      </c>
      <c r="AB8" s="144">
        <v>4</v>
      </c>
      <c r="AC8" s="144">
        <v>120</v>
      </c>
      <c r="AD8" s="150" t="e">
        <v>#REF!</v>
      </c>
      <c r="AE8" s="145" t="s">
        <v>111</v>
      </c>
      <c r="AF8" s="146">
        <v>3</v>
      </c>
      <c r="AG8" s="146">
        <v>11</v>
      </c>
      <c r="AH8" s="143">
        <v>80</v>
      </c>
      <c r="AI8" s="144">
        <v>4</v>
      </c>
      <c r="AJ8" s="144">
        <v>120</v>
      </c>
      <c r="AK8" s="150" t="e">
        <v>#REF!</v>
      </c>
      <c r="AL8" s="145" t="s">
        <v>113</v>
      </c>
      <c r="AM8" s="146">
        <v>3</v>
      </c>
      <c r="AN8" s="146">
        <v>13</v>
      </c>
      <c r="AO8" s="143">
        <v>30</v>
      </c>
      <c r="AP8" s="144">
        <v>3</v>
      </c>
      <c r="AQ8" s="144">
        <v>60</v>
      </c>
      <c r="AR8" s="150" t="e">
        <v>#REF!</v>
      </c>
      <c r="AS8" s="145" t="s">
        <v>115</v>
      </c>
      <c r="AT8" s="146">
        <v>1</v>
      </c>
      <c r="AU8" s="146">
        <v>1</v>
      </c>
      <c r="AV8" s="147"/>
      <c r="AW8" s="148">
        <v>180</v>
      </c>
      <c r="AX8" s="148"/>
      <c r="AY8" s="150" t="e">
        <v>#REF!</v>
      </c>
      <c r="AZ8" s="145" t="s">
        <v>118</v>
      </c>
      <c r="BA8" s="146">
        <v>3</v>
      </c>
      <c r="BB8" s="146">
        <v>13</v>
      </c>
      <c r="BC8" s="147"/>
      <c r="BD8" s="148">
        <v>2</v>
      </c>
      <c r="BE8" s="148">
        <v>45</v>
      </c>
      <c r="BF8" s="150" t="e">
        <v>#REF!</v>
      </c>
      <c r="BG8" s="145" t="s">
        <v>142</v>
      </c>
      <c r="BH8" s="146">
        <v>1</v>
      </c>
      <c r="BI8" s="146">
        <v>1</v>
      </c>
      <c r="BJ8" s="147"/>
      <c r="BK8" s="148">
        <v>360</v>
      </c>
      <c r="BL8" s="148"/>
      <c r="BM8" s="150" t="e">
        <v>#REF!</v>
      </c>
      <c r="BN8" s="145" t="s">
        <v>140</v>
      </c>
      <c r="BO8" s="146">
        <v>1</v>
      </c>
      <c r="BP8" s="146">
        <v>1</v>
      </c>
      <c r="BQ8" s="147"/>
      <c r="BR8" s="148">
        <v>240</v>
      </c>
      <c r="BS8" s="148"/>
      <c r="BT8" s="150" t="e">
        <v>#REF!</v>
      </c>
      <c r="BU8" s="151" t="e">
        <v>#REF!</v>
      </c>
      <c r="BV8" s="136" t="e">
        <f t="shared" si="1"/>
        <v>#REF!</v>
      </c>
    </row>
    <row r="9" spans="1:74">
      <c r="A9" s="139"/>
      <c r="C9" s="140"/>
      <c r="D9" s="141"/>
      <c r="E9" s="142"/>
      <c r="F9" s="142"/>
      <c r="G9" s="143"/>
      <c r="H9" s="144"/>
      <c r="I9" s="150" t="str">
        <v/>
      </c>
      <c r="J9" s="141"/>
      <c r="K9" s="142"/>
      <c r="L9" s="142"/>
      <c r="M9" s="143"/>
      <c r="N9" s="144"/>
      <c r="O9" s="144"/>
      <c r="P9" s="150" t="str">
        <v/>
      </c>
      <c r="Q9" s="141"/>
      <c r="R9" s="142"/>
      <c r="S9" s="142"/>
      <c r="T9" s="143"/>
      <c r="U9" s="144"/>
      <c r="V9" s="144"/>
      <c r="W9" s="150" t="str">
        <v/>
      </c>
      <c r="X9" s="145"/>
      <c r="Y9" s="146"/>
      <c r="Z9" s="146"/>
      <c r="AA9" s="147"/>
      <c r="AB9" s="148"/>
      <c r="AC9" s="148"/>
      <c r="AD9" s="150" t="str">
        <v/>
      </c>
      <c r="AE9" s="145"/>
      <c r="AF9" s="146"/>
      <c r="AG9" s="146"/>
      <c r="AH9" s="147"/>
      <c r="AI9" s="148"/>
      <c r="AJ9" s="148"/>
      <c r="AK9" s="150" t="str">
        <v/>
      </c>
      <c r="AL9" s="145"/>
      <c r="AM9" s="146"/>
      <c r="AN9" s="146"/>
      <c r="AO9" s="147"/>
      <c r="AP9" s="148"/>
      <c r="AQ9" s="148"/>
      <c r="AR9" s="150" t="str">
        <v/>
      </c>
      <c r="AS9" s="145"/>
      <c r="AT9" s="146"/>
      <c r="AU9" s="146"/>
      <c r="AV9" s="147"/>
      <c r="AW9" s="148"/>
      <c r="AX9" s="148"/>
      <c r="AY9" s="150" t="str">
        <v/>
      </c>
      <c r="AZ9" s="145"/>
      <c r="BA9" s="146"/>
      <c r="BB9" s="146"/>
      <c r="BC9" s="147"/>
      <c r="BD9" s="148"/>
      <c r="BE9" s="148"/>
      <c r="BF9" s="150" t="str">
        <v/>
      </c>
      <c r="BG9" s="145"/>
      <c r="BH9" s="146"/>
      <c r="BI9" s="146"/>
      <c r="BJ9" s="147"/>
      <c r="BK9" s="148"/>
      <c r="BL9" s="148"/>
      <c r="BM9" s="150" t="str">
        <v/>
      </c>
      <c r="BN9" s="145"/>
      <c r="BO9" s="146"/>
      <c r="BP9" s="146"/>
      <c r="BQ9" s="147"/>
      <c r="BR9" s="148"/>
      <c r="BS9" s="148"/>
      <c r="BT9" s="150" t="str">
        <v/>
      </c>
      <c r="BU9" s="151" t="str">
        <v/>
      </c>
      <c r="BV9" s="136"/>
    </row>
    <row r="10" spans="1:74">
      <c r="A10" s="139"/>
      <c r="C10" s="140"/>
      <c r="D10" s="141"/>
      <c r="E10" s="142"/>
      <c r="F10" s="142"/>
      <c r="G10" s="143"/>
      <c r="H10" s="144"/>
      <c r="I10" s="150" t="str">
        <v/>
      </c>
      <c r="J10" s="141"/>
      <c r="K10" s="142"/>
      <c r="L10" s="142"/>
      <c r="M10" s="143"/>
      <c r="N10" s="144"/>
      <c r="O10" s="144"/>
      <c r="P10" s="150" t="str">
        <v/>
      </c>
      <c r="Q10" s="141"/>
      <c r="R10" s="142"/>
      <c r="S10" s="142"/>
      <c r="T10" s="143"/>
      <c r="U10" s="144"/>
      <c r="V10" s="144"/>
      <c r="W10" s="150" t="str">
        <v/>
      </c>
      <c r="X10" s="145"/>
      <c r="Y10" s="146"/>
      <c r="Z10" s="146"/>
      <c r="AA10" s="147"/>
      <c r="AB10" s="148"/>
      <c r="AC10" s="148"/>
      <c r="AD10" s="150" t="str">
        <v/>
      </c>
      <c r="AE10" s="145"/>
      <c r="AF10" s="146"/>
      <c r="AG10" s="146"/>
      <c r="AH10" s="147"/>
      <c r="AI10" s="148"/>
      <c r="AJ10" s="148"/>
      <c r="AK10" s="150" t="str">
        <v/>
      </c>
      <c r="AL10" s="145"/>
      <c r="AM10" s="146"/>
      <c r="AN10" s="146"/>
      <c r="AO10" s="147"/>
      <c r="AP10" s="148"/>
      <c r="AQ10" s="148"/>
      <c r="AR10" s="150" t="str">
        <v/>
      </c>
      <c r="AS10" s="145"/>
      <c r="AT10" s="146"/>
      <c r="AU10" s="146"/>
      <c r="AV10" s="147"/>
      <c r="AW10" s="148"/>
      <c r="AX10" s="148"/>
      <c r="AY10" s="150" t="str">
        <v/>
      </c>
      <c r="AZ10" s="145"/>
      <c r="BA10" s="146"/>
      <c r="BB10" s="146"/>
      <c r="BC10" s="147"/>
      <c r="BD10" s="148"/>
      <c r="BE10" s="148"/>
      <c r="BF10" s="150" t="str">
        <v/>
      </c>
      <c r="BG10" s="145"/>
      <c r="BH10" s="146"/>
      <c r="BI10" s="146"/>
      <c r="BJ10" s="147"/>
      <c r="BK10" s="148"/>
      <c r="BL10" s="148"/>
      <c r="BM10" s="150" t="str">
        <v/>
      </c>
      <c r="BN10" s="145"/>
      <c r="BO10" s="146"/>
      <c r="BP10" s="146"/>
      <c r="BQ10" s="147"/>
      <c r="BR10" s="148"/>
      <c r="BS10" s="148"/>
      <c r="BT10" s="150" t="str">
        <v/>
      </c>
      <c r="BU10" s="151" t="str">
        <v/>
      </c>
      <c r="BV10" s="136"/>
    </row>
    <row r="11" spans="1:74">
      <c r="A11" s="139"/>
      <c r="C11" s="140"/>
      <c r="D11" s="141"/>
      <c r="E11" s="142"/>
      <c r="F11" s="142"/>
      <c r="G11" s="143"/>
      <c r="H11" s="144"/>
      <c r="I11" s="150" t="str">
        <v/>
      </c>
      <c r="J11" s="141"/>
      <c r="K11" s="142"/>
      <c r="L11" s="142"/>
      <c r="M11" s="143"/>
      <c r="N11" s="144"/>
      <c r="O11" s="144"/>
      <c r="P11" s="150" t="str">
        <v/>
      </c>
      <c r="Q11" s="141"/>
      <c r="R11" s="142"/>
      <c r="S11" s="142"/>
      <c r="T11" s="143"/>
      <c r="U11" s="144"/>
      <c r="V11" s="144"/>
      <c r="W11" s="150" t="str">
        <v/>
      </c>
      <c r="X11" s="145"/>
      <c r="Y11" s="146"/>
      <c r="Z11" s="146"/>
      <c r="AA11" s="147"/>
      <c r="AB11" s="148"/>
      <c r="AC11" s="148"/>
      <c r="AD11" s="150" t="str">
        <v/>
      </c>
      <c r="AE11" s="145"/>
      <c r="AF11" s="146"/>
      <c r="AG11" s="146"/>
      <c r="AH11" s="147"/>
      <c r="AI11" s="148"/>
      <c r="AJ11" s="148"/>
      <c r="AK11" s="150" t="str">
        <v/>
      </c>
      <c r="AL11" s="145"/>
      <c r="AM11" s="146"/>
      <c r="AN11" s="146"/>
      <c r="AO11" s="147"/>
      <c r="AP11" s="148"/>
      <c r="AQ11" s="148"/>
      <c r="AR11" s="150" t="str">
        <v/>
      </c>
      <c r="AS11" s="145"/>
      <c r="AT11" s="146"/>
      <c r="AU11" s="146"/>
      <c r="AV11" s="147"/>
      <c r="AW11" s="148"/>
      <c r="AX11" s="148"/>
      <c r="AY11" s="150" t="str">
        <v/>
      </c>
      <c r="AZ11" s="145"/>
      <c r="BA11" s="146"/>
      <c r="BB11" s="146"/>
      <c r="BC11" s="147"/>
      <c r="BD11" s="148"/>
      <c r="BE11" s="148"/>
      <c r="BF11" s="150" t="str">
        <v/>
      </c>
      <c r="BG11" s="145"/>
      <c r="BH11" s="146"/>
      <c r="BI11" s="146"/>
      <c r="BJ11" s="147"/>
      <c r="BK11" s="148"/>
      <c r="BL11" s="148"/>
      <c r="BM11" s="150" t="str">
        <v/>
      </c>
      <c r="BN11" s="145"/>
      <c r="BO11" s="146"/>
      <c r="BP11" s="146"/>
      <c r="BQ11" s="147"/>
      <c r="BR11" s="148"/>
      <c r="BS11" s="148"/>
      <c r="BT11" s="150" t="str">
        <v/>
      </c>
      <c r="BU11" s="151" t="str">
        <v/>
      </c>
      <c r="BV11" s="136"/>
    </row>
    <row r="12" spans="1:74">
      <c r="A12" s="139"/>
      <c r="C12" s="140"/>
      <c r="D12" s="141"/>
      <c r="E12" s="142"/>
      <c r="F12" s="142"/>
      <c r="G12" s="143"/>
      <c r="H12" s="144"/>
      <c r="I12" s="150" t="str">
        <v/>
      </c>
      <c r="J12" s="141"/>
      <c r="K12" s="142"/>
      <c r="L12" s="142"/>
      <c r="M12" s="143"/>
      <c r="N12" s="144"/>
      <c r="O12" s="144"/>
      <c r="P12" s="150" t="str">
        <v/>
      </c>
      <c r="Q12" s="141"/>
      <c r="R12" s="142"/>
      <c r="S12" s="142"/>
      <c r="T12" s="143"/>
      <c r="U12" s="144"/>
      <c r="V12" s="144"/>
      <c r="W12" s="150" t="str">
        <v/>
      </c>
      <c r="X12" s="145"/>
      <c r="Y12" s="146"/>
      <c r="Z12" s="146"/>
      <c r="AA12" s="147"/>
      <c r="AB12" s="148"/>
      <c r="AC12" s="148"/>
      <c r="AD12" s="150" t="str">
        <v/>
      </c>
      <c r="AE12" s="145"/>
      <c r="AF12" s="146"/>
      <c r="AG12" s="146"/>
      <c r="AH12" s="147"/>
      <c r="AI12" s="148"/>
      <c r="AJ12" s="148"/>
      <c r="AK12" s="150" t="str">
        <v/>
      </c>
      <c r="AL12" s="145"/>
      <c r="AM12" s="146"/>
      <c r="AN12" s="146"/>
      <c r="AO12" s="147"/>
      <c r="AP12" s="148"/>
      <c r="AQ12" s="148"/>
      <c r="AR12" s="150" t="str">
        <v/>
      </c>
      <c r="AS12" s="145"/>
      <c r="AT12" s="146"/>
      <c r="AU12" s="146"/>
      <c r="AV12" s="147"/>
      <c r="AW12" s="148"/>
      <c r="AX12" s="148"/>
      <c r="AY12" s="150" t="str">
        <v/>
      </c>
      <c r="AZ12" s="145"/>
      <c r="BA12" s="146"/>
      <c r="BB12" s="146"/>
      <c r="BC12" s="147"/>
      <c r="BD12" s="148"/>
      <c r="BE12" s="148"/>
      <c r="BF12" s="150" t="str">
        <v/>
      </c>
      <c r="BG12" s="145"/>
      <c r="BH12" s="146"/>
      <c r="BI12" s="146"/>
      <c r="BJ12" s="147"/>
      <c r="BK12" s="148"/>
      <c r="BL12" s="148"/>
      <c r="BM12" s="150" t="str">
        <v/>
      </c>
      <c r="BN12" s="145"/>
      <c r="BO12" s="146"/>
      <c r="BP12" s="146"/>
      <c r="BQ12" s="147"/>
      <c r="BR12" s="148"/>
      <c r="BS12" s="148"/>
      <c r="BT12" s="150" t="str">
        <v/>
      </c>
      <c r="BU12" s="151" t="str">
        <v/>
      </c>
      <c r="BV12" s="136"/>
    </row>
    <row r="13" spans="1:74">
      <c r="A13" s="139"/>
      <c r="C13" s="140"/>
      <c r="D13" s="141"/>
      <c r="E13" s="142"/>
      <c r="F13" s="142"/>
      <c r="G13" s="143"/>
      <c r="H13" s="144"/>
      <c r="I13" s="150" t="str">
        <v/>
      </c>
      <c r="J13" s="141"/>
      <c r="K13" s="142"/>
      <c r="L13" s="142"/>
      <c r="M13" s="143"/>
      <c r="N13" s="144"/>
      <c r="O13" s="144"/>
      <c r="P13" s="150" t="str">
        <v/>
      </c>
      <c r="Q13" s="141"/>
      <c r="R13" s="142"/>
      <c r="S13" s="142"/>
      <c r="T13" s="143"/>
      <c r="U13" s="144"/>
      <c r="V13" s="144"/>
      <c r="W13" s="150" t="str">
        <v/>
      </c>
      <c r="X13" s="145"/>
      <c r="Y13" s="146"/>
      <c r="Z13" s="146"/>
      <c r="AA13" s="147"/>
      <c r="AB13" s="148"/>
      <c r="AC13" s="148"/>
      <c r="AD13" s="150" t="str">
        <v/>
      </c>
      <c r="AE13" s="145"/>
      <c r="AF13" s="146"/>
      <c r="AG13" s="146"/>
      <c r="AH13" s="147"/>
      <c r="AI13" s="148"/>
      <c r="AJ13" s="148"/>
      <c r="AK13" s="150" t="str">
        <v/>
      </c>
      <c r="AL13" s="145"/>
      <c r="AM13" s="146"/>
      <c r="AN13" s="146"/>
      <c r="AO13" s="147"/>
      <c r="AP13" s="148"/>
      <c r="AQ13" s="148"/>
      <c r="AR13" s="150" t="str">
        <v/>
      </c>
      <c r="AS13" s="145"/>
      <c r="AT13" s="146"/>
      <c r="AU13" s="146"/>
      <c r="AV13" s="147"/>
      <c r="AW13" s="148"/>
      <c r="AX13" s="148"/>
      <c r="AY13" s="150" t="str">
        <v/>
      </c>
      <c r="AZ13" s="145"/>
      <c r="BA13" s="146"/>
      <c r="BB13" s="146"/>
      <c r="BC13" s="147"/>
      <c r="BD13" s="148"/>
      <c r="BE13" s="148"/>
      <c r="BF13" s="150" t="str">
        <v/>
      </c>
      <c r="BG13" s="145"/>
      <c r="BH13" s="146"/>
      <c r="BI13" s="146"/>
      <c r="BJ13" s="147"/>
      <c r="BK13" s="148"/>
      <c r="BL13" s="148"/>
      <c r="BM13" s="150" t="str">
        <v/>
      </c>
      <c r="BN13" s="145"/>
      <c r="BO13" s="146"/>
      <c r="BP13" s="146"/>
      <c r="BQ13" s="147"/>
      <c r="BR13" s="148"/>
      <c r="BS13" s="148"/>
      <c r="BT13" s="150" t="str">
        <v/>
      </c>
      <c r="BU13" s="151" t="str">
        <v/>
      </c>
      <c r="BV13" s="136"/>
    </row>
    <row r="14" spans="1:74">
      <c r="A14" s="139"/>
      <c r="C14" s="140"/>
      <c r="D14" s="141"/>
      <c r="E14" s="142"/>
      <c r="F14" s="142"/>
      <c r="G14" s="143"/>
      <c r="H14" s="144"/>
      <c r="I14" s="150" t="str">
        <v/>
      </c>
      <c r="J14" s="141"/>
      <c r="K14" s="142"/>
      <c r="L14" s="142"/>
      <c r="M14" s="143"/>
      <c r="N14" s="144"/>
      <c r="O14" s="144"/>
      <c r="P14" s="150" t="str">
        <v/>
      </c>
      <c r="Q14" s="141"/>
      <c r="R14" s="142"/>
      <c r="S14" s="142"/>
      <c r="T14" s="143"/>
      <c r="U14" s="144"/>
      <c r="V14" s="144"/>
      <c r="W14" s="150" t="str">
        <v/>
      </c>
      <c r="X14" s="145"/>
      <c r="Y14" s="146"/>
      <c r="Z14" s="146"/>
      <c r="AA14" s="147"/>
      <c r="AB14" s="148"/>
      <c r="AC14" s="148"/>
      <c r="AD14" s="150" t="str">
        <v/>
      </c>
      <c r="AE14" s="145"/>
      <c r="AF14" s="146"/>
      <c r="AG14" s="146"/>
      <c r="AH14" s="147"/>
      <c r="AI14" s="148"/>
      <c r="AJ14" s="148"/>
      <c r="AK14" s="150" t="str">
        <v/>
      </c>
      <c r="AL14" s="145"/>
      <c r="AM14" s="146"/>
      <c r="AN14" s="146"/>
      <c r="AO14" s="147"/>
      <c r="AP14" s="148"/>
      <c r="AQ14" s="148"/>
      <c r="AR14" s="150" t="str">
        <v/>
      </c>
      <c r="AS14" s="145"/>
      <c r="AT14" s="146"/>
      <c r="AU14" s="146"/>
      <c r="AV14" s="147"/>
      <c r="AW14" s="148"/>
      <c r="AX14" s="148"/>
      <c r="AY14" s="150" t="str">
        <v/>
      </c>
      <c r="AZ14" s="145"/>
      <c r="BA14" s="146"/>
      <c r="BB14" s="146"/>
      <c r="BC14" s="147"/>
      <c r="BD14" s="148"/>
      <c r="BE14" s="148"/>
      <c r="BF14" s="150" t="str">
        <v/>
      </c>
      <c r="BG14" s="145"/>
      <c r="BH14" s="146"/>
      <c r="BI14" s="146"/>
      <c r="BJ14" s="147"/>
      <c r="BK14" s="148"/>
      <c r="BL14" s="148"/>
      <c r="BM14" s="150" t="str">
        <v/>
      </c>
      <c r="BN14" s="145"/>
      <c r="BO14" s="146"/>
      <c r="BP14" s="146"/>
      <c r="BQ14" s="147"/>
      <c r="BR14" s="148"/>
      <c r="BS14" s="148"/>
      <c r="BT14" s="150" t="str">
        <v/>
      </c>
      <c r="BU14" s="151" t="str">
        <v/>
      </c>
      <c r="BV14" s="136"/>
    </row>
    <row r="15" spans="1:74">
      <c r="A15" s="139"/>
      <c r="C15" s="140"/>
      <c r="D15" s="141"/>
      <c r="E15" s="142"/>
      <c r="F15" s="142"/>
      <c r="G15" s="143"/>
      <c r="H15" s="144"/>
      <c r="I15" s="150" t="str">
        <v/>
      </c>
      <c r="J15" s="141"/>
      <c r="K15" s="142"/>
      <c r="L15" s="142"/>
      <c r="M15" s="143"/>
      <c r="N15" s="144"/>
      <c r="O15" s="144"/>
      <c r="P15" s="150" t="str">
        <v/>
      </c>
      <c r="Q15" s="141"/>
      <c r="R15" s="142"/>
      <c r="S15" s="142"/>
      <c r="T15" s="143"/>
      <c r="U15" s="144"/>
      <c r="V15" s="144"/>
      <c r="W15" s="150" t="str">
        <v/>
      </c>
      <c r="X15" s="145"/>
      <c r="Y15" s="146"/>
      <c r="Z15" s="146"/>
      <c r="AA15" s="147"/>
      <c r="AB15" s="148"/>
      <c r="AC15" s="148"/>
      <c r="AD15" s="150" t="str">
        <v/>
      </c>
      <c r="AE15" s="145"/>
      <c r="AF15" s="146"/>
      <c r="AG15" s="146"/>
      <c r="AH15" s="147"/>
      <c r="AI15" s="148"/>
      <c r="AJ15" s="148"/>
      <c r="AK15" s="150" t="str">
        <v/>
      </c>
      <c r="AL15" s="145"/>
      <c r="AM15" s="146"/>
      <c r="AN15" s="146"/>
      <c r="AO15" s="147"/>
      <c r="AP15" s="148"/>
      <c r="AQ15" s="148"/>
      <c r="AR15" s="150" t="str">
        <v/>
      </c>
      <c r="AS15" s="145"/>
      <c r="AT15" s="146"/>
      <c r="AU15" s="146"/>
      <c r="AV15" s="147"/>
      <c r="AW15" s="148"/>
      <c r="AX15" s="148"/>
      <c r="AY15" s="150" t="str">
        <v/>
      </c>
      <c r="AZ15" s="145"/>
      <c r="BA15" s="146"/>
      <c r="BB15" s="146"/>
      <c r="BC15" s="147"/>
      <c r="BD15" s="148"/>
      <c r="BE15" s="148"/>
      <c r="BF15" s="150" t="str">
        <v/>
      </c>
      <c r="BG15" s="145"/>
      <c r="BH15" s="146"/>
      <c r="BI15" s="146"/>
      <c r="BJ15" s="147"/>
      <c r="BK15" s="148"/>
      <c r="BL15" s="148"/>
      <c r="BM15" s="150" t="str">
        <v/>
      </c>
      <c r="BN15" s="145"/>
      <c r="BO15" s="146"/>
      <c r="BP15" s="146"/>
      <c r="BQ15" s="147"/>
      <c r="BR15" s="148"/>
      <c r="BS15" s="148"/>
      <c r="BT15" s="150" t="str">
        <v/>
      </c>
      <c r="BU15" s="151" t="str">
        <v/>
      </c>
      <c r="BV15" s="136"/>
    </row>
    <row r="16" spans="1:74">
      <c r="A16" s="139"/>
      <c r="C16" s="140"/>
      <c r="D16" s="141"/>
      <c r="E16" s="142"/>
      <c r="F16" s="142"/>
      <c r="G16" s="143"/>
      <c r="H16" s="144"/>
      <c r="I16" s="150" t="str">
        <v/>
      </c>
      <c r="J16" s="141"/>
      <c r="K16" s="142"/>
      <c r="L16" s="142"/>
      <c r="M16" s="143"/>
      <c r="N16" s="144"/>
      <c r="O16" s="144"/>
      <c r="P16" s="150" t="str">
        <v/>
      </c>
      <c r="Q16" s="141"/>
      <c r="R16" s="142"/>
      <c r="S16" s="142"/>
      <c r="T16" s="143"/>
      <c r="U16" s="144"/>
      <c r="V16" s="144"/>
      <c r="W16" s="150" t="str">
        <v/>
      </c>
      <c r="X16" s="145"/>
      <c r="Y16" s="146"/>
      <c r="Z16" s="146"/>
      <c r="AA16" s="147"/>
      <c r="AB16" s="148"/>
      <c r="AC16" s="148"/>
      <c r="AD16" s="150" t="str">
        <v/>
      </c>
      <c r="AE16" s="145"/>
      <c r="AF16" s="146"/>
      <c r="AG16" s="146"/>
      <c r="AH16" s="147"/>
      <c r="AI16" s="148"/>
      <c r="AJ16" s="148"/>
      <c r="AK16" s="150" t="str">
        <v/>
      </c>
      <c r="AL16" s="145"/>
      <c r="AM16" s="146"/>
      <c r="AN16" s="146"/>
      <c r="AO16" s="147"/>
      <c r="AP16" s="148"/>
      <c r="AQ16" s="148"/>
      <c r="AR16" s="150" t="str">
        <v/>
      </c>
      <c r="AS16" s="145"/>
      <c r="AT16" s="146"/>
      <c r="AU16" s="146"/>
      <c r="AV16" s="147"/>
      <c r="AW16" s="148"/>
      <c r="AX16" s="148"/>
      <c r="AY16" s="150" t="str">
        <v/>
      </c>
      <c r="AZ16" s="145"/>
      <c r="BA16" s="146"/>
      <c r="BB16" s="146"/>
      <c r="BC16" s="147"/>
      <c r="BD16" s="148"/>
      <c r="BE16" s="148"/>
      <c r="BF16" s="150" t="str">
        <v/>
      </c>
      <c r="BG16" s="145"/>
      <c r="BH16" s="146"/>
      <c r="BI16" s="146"/>
      <c r="BJ16" s="147"/>
      <c r="BK16" s="148"/>
      <c r="BL16" s="148"/>
      <c r="BM16" s="150" t="str">
        <v/>
      </c>
      <c r="BN16" s="145"/>
      <c r="BO16" s="146"/>
      <c r="BP16" s="146"/>
      <c r="BQ16" s="147"/>
      <c r="BR16" s="148"/>
      <c r="BS16" s="148"/>
      <c r="BT16" s="150" t="str">
        <v/>
      </c>
      <c r="BU16" s="151" t="str">
        <v/>
      </c>
      <c r="BV16" s="136"/>
    </row>
    <row r="17" spans="1:74">
      <c r="A17" s="139"/>
      <c r="C17" s="140"/>
      <c r="D17" s="141"/>
      <c r="E17" s="142"/>
      <c r="F17" s="142"/>
      <c r="G17" s="143"/>
      <c r="H17" s="144"/>
      <c r="I17" s="150" t="str">
        <v/>
      </c>
      <c r="J17" s="141"/>
      <c r="K17" s="142"/>
      <c r="L17" s="142"/>
      <c r="M17" s="143"/>
      <c r="N17" s="144"/>
      <c r="O17" s="144"/>
      <c r="P17" s="150" t="str">
        <v/>
      </c>
      <c r="Q17" s="141"/>
      <c r="R17" s="142"/>
      <c r="S17" s="142"/>
      <c r="T17" s="143"/>
      <c r="U17" s="144"/>
      <c r="V17" s="144"/>
      <c r="W17" s="150" t="str">
        <v/>
      </c>
      <c r="X17" s="145"/>
      <c r="Y17" s="146"/>
      <c r="Z17" s="146"/>
      <c r="AA17" s="147"/>
      <c r="AB17" s="148"/>
      <c r="AC17" s="148"/>
      <c r="AD17" s="150" t="str">
        <v/>
      </c>
      <c r="AE17" s="145"/>
      <c r="AF17" s="146"/>
      <c r="AG17" s="146"/>
      <c r="AH17" s="147"/>
      <c r="AI17" s="148"/>
      <c r="AJ17" s="148"/>
      <c r="AK17" s="150" t="str">
        <v/>
      </c>
      <c r="AL17" s="145"/>
      <c r="AM17" s="146"/>
      <c r="AN17" s="146"/>
      <c r="AO17" s="147"/>
      <c r="AP17" s="148"/>
      <c r="AQ17" s="148"/>
      <c r="AR17" s="150" t="str">
        <v/>
      </c>
      <c r="AS17" s="145"/>
      <c r="AT17" s="146"/>
      <c r="AU17" s="146"/>
      <c r="AV17" s="147"/>
      <c r="AW17" s="148"/>
      <c r="AX17" s="148"/>
      <c r="AY17" s="150" t="str">
        <v/>
      </c>
      <c r="AZ17" s="145"/>
      <c r="BA17" s="146"/>
      <c r="BB17" s="146"/>
      <c r="BC17" s="147"/>
      <c r="BD17" s="148"/>
      <c r="BE17" s="148"/>
      <c r="BF17" s="150" t="str">
        <v/>
      </c>
      <c r="BG17" s="145"/>
      <c r="BH17" s="146"/>
      <c r="BI17" s="146"/>
      <c r="BJ17" s="147"/>
      <c r="BK17" s="148"/>
      <c r="BL17" s="148"/>
      <c r="BM17" s="150" t="str">
        <v/>
      </c>
      <c r="BN17" s="145"/>
      <c r="BO17" s="146"/>
      <c r="BP17" s="146"/>
      <c r="BQ17" s="147"/>
      <c r="BR17" s="148"/>
      <c r="BS17" s="148"/>
      <c r="BT17" s="150" t="str">
        <v/>
      </c>
      <c r="BU17" s="151" t="str">
        <v/>
      </c>
      <c r="BV17" s="136"/>
    </row>
    <row r="18" spans="1:74">
      <c r="A18" s="139"/>
      <c r="C18" s="140"/>
      <c r="D18" s="141"/>
      <c r="E18" s="142"/>
      <c r="F18" s="142"/>
      <c r="G18" s="143"/>
      <c r="H18" s="144"/>
      <c r="I18" s="150" t="str">
        <v/>
      </c>
      <c r="J18" s="141"/>
      <c r="K18" s="142"/>
      <c r="L18" s="142"/>
      <c r="M18" s="143"/>
      <c r="N18" s="144"/>
      <c r="O18" s="144"/>
      <c r="P18" s="150" t="str">
        <v/>
      </c>
      <c r="Q18" s="141"/>
      <c r="R18" s="142"/>
      <c r="S18" s="142"/>
      <c r="T18" s="143"/>
      <c r="U18" s="144"/>
      <c r="V18" s="144"/>
      <c r="W18" s="150" t="str">
        <v/>
      </c>
      <c r="X18" s="145"/>
      <c r="Y18" s="146"/>
      <c r="Z18" s="146"/>
      <c r="AA18" s="147"/>
      <c r="AB18" s="148"/>
      <c r="AC18" s="148"/>
      <c r="AD18" s="150" t="str">
        <v/>
      </c>
      <c r="AE18" s="145"/>
      <c r="AF18" s="146"/>
      <c r="AG18" s="146"/>
      <c r="AH18" s="147"/>
      <c r="AI18" s="148"/>
      <c r="AJ18" s="148"/>
      <c r="AK18" s="150" t="str">
        <v/>
      </c>
      <c r="AL18" s="145"/>
      <c r="AM18" s="146"/>
      <c r="AN18" s="146"/>
      <c r="AO18" s="147"/>
      <c r="AP18" s="148"/>
      <c r="AQ18" s="148"/>
      <c r="AR18" s="150" t="str">
        <v/>
      </c>
      <c r="AS18" s="145"/>
      <c r="AT18" s="146"/>
      <c r="AU18" s="146"/>
      <c r="AV18" s="147"/>
      <c r="AW18" s="148"/>
      <c r="AX18" s="148"/>
      <c r="AY18" s="150" t="str">
        <v/>
      </c>
      <c r="AZ18" s="145"/>
      <c r="BA18" s="146"/>
      <c r="BB18" s="146"/>
      <c r="BC18" s="147"/>
      <c r="BD18" s="148"/>
      <c r="BE18" s="148"/>
      <c r="BF18" s="150" t="str">
        <v/>
      </c>
      <c r="BG18" s="145"/>
      <c r="BH18" s="146"/>
      <c r="BI18" s="146"/>
      <c r="BJ18" s="147"/>
      <c r="BK18" s="148"/>
      <c r="BL18" s="148"/>
      <c r="BM18" s="150" t="str">
        <v/>
      </c>
      <c r="BN18" s="145"/>
      <c r="BO18" s="146"/>
      <c r="BP18" s="146"/>
      <c r="BQ18" s="147"/>
      <c r="BR18" s="148"/>
      <c r="BS18" s="148"/>
      <c r="BT18" s="150" t="str">
        <v/>
      </c>
      <c r="BU18" s="151" t="str">
        <v/>
      </c>
      <c r="BV18" s="136"/>
    </row>
    <row r="19" spans="1:74">
      <c r="A19" s="139"/>
      <c r="C19" s="140"/>
      <c r="D19" s="141"/>
      <c r="E19" s="142"/>
      <c r="F19" s="142"/>
      <c r="G19" s="143"/>
      <c r="H19" s="144"/>
      <c r="I19" s="150" t="str">
        <v/>
      </c>
      <c r="J19" s="141"/>
      <c r="K19" s="142"/>
      <c r="L19" s="142"/>
      <c r="M19" s="143"/>
      <c r="N19" s="144"/>
      <c r="O19" s="144"/>
      <c r="P19" s="150" t="str">
        <v/>
      </c>
      <c r="Q19" s="141"/>
      <c r="R19" s="142"/>
      <c r="S19" s="142"/>
      <c r="T19" s="143"/>
      <c r="U19" s="144"/>
      <c r="V19" s="144"/>
      <c r="W19" s="150" t="str">
        <v/>
      </c>
      <c r="X19" s="145"/>
      <c r="Y19" s="146"/>
      <c r="Z19" s="146"/>
      <c r="AA19" s="147"/>
      <c r="AB19" s="148"/>
      <c r="AC19" s="148"/>
      <c r="AD19" s="150" t="str">
        <v/>
      </c>
      <c r="AE19" s="145"/>
      <c r="AF19" s="146"/>
      <c r="AG19" s="146"/>
      <c r="AH19" s="147"/>
      <c r="AI19" s="148"/>
      <c r="AJ19" s="148"/>
      <c r="AK19" s="150" t="str">
        <v/>
      </c>
      <c r="AL19" s="145"/>
      <c r="AM19" s="146"/>
      <c r="AN19" s="146"/>
      <c r="AO19" s="147"/>
      <c r="AP19" s="148"/>
      <c r="AQ19" s="148"/>
      <c r="AR19" s="150" t="str">
        <v/>
      </c>
      <c r="AS19" s="145"/>
      <c r="AT19" s="146"/>
      <c r="AU19" s="146"/>
      <c r="AV19" s="147"/>
      <c r="AW19" s="148"/>
      <c r="AX19" s="148"/>
      <c r="AY19" s="150" t="str">
        <v/>
      </c>
      <c r="AZ19" s="145"/>
      <c r="BA19" s="146"/>
      <c r="BB19" s="146"/>
      <c r="BC19" s="147"/>
      <c r="BD19" s="148"/>
      <c r="BE19" s="148"/>
      <c r="BF19" s="150" t="str">
        <v/>
      </c>
      <c r="BG19" s="145"/>
      <c r="BH19" s="146"/>
      <c r="BI19" s="146"/>
      <c r="BJ19" s="147"/>
      <c r="BK19" s="148"/>
      <c r="BL19" s="148"/>
      <c r="BM19" s="150" t="str">
        <v/>
      </c>
      <c r="BN19" s="145"/>
      <c r="BO19" s="146"/>
      <c r="BP19" s="146"/>
      <c r="BQ19" s="147"/>
      <c r="BR19" s="148"/>
      <c r="BS19" s="148"/>
      <c r="BT19" s="150" t="str">
        <v/>
      </c>
      <c r="BU19" s="151" t="str">
        <v/>
      </c>
      <c r="BV19" s="136"/>
    </row>
    <row r="20" spans="1:74">
      <c r="A20" s="139"/>
      <c r="C20" s="140"/>
      <c r="D20" s="141"/>
      <c r="E20" s="142"/>
      <c r="F20" s="142"/>
      <c r="G20" s="143"/>
      <c r="H20" s="144"/>
      <c r="I20" s="150" t="str">
        <v/>
      </c>
      <c r="J20" s="141"/>
      <c r="K20" s="142"/>
      <c r="L20" s="142"/>
      <c r="M20" s="143"/>
      <c r="N20" s="144"/>
      <c r="O20" s="144"/>
      <c r="P20" s="150" t="str">
        <v/>
      </c>
      <c r="Q20" s="141"/>
      <c r="R20" s="142"/>
      <c r="S20" s="142"/>
      <c r="T20" s="143"/>
      <c r="U20" s="144"/>
      <c r="V20" s="144"/>
      <c r="W20" s="150" t="str">
        <v/>
      </c>
      <c r="X20" s="145"/>
      <c r="Y20" s="146"/>
      <c r="Z20" s="146"/>
      <c r="AA20" s="147"/>
      <c r="AB20" s="148"/>
      <c r="AC20" s="148"/>
      <c r="AD20" s="150" t="str">
        <v/>
      </c>
      <c r="AE20" s="145"/>
      <c r="AF20" s="146"/>
      <c r="AG20" s="146"/>
      <c r="AH20" s="147"/>
      <c r="AI20" s="148"/>
      <c r="AJ20" s="148"/>
      <c r="AK20" s="150" t="str">
        <v/>
      </c>
      <c r="AL20" s="145"/>
      <c r="AM20" s="146"/>
      <c r="AN20" s="146"/>
      <c r="AO20" s="147"/>
      <c r="AP20" s="148"/>
      <c r="AQ20" s="148"/>
      <c r="AR20" s="150" t="str">
        <v/>
      </c>
      <c r="AS20" s="145"/>
      <c r="AT20" s="146"/>
      <c r="AU20" s="146"/>
      <c r="AV20" s="147"/>
      <c r="AW20" s="148"/>
      <c r="AX20" s="148"/>
      <c r="AY20" s="150" t="str">
        <v/>
      </c>
      <c r="AZ20" s="145"/>
      <c r="BA20" s="146"/>
      <c r="BB20" s="146"/>
      <c r="BC20" s="147"/>
      <c r="BD20" s="148"/>
      <c r="BE20" s="148"/>
      <c r="BF20" s="150" t="str">
        <v/>
      </c>
      <c r="BG20" s="145"/>
      <c r="BH20" s="146"/>
      <c r="BI20" s="146"/>
      <c r="BJ20" s="147"/>
      <c r="BK20" s="148"/>
      <c r="BL20" s="148"/>
      <c r="BM20" s="150" t="str">
        <v/>
      </c>
      <c r="BN20" s="145"/>
      <c r="BO20" s="146"/>
      <c r="BP20" s="146"/>
      <c r="BQ20" s="147"/>
      <c r="BR20" s="148"/>
      <c r="BS20" s="148"/>
      <c r="BT20" s="150" t="str">
        <v/>
      </c>
      <c r="BU20" s="151" t="str">
        <v/>
      </c>
      <c r="BV20" s="136"/>
    </row>
    <row r="21" spans="1:74">
      <c r="A21" s="139"/>
      <c r="C21" s="140"/>
      <c r="D21" s="141"/>
      <c r="E21" s="142"/>
      <c r="F21" s="142"/>
      <c r="G21" s="143"/>
      <c r="H21" s="144"/>
      <c r="I21" s="150" t="str">
        <v/>
      </c>
      <c r="J21" s="141"/>
      <c r="K21" s="142"/>
      <c r="L21" s="142"/>
      <c r="M21" s="143"/>
      <c r="N21" s="144"/>
      <c r="O21" s="144"/>
      <c r="P21" s="150" t="str">
        <v/>
      </c>
      <c r="Q21" s="141"/>
      <c r="R21" s="142"/>
      <c r="S21" s="142"/>
      <c r="T21" s="143"/>
      <c r="U21" s="144"/>
      <c r="V21" s="144"/>
      <c r="W21" s="150" t="str">
        <v/>
      </c>
      <c r="X21" s="145"/>
      <c r="Y21" s="146"/>
      <c r="Z21" s="146"/>
      <c r="AA21" s="147"/>
      <c r="AB21" s="148"/>
      <c r="AC21" s="148"/>
      <c r="AD21" s="150" t="str">
        <v/>
      </c>
      <c r="AE21" s="145"/>
      <c r="AF21" s="146"/>
      <c r="AG21" s="146"/>
      <c r="AH21" s="147"/>
      <c r="AI21" s="148"/>
      <c r="AJ21" s="148"/>
      <c r="AK21" s="150" t="str">
        <v/>
      </c>
      <c r="AL21" s="145"/>
      <c r="AM21" s="146"/>
      <c r="AN21" s="146"/>
      <c r="AO21" s="147"/>
      <c r="AP21" s="148"/>
      <c r="AQ21" s="148"/>
      <c r="AR21" s="150" t="str">
        <v/>
      </c>
      <c r="AS21" s="145"/>
      <c r="AT21" s="146"/>
      <c r="AU21" s="146"/>
      <c r="AV21" s="147"/>
      <c r="AW21" s="148"/>
      <c r="AX21" s="148"/>
      <c r="AY21" s="150" t="str">
        <v/>
      </c>
      <c r="AZ21" s="145"/>
      <c r="BA21" s="146"/>
      <c r="BB21" s="146"/>
      <c r="BC21" s="147"/>
      <c r="BD21" s="148"/>
      <c r="BE21" s="148"/>
      <c r="BF21" s="150" t="str">
        <v/>
      </c>
      <c r="BG21" s="145"/>
      <c r="BH21" s="146"/>
      <c r="BI21" s="146"/>
      <c r="BJ21" s="147"/>
      <c r="BK21" s="148"/>
      <c r="BL21" s="148"/>
      <c r="BM21" s="150" t="str">
        <v/>
      </c>
      <c r="BN21" s="145"/>
      <c r="BO21" s="146"/>
      <c r="BP21" s="146"/>
      <c r="BQ21" s="147"/>
      <c r="BR21" s="148"/>
      <c r="BS21" s="148"/>
      <c r="BT21" s="150" t="str">
        <v/>
      </c>
      <c r="BU21" s="151" t="str">
        <v/>
      </c>
      <c r="BV21" s="136"/>
    </row>
    <row r="22" spans="1:74">
      <c r="A22" s="139"/>
      <c r="C22" s="140"/>
      <c r="D22" s="141"/>
      <c r="E22" s="142"/>
      <c r="F22" s="142"/>
      <c r="G22" s="143"/>
      <c r="H22" s="144"/>
      <c r="I22" s="150" t="str">
        <v/>
      </c>
      <c r="J22" s="141"/>
      <c r="K22" s="142"/>
      <c r="L22" s="142"/>
      <c r="M22" s="143"/>
      <c r="N22" s="144"/>
      <c r="O22" s="144"/>
      <c r="P22" s="150" t="str">
        <v/>
      </c>
      <c r="Q22" s="141"/>
      <c r="R22" s="142"/>
      <c r="S22" s="142"/>
      <c r="T22" s="143"/>
      <c r="U22" s="144"/>
      <c r="V22" s="144"/>
      <c r="W22" s="150" t="str">
        <v/>
      </c>
      <c r="X22" s="145"/>
      <c r="Y22" s="146"/>
      <c r="Z22" s="146"/>
      <c r="AA22" s="147"/>
      <c r="AB22" s="148"/>
      <c r="AC22" s="148"/>
      <c r="AD22" s="150" t="str">
        <v/>
      </c>
      <c r="AE22" s="145"/>
      <c r="AF22" s="146"/>
      <c r="AG22" s="146"/>
      <c r="AH22" s="147"/>
      <c r="AI22" s="148"/>
      <c r="AJ22" s="148"/>
      <c r="AK22" s="150" t="str">
        <v/>
      </c>
      <c r="AL22" s="145"/>
      <c r="AM22" s="146"/>
      <c r="AN22" s="146"/>
      <c r="AO22" s="147"/>
      <c r="AP22" s="148"/>
      <c r="AQ22" s="148"/>
      <c r="AR22" s="150" t="str">
        <v/>
      </c>
      <c r="AS22" s="145"/>
      <c r="AT22" s="146"/>
      <c r="AU22" s="146"/>
      <c r="AV22" s="147"/>
      <c r="AW22" s="148"/>
      <c r="AX22" s="148"/>
      <c r="AY22" s="150" t="str">
        <v/>
      </c>
      <c r="AZ22" s="145"/>
      <c r="BA22" s="146"/>
      <c r="BB22" s="146"/>
      <c r="BC22" s="147"/>
      <c r="BD22" s="148"/>
      <c r="BE22" s="148"/>
      <c r="BF22" s="150" t="str">
        <v/>
      </c>
      <c r="BG22" s="145"/>
      <c r="BH22" s="146"/>
      <c r="BI22" s="146"/>
      <c r="BJ22" s="147"/>
      <c r="BK22" s="148"/>
      <c r="BL22" s="148"/>
      <c r="BM22" s="150" t="str">
        <v/>
      </c>
      <c r="BN22" s="145"/>
      <c r="BO22" s="146"/>
      <c r="BP22" s="146"/>
      <c r="BQ22" s="147"/>
      <c r="BR22" s="148"/>
      <c r="BS22" s="148"/>
      <c r="BT22" s="150" t="str">
        <v/>
      </c>
      <c r="BU22" s="151" t="str">
        <v/>
      </c>
      <c r="BV22" s="136"/>
    </row>
    <row r="23" spans="1:74">
      <c r="A23" s="139"/>
      <c r="C23" s="140"/>
      <c r="D23" s="141"/>
      <c r="E23" s="142"/>
      <c r="F23" s="142"/>
      <c r="G23" s="143"/>
      <c r="H23" s="144"/>
      <c r="I23" s="150" t="str">
        <v/>
      </c>
      <c r="J23" s="141"/>
      <c r="K23" s="142"/>
      <c r="L23" s="142"/>
      <c r="M23" s="143"/>
      <c r="N23" s="144"/>
      <c r="O23" s="144"/>
      <c r="P23" s="150" t="str">
        <v/>
      </c>
      <c r="Q23" s="141"/>
      <c r="R23" s="142"/>
      <c r="S23" s="142"/>
      <c r="T23" s="143"/>
      <c r="U23" s="144"/>
      <c r="V23" s="144"/>
      <c r="W23" s="150" t="str">
        <v/>
      </c>
      <c r="X23" s="145"/>
      <c r="Y23" s="146"/>
      <c r="Z23" s="146"/>
      <c r="AA23" s="147"/>
      <c r="AB23" s="148"/>
      <c r="AC23" s="148"/>
      <c r="AD23" s="150" t="str">
        <v/>
      </c>
      <c r="AE23" s="145"/>
      <c r="AF23" s="146"/>
      <c r="AG23" s="146"/>
      <c r="AH23" s="147"/>
      <c r="AI23" s="148"/>
      <c r="AJ23" s="148"/>
      <c r="AK23" s="150" t="str">
        <v/>
      </c>
      <c r="AL23" s="145"/>
      <c r="AM23" s="146"/>
      <c r="AN23" s="146"/>
      <c r="AO23" s="147"/>
      <c r="AP23" s="148"/>
      <c r="AQ23" s="148"/>
      <c r="AR23" s="150" t="str">
        <v/>
      </c>
      <c r="AS23" s="145"/>
      <c r="AT23" s="146"/>
      <c r="AU23" s="146"/>
      <c r="AV23" s="147"/>
      <c r="AW23" s="148"/>
      <c r="AX23" s="148"/>
      <c r="AY23" s="150" t="str">
        <v/>
      </c>
      <c r="AZ23" s="145"/>
      <c r="BA23" s="146"/>
      <c r="BB23" s="146"/>
      <c r="BC23" s="147"/>
      <c r="BD23" s="148"/>
      <c r="BE23" s="148"/>
      <c r="BF23" s="150" t="str">
        <v/>
      </c>
      <c r="BG23" s="145"/>
      <c r="BH23" s="146"/>
      <c r="BI23" s="146"/>
      <c r="BJ23" s="147"/>
      <c r="BK23" s="148"/>
      <c r="BL23" s="148"/>
      <c r="BM23" s="150" t="str">
        <v/>
      </c>
      <c r="BN23" s="145"/>
      <c r="BO23" s="146"/>
      <c r="BP23" s="146"/>
      <c r="BQ23" s="147"/>
      <c r="BR23" s="148"/>
      <c r="BS23" s="148"/>
      <c r="BT23" s="150" t="str">
        <v/>
      </c>
      <c r="BU23" s="151" t="str">
        <v/>
      </c>
      <c r="BV23" s="136"/>
    </row>
    <row r="24" spans="1:74">
      <c r="A24" s="139"/>
      <c r="C24" s="140"/>
      <c r="D24" s="141"/>
      <c r="E24" s="142"/>
      <c r="F24" s="142"/>
      <c r="G24" s="143"/>
      <c r="H24" s="144"/>
      <c r="I24" s="150" t="str">
        <v/>
      </c>
      <c r="J24" s="141"/>
      <c r="K24" s="142"/>
      <c r="L24" s="142"/>
      <c r="M24" s="143"/>
      <c r="N24" s="144"/>
      <c r="O24" s="144"/>
      <c r="P24" s="150" t="str">
        <v/>
      </c>
      <c r="Q24" s="141"/>
      <c r="R24" s="142"/>
      <c r="S24" s="142"/>
      <c r="T24" s="143"/>
      <c r="U24" s="144"/>
      <c r="V24" s="144"/>
      <c r="W24" s="150" t="str">
        <v/>
      </c>
      <c r="X24" s="145"/>
      <c r="Y24" s="146"/>
      <c r="Z24" s="146"/>
      <c r="AA24" s="147"/>
      <c r="AB24" s="148"/>
      <c r="AC24" s="148"/>
      <c r="AD24" s="150" t="str">
        <v/>
      </c>
      <c r="AE24" s="145"/>
      <c r="AF24" s="146"/>
      <c r="AG24" s="146"/>
      <c r="AH24" s="147"/>
      <c r="AI24" s="148"/>
      <c r="AJ24" s="148"/>
      <c r="AK24" s="150" t="str">
        <v/>
      </c>
      <c r="AL24" s="145"/>
      <c r="AM24" s="146"/>
      <c r="AN24" s="146"/>
      <c r="AO24" s="147"/>
      <c r="AP24" s="148"/>
      <c r="AQ24" s="148"/>
      <c r="AR24" s="150" t="str">
        <v/>
      </c>
      <c r="AS24" s="145"/>
      <c r="AT24" s="146"/>
      <c r="AU24" s="146"/>
      <c r="AV24" s="147"/>
      <c r="AW24" s="148"/>
      <c r="AX24" s="148"/>
      <c r="AY24" s="150" t="str">
        <v/>
      </c>
      <c r="AZ24" s="145"/>
      <c r="BA24" s="146"/>
      <c r="BB24" s="146"/>
      <c r="BC24" s="147"/>
      <c r="BD24" s="148"/>
      <c r="BE24" s="148"/>
      <c r="BF24" s="150" t="str">
        <v/>
      </c>
      <c r="BG24" s="145"/>
      <c r="BH24" s="146"/>
      <c r="BI24" s="146"/>
      <c r="BJ24" s="147"/>
      <c r="BK24" s="148"/>
      <c r="BL24" s="148"/>
      <c r="BM24" s="150" t="str">
        <v/>
      </c>
      <c r="BN24" s="145"/>
      <c r="BO24" s="146"/>
      <c r="BP24" s="146"/>
      <c r="BQ24" s="147"/>
      <c r="BR24" s="148"/>
      <c r="BS24" s="148"/>
      <c r="BT24" s="150" t="str">
        <v/>
      </c>
      <c r="BU24" s="151" t="str">
        <v/>
      </c>
      <c r="BV24" s="136"/>
    </row>
    <row r="25" spans="1:74">
      <c r="A25" s="139"/>
      <c r="C25" s="140"/>
      <c r="D25" s="141"/>
      <c r="E25" s="142"/>
      <c r="F25" s="142"/>
      <c r="G25" s="143"/>
      <c r="H25" s="144"/>
      <c r="I25" s="150" t="str">
        <v/>
      </c>
      <c r="J25" s="141"/>
      <c r="K25" s="142"/>
      <c r="L25" s="142"/>
      <c r="M25" s="143"/>
      <c r="N25" s="144"/>
      <c r="O25" s="144"/>
      <c r="P25" s="150" t="str">
        <v/>
      </c>
      <c r="Q25" s="141"/>
      <c r="R25" s="142"/>
      <c r="S25" s="142"/>
      <c r="T25" s="143"/>
      <c r="U25" s="144"/>
      <c r="V25" s="144"/>
      <c r="W25" s="150" t="str">
        <v/>
      </c>
      <c r="X25" s="145"/>
      <c r="Y25" s="146"/>
      <c r="Z25" s="146"/>
      <c r="AA25" s="147"/>
      <c r="AB25" s="148"/>
      <c r="AC25" s="148"/>
      <c r="AD25" s="150" t="str">
        <v/>
      </c>
      <c r="AE25" s="145"/>
      <c r="AF25" s="146"/>
      <c r="AG25" s="146"/>
      <c r="AH25" s="147"/>
      <c r="AI25" s="148"/>
      <c r="AJ25" s="148"/>
      <c r="AK25" s="150" t="str">
        <v/>
      </c>
      <c r="AL25" s="145"/>
      <c r="AM25" s="146"/>
      <c r="AN25" s="146"/>
      <c r="AO25" s="147"/>
      <c r="AP25" s="148"/>
      <c r="AQ25" s="148"/>
      <c r="AR25" s="150" t="str">
        <v/>
      </c>
      <c r="AS25" s="145"/>
      <c r="AT25" s="146"/>
      <c r="AU25" s="146"/>
      <c r="AV25" s="147"/>
      <c r="AW25" s="148"/>
      <c r="AX25" s="148"/>
      <c r="AY25" s="150" t="str">
        <v/>
      </c>
      <c r="AZ25" s="145"/>
      <c r="BA25" s="146"/>
      <c r="BB25" s="146"/>
      <c r="BC25" s="147"/>
      <c r="BD25" s="148"/>
      <c r="BE25" s="148"/>
      <c r="BF25" s="150" t="str">
        <v/>
      </c>
      <c r="BG25" s="145"/>
      <c r="BH25" s="146"/>
      <c r="BI25" s="146"/>
      <c r="BJ25" s="147"/>
      <c r="BK25" s="148"/>
      <c r="BL25" s="148"/>
      <c r="BM25" s="150" t="str">
        <v/>
      </c>
      <c r="BN25" s="145"/>
      <c r="BO25" s="146"/>
      <c r="BP25" s="146"/>
      <c r="BQ25" s="147"/>
      <c r="BR25" s="148"/>
      <c r="BS25" s="148"/>
      <c r="BT25" s="150" t="str">
        <v/>
      </c>
      <c r="BU25" s="151" t="str">
        <v/>
      </c>
      <c r="BV25" s="136"/>
    </row>
    <row r="26" spans="1:74">
      <c r="A26" s="139"/>
      <c r="C26" s="140"/>
      <c r="D26" s="141"/>
      <c r="E26" s="142"/>
      <c r="F26" s="142"/>
      <c r="G26" s="143"/>
      <c r="H26" s="144"/>
      <c r="I26" s="150" t="str">
        <v/>
      </c>
      <c r="J26" s="141"/>
      <c r="K26" s="142"/>
      <c r="L26" s="142"/>
      <c r="M26" s="143"/>
      <c r="N26" s="144"/>
      <c r="O26" s="144"/>
      <c r="P26" s="150" t="str">
        <v/>
      </c>
      <c r="Q26" s="141"/>
      <c r="R26" s="142"/>
      <c r="S26" s="142"/>
      <c r="T26" s="143"/>
      <c r="U26" s="144"/>
      <c r="V26" s="144"/>
      <c r="W26" s="150" t="str">
        <v/>
      </c>
      <c r="X26" s="145"/>
      <c r="Y26" s="146"/>
      <c r="Z26" s="146"/>
      <c r="AA26" s="147"/>
      <c r="AB26" s="148"/>
      <c r="AC26" s="148"/>
      <c r="AD26" s="150" t="str">
        <v/>
      </c>
      <c r="AE26" s="145"/>
      <c r="AF26" s="146"/>
      <c r="AG26" s="146"/>
      <c r="AH26" s="147"/>
      <c r="AI26" s="148"/>
      <c r="AJ26" s="148"/>
      <c r="AK26" s="150" t="str">
        <v/>
      </c>
      <c r="AL26" s="145"/>
      <c r="AM26" s="146"/>
      <c r="AN26" s="146"/>
      <c r="AO26" s="147"/>
      <c r="AP26" s="148"/>
      <c r="AQ26" s="148"/>
      <c r="AR26" s="150" t="str">
        <v/>
      </c>
      <c r="AS26" s="145"/>
      <c r="AT26" s="146"/>
      <c r="AU26" s="146"/>
      <c r="AV26" s="147"/>
      <c r="AW26" s="148"/>
      <c r="AX26" s="148"/>
      <c r="AY26" s="150" t="str">
        <v/>
      </c>
      <c r="AZ26" s="145"/>
      <c r="BA26" s="146"/>
      <c r="BB26" s="146"/>
      <c r="BC26" s="147"/>
      <c r="BD26" s="148"/>
      <c r="BE26" s="148"/>
      <c r="BF26" s="150" t="str">
        <v/>
      </c>
      <c r="BG26" s="145"/>
      <c r="BH26" s="146"/>
      <c r="BI26" s="146"/>
      <c r="BJ26" s="147"/>
      <c r="BK26" s="148"/>
      <c r="BL26" s="148"/>
      <c r="BM26" s="150" t="str">
        <v/>
      </c>
      <c r="BN26" s="145"/>
      <c r="BO26" s="146"/>
      <c r="BP26" s="146"/>
      <c r="BQ26" s="147"/>
      <c r="BR26" s="148"/>
      <c r="BS26" s="148"/>
      <c r="BT26" s="150" t="str">
        <v/>
      </c>
      <c r="BU26" s="151" t="str">
        <v/>
      </c>
      <c r="BV26" s="136"/>
    </row>
    <row r="27" spans="1:74">
      <c r="A27" s="139"/>
      <c r="C27" s="140"/>
      <c r="D27" s="141"/>
      <c r="E27" s="142"/>
      <c r="F27" s="142"/>
      <c r="G27" s="143"/>
      <c r="H27" s="144"/>
      <c r="I27" s="150" t="str">
        <v/>
      </c>
      <c r="J27" s="141"/>
      <c r="K27" s="142"/>
      <c r="L27" s="142"/>
      <c r="M27" s="143"/>
      <c r="N27" s="144"/>
      <c r="O27" s="144"/>
      <c r="P27" s="150" t="str">
        <v/>
      </c>
      <c r="Q27" s="141"/>
      <c r="R27" s="142"/>
      <c r="S27" s="142"/>
      <c r="T27" s="143"/>
      <c r="U27" s="144"/>
      <c r="V27" s="144"/>
      <c r="W27" s="150" t="str">
        <v/>
      </c>
      <c r="X27" s="145"/>
      <c r="Y27" s="146"/>
      <c r="Z27" s="146"/>
      <c r="AA27" s="147"/>
      <c r="AB27" s="148"/>
      <c r="AC27" s="148"/>
      <c r="AD27" s="150" t="str">
        <v/>
      </c>
      <c r="AE27" s="145"/>
      <c r="AF27" s="146"/>
      <c r="AG27" s="146"/>
      <c r="AH27" s="147"/>
      <c r="AI27" s="148"/>
      <c r="AJ27" s="148"/>
      <c r="AK27" s="150" t="str">
        <v/>
      </c>
      <c r="AL27" s="145"/>
      <c r="AM27" s="146"/>
      <c r="AN27" s="146"/>
      <c r="AO27" s="147"/>
      <c r="AP27" s="148"/>
      <c r="AQ27" s="148"/>
      <c r="AR27" s="150" t="str">
        <v/>
      </c>
      <c r="AS27" s="145"/>
      <c r="AT27" s="146"/>
      <c r="AU27" s="146"/>
      <c r="AV27" s="147"/>
      <c r="AW27" s="148"/>
      <c r="AX27" s="148"/>
      <c r="AY27" s="150" t="str">
        <v/>
      </c>
      <c r="AZ27" s="145"/>
      <c r="BA27" s="146"/>
      <c r="BB27" s="146"/>
      <c r="BC27" s="147"/>
      <c r="BD27" s="148"/>
      <c r="BE27" s="148"/>
      <c r="BF27" s="150" t="str">
        <v/>
      </c>
      <c r="BG27" s="145"/>
      <c r="BH27" s="146"/>
      <c r="BI27" s="146"/>
      <c r="BJ27" s="147"/>
      <c r="BK27" s="148"/>
      <c r="BL27" s="148"/>
      <c r="BM27" s="150" t="str">
        <v/>
      </c>
      <c r="BN27" s="145"/>
      <c r="BO27" s="146"/>
      <c r="BP27" s="146"/>
      <c r="BQ27" s="147"/>
      <c r="BR27" s="148"/>
      <c r="BS27" s="148"/>
      <c r="BT27" s="150" t="str">
        <v/>
      </c>
      <c r="BU27" s="151" t="str">
        <v/>
      </c>
      <c r="BV27" s="136"/>
    </row>
    <row r="28" spans="1:74">
      <c r="A28" s="139"/>
      <c r="C28" s="140"/>
      <c r="D28" s="141"/>
      <c r="E28" s="142"/>
      <c r="F28" s="142"/>
      <c r="G28" s="143"/>
      <c r="H28" s="144"/>
      <c r="I28" s="150" t="str">
        <v/>
      </c>
      <c r="J28" s="141"/>
      <c r="K28" s="142"/>
      <c r="L28" s="142"/>
      <c r="M28" s="143"/>
      <c r="N28" s="144"/>
      <c r="O28" s="144"/>
      <c r="P28" s="150" t="str">
        <v/>
      </c>
      <c r="Q28" s="141"/>
      <c r="R28" s="142"/>
      <c r="S28" s="142"/>
      <c r="T28" s="143"/>
      <c r="U28" s="144"/>
      <c r="V28" s="144"/>
      <c r="W28" s="150" t="str">
        <v/>
      </c>
      <c r="X28" s="145"/>
      <c r="Y28" s="146"/>
      <c r="Z28" s="146"/>
      <c r="AA28" s="147"/>
      <c r="AB28" s="148"/>
      <c r="AC28" s="148"/>
      <c r="AD28" s="150" t="str">
        <v/>
      </c>
      <c r="AE28" s="145"/>
      <c r="AF28" s="146"/>
      <c r="AG28" s="146"/>
      <c r="AH28" s="147"/>
      <c r="AI28" s="148"/>
      <c r="AJ28" s="148"/>
      <c r="AK28" s="150" t="str">
        <v/>
      </c>
      <c r="AL28" s="145"/>
      <c r="AM28" s="146"/>
      <c r="AN28" s="146"/>
      <c r="AO28" s="147"/>
      <c r="AP28" s="148"/>
      <c r="AQ28" s="148"/>
      <c r="AR28" s="150" t="str">
        <v/>
      </c>
      <c r="AS28" s="145"/>
      <c r="AT28" s="146"/>
      <c r="AU28" s="146"/>
      <c r="AV28" s="147"/>
      <c r="AW28" s="148"/>
      <c r="AX28" s="148"/>
      <c r="AY28" s="150" t="str">
        <v/>
      </c>
      <c r="AZ28" s="145"/>
      <c r="BA28" s="146"/>
      <c r="BB28" s="146"/>
      <c r="BC28" s="147"/>
      <c r="BD28" s="148"/>
      <c r="BE28" s="148"/>
      <c r="BF28" s="150" t="str">
        <v/>
      </c>
      <c r="BG28" s="145"/>
      <c r="BH28" s="146"/>
      <c r="BI28" s="146"/>
      <c r="BJ28" s="147"/>
      <c r="BK28" s="148"/>
      <c r="BL28" s="148"/>
      <c r="BM28" s="150" t="str">
        <v/>
      </c>
      <c r="BN28" s="145"/>
      <c r="BO28" s="146"/>
      <c r="BP28" s="146"/>
      <c r="BQ28" s="147"/>
      <c r="BR28" s="148"/>
      <c r="BS28" s="148"/>
      <c r="BT28" s="150" t="str">
        <v/>
      </c>
      <c r="BU28" s="151" t="str">
        <v/>
      </c>
      <c r="BV28" s="136"/>
    </row>
    <row r="29" spans="1:74">
      <c r="A29" s="139"/>
      <c r="C29" s="140"/>
      <c r="D29" s="141"/>
      <c r="E29" s="142"/>
      <c r="F29" s="142"/>
      <c r="G29" s="143"/>
      <c r="H29" s="144"/>
      <c r="I29" s="150" t="str">
        <v/>
      </c>
      <c r="J29" s="141"/>
      <c r="K29" s="142"/>
      <c r="L29" s="142"/>
      <c r="M29" s="143"/>
      <c r="N29" s="144"/>
      <c r="O29" s="144"/>
      <c r="P29" s="150" t="str">
        <v/>
      </c>
      <c r="Q29" s="141"/>
      <c r="R29" s="142"/>
      <c r="S29" s="142"/>
      <c r="T29" s="143"/>
      <c r="U29" s="144"/>
      <c r="V29" s="144"/>
      <c r="W29" s="150" t="str">
        <v/>
      </c>
      <c r="X29" s="145"/>
      <c r="Y29" s="146"/>
      <c r="Z29" s="146"/>
      <c r="AA29" s="147"/>
      <c r="AB29" s="148"/>
      <c r="AC29" s="148"/>
      <c r="AD29" s="150" t="str">
        <v/>
      </c>
      <c r="AE29" s="145"/>
      <c r="AF29" s="146"/>
      <c r="AG29" s="146"/>
      <c r="AH29" s="147"/>
      <c r="AI29" s="148"/>
      <c r="AJ29" s="148"/>
      <c r="AK29" s="150" t="str">
        <v/>
      </c>
      <c r="AL29" s="145"/>
      <c r="AM29" s="146"/>
      <c r="AN29" s="146"/>
      <c r="AO29" s="147"/>
      <c r="AP29" s="148"/>
      <c r="AQ29" s="148"/>
      <c r="AR29" s="150" t="str">
        <v/>
      </c>
      <c r="AS29" s="145"/>
      <c r="AT29" s="146"/>
      <c r="AU29" s="146"/>
      <c r="AV29" s="147"/>
      <c r="AW29" s="148"/>
      <c r="AX29" s="148"/>
      <c r="AY29" s="150" t="str">
        <v/>
      </c>
      <c r="AZ29" s="145"/>
      <c r="BA29" s="146"/>
      <c r="BB29" s="146"/>
      <c r="BC29" s="147"/>
      <c r="BD29" s="148"/>
      <c r="BE29" s="148"/>
      <c r="BF29" s="150" t="str">
        <v/>
      </c>
      <c r="BG29" s="145"/>
      <c r="BH29" s="146"/>
      <c r="BI29" s="146"/>
      <c r="BJ29" s="147"/>
      <c r="BK29" s="148"/>
      <c r="BL29" s="148"/>
      <c r="BM29" s="150" t="str">
        <v/>
      </c>
      <c r="BN29" s="145"/>
      <c r="BO29" s="146"/>
      <c r="BP29" s="146"/>
      <c r="BQ29" s="147"/>
      <c r="BR29" s="148"/>
      <c r="BS29" s="148"/>
      <c r="BT29" s="150" t="str">
        <v/>
      </c>
      <c r="BU29" s="151" t="str">
        <v/>
      </c>
      <c r="BV29" s="136"/>
    </row>
    <row r="30" spans="1:74">
      <c r="A30" s="139"/>
      <c r="C30" s="140"/>
      <c r="D30" s="141"/>
      <c r="E30" s="142"/>
      <c r="F30" s="142"/>
      <c r="G30" s="143"/>
      <c r="H30" s="144"/>
      <c r="I30" s="150" t="str">
        <v/>
      </c>
      <c r="J30" s="141"/>
      <c r="K30" s="142"/>
      <c r="L30" s="142"/>
      <c r="M30" s="143"/>
      <c r="N30" s="144"/>
      <c r="O30" s="144"/>
      <c r="P30" s="150" t="str">
        <v/>
      </c>
      <c r="Q30" s="141"/>
      <c r="R30" s="142"/>
      <c r="S30" s="142"/>
      <c r="T30" s="143"/>
      <c r="U30" s="144"/>
      <c r="V30" s="144"/>
      <c r="W30" s="150" t="str">
        <v/>
      </c>
      <c r="X30" s="145"/>
      <c r="Y30" s="146"/>
      <c r="Z30" s="146"/>
      <c r="AA30" s="147"/>
      <c r="AB30" s="148"/>
      <c r="AC30" s="148"/>
      <c r="AD30" s="150" t="str">
        <v/>
      </c>
      <c r="AE30" s="145"/>
      <c r="AF30" s="146"/>
      <c r="AG30" s="146"/>
      <c r="AH30" s="147"/>
      <c r="AI30" s="148"/>
      <c r="AJ30" s="148"/>
      <c r="AK30" s="150" t="str">
        <v/>
      </c>
      <c r="AL30" s="145"/>
      <c r="AM30" s="146"/>
      <c r="AN30" s="146"/>
      <c r="AO30" s="147"/>
      <c r="AP30" s="148"/>
      <c r="AQ30" s="148"/>
      <c r="AR30" s="150" t="str">
        <v/>
      </c>
      <c r="AS30" s="145"/>
      <c r="AT30" s="146"/>
      <c r="AU30" s="146"/>
      <c r="AV30" s="147"/>
      <c r="AW30" s="148"/>
      <c r="AX30" s="148"/>
      <c r="AY30" s="150" t="str">
        <v/>
      </c>
      <c r="AZ30" s="145"/>
      <c r="BA30" s="146"/>
      <c r="BB30" s="146"/>
      <c r="BC30" s="147"/>
      <c r="BD30" s="148"/>
      <c r="BE30" s="148"/>
      <c r="BF30" s="150" t="str">
        <v/>
      </c>
      <c r="BG30" s="145"/>
      <c r="BH30" s="146"/>
      <c r="BI30" s="146"/>
      <c r="BJ30" s="147"/>
      <c r="BK30" s="148"/>
      <c r="BL30" s="148"/>
      <c r="BM30" s="150" t="str">
        <v/>
      </c>
      <c r="BN30" s="145"/>
      <c r="BO30" s="146"/>
      <c r="BP30" s="146"/>
      <c r="BQ30" s="147"/>
      <c r="BR30" s="148"/>
      <c r="BS30" s="148"/>
      <c r="BT30" s="150" t="str">
        <v/>
      </c>
      <c r="BU30" s="151" t="str">
        <v/>
      </c>
      <c r="BV30" s="136"/>
    </row>
    <row r="31" spans="1:74">
      <c r="A31" s="139"/>
      <c r="C31" s="140"/>
      <c r="D31" s="141"/>
      <c r="E31" s="142"/>
      <c r="F31" s="142"/>
      <c r="G31" s="143"/>
      <c r="H31" s="144"/>
      <c r="I31" s="150" t="str">
        <v/>
      </c>
      <c r="J31" s="141"/>
      <c r="K31" s="142"/>
      <c r="L31" s="142"/>
      <c r="M31" s="143"/>
      <c r="N31" s="144"/>
      <c r="O31" s="144"/>
      <c r="P31" s="150" t="str">
        <v/>
      </c>
      <c r="Q31" s="141"/>
      <c r="R31" s="142"/>
      <c r="S31" s="142"/>
      <c r="T31" s="143"/>
      <c r="U31" s="144"/>
      <c r="V31" s="144"/>
      <c r="W31" s="150" t="str">
        <v/>
      </c>
      <c r="X31" s="145"/>
      <c r="Y31" s="146"/>
      <c r="Z31" s="146"/>
      <c r="AA31" s="147"/>
      <c r="AB31" s="148"/>
      <c r="AC31" s="148"/>
      <c r="AD31" s="150" t="str">
        <v/>
      </c>
      <c r="AE31" s="145"/>
      <c r="AF31" s="146"/>
      <c r="AG31" s="146"/>
      <c r="AH31" s="147"/>
      <c r="AI31" s="148"/>
      <c r="AJ31" s="148"/>
      <c r="AK31" s="150" t="str">
        <v/>
      </c>
      <c r="AL31" s="145"/>
      <c r="AM31" s="146"/>
      <c r="AN31" s="146"/>
      <c r="AO31" s="147"/>
      <c r="AP31" s="148"/>
      <c r="AQ31" s="148"/>
      <c r="AR31" s="150" t="str">
        <v/>
      </c>
      <c r="AS31" s="145"/>
      <c r="AT31" s="146"/>
      <c r="AU31" s="146"/>
      <c r="AV31" s="147"/>
      <c r="AW31" s="148"/>
      <c r="AX31" s="148"/>
      <c r="AY31" s="150" t="str">
        <v/>
      </c>
      <c r="AZ31" s="145"/>
      <c r="BA31" s="146"/>
      <c r="BB31" s="146"/>
      <c r="BC31" s="147"/>
      <c r="BD31" s="148"/>
      <c r="BE31" s="148"/>
      <c r="BF31" s="150" t="str">
        <v/>
      </c>
      <c r="BG31" s="145"/>
      <c r="BH31" s="146"/>
      <c r="BI31" s="146"/>
      <c r="BJ31" s="147"/>
      <c r="BK31" s="148"/>
      <c r="BL31" s="148"/>
      <c r="BM31" s="150" t="str">
        <v/>
      </c>
      <c r="BN31" s="145"/>
      <c r="BO31" s="146"/>
      <c r="BP31" s="146"/>
      <c r="BQ31" s="147"/>
      <c r="BR31" s="148"/>
      <c r="BS31" s="148"/>
      <c r="BT31" s="150" t="str">
        <v/>
      </c>
      <c r="BU31" s="151" t="str">
        <v/>
      </c>
      <c r="BV31" s="136"/>
    </row>
    <row r="32" spans="1:74">
      <c r="A32" s="139"/>
      <c r="C32" s="140"/>
      <c r="D32" s="141"/>
      <c r="E32" s="142"/>
      <c r="F32" s="142"/>
      <c r="G32" s="143"/>
      <c r="H32" s="144"/>
      <c r="I32" s="150" t="str">
        <v/>
      </c>
      <c r="J32" s="141"/>
      <c r="K32" s="142"/>
      <c r="L32" s="142"/>
      <c r="M32" s="143"/>
      <c r="N32" s="144"/>
      <c r="O32" s="144"/>
      <c r="P32" s="150" t="str">
        <v/>
      </c>
      <c r="Q32" s="141"/>
      <c r="R32" s="142"/>
      <c r="S32" s="142"/>
      <c r="T32" s="143"/>
      <c r="U32" s="144"/>
      <c r="V32" s="144"/>
      <c r="W32" s="150" t="str">
        <v/>
      </c>
      <c r="X32" s="145"/>
      <c r="Y32" s="146"/>
      <c r="Z32" s="146"/>
      <c r="AA32" s="147"/>
      <c r="AB32" s="148"/>
      <c r="AC32" s="148"/>
      <c r="AD32" s="150" t="str">
        <v/>
      </c>
      <c r="AE32" s="145"/>
      <c r="AF32" s="146"/>
      <c r="AG32" s="146"/>
      <c r="AH32" s="147"/>
      <c r="AI32" s="148"/>
      <c r="AJ32" s="148"/>
      <c r="AK32" s="150" t="str">
        <v/>
      </c>
      <c r="AL32" s="145"/>
      <c r="AM32" s="146"/>
      <c r="AN32" s="146"/>
      <c r="AO32" s="147"/>
      <c r="AP32" s="148"/>
      <c r="AQ32" s="148"/>
      <c r="AR32" s="150" t="str">
        <v/>
      </c>
      <c r="AS32" s="145"/>
      <c r="AT32" s="146"/>
      <c r="AU32" s="146"/>
      <c r="AV32" s="147"/>
      <c r="AW32" s="148"/>
      <c r="AX32" s="148"/>
      <c r="AY32" s="150" t="str">
        <v/>
      </c>
      <c r="AZ32" s="145"/>
      <c r="BA32" s="146"/>
      <c r="BB32" s="146"/>
      <c r="BC32" s="147"/>
      <c r="BD32" s="148"/>
      <c r="BE32" s="148"/>
      <c r="BF32" s="150" t="str">
        <v/>
      </c>
      <c r="BG32" s="145"/>
      <c r="BH32" s="146"/>
      <c r="BI32" s="146"/>
      <c r="BJ32" s="147"/>
      <c r="BK32" s="148"/>
      <c r="BL32" s="148"/>
      <c r="BM32" s="150" t="str">
        <v/>
      </c>
      <c r="BN32" s="145"/>
      <c r="BO32" s="146"/>
      <c r="BP32" s="146"/>
      <c r="BQ32" s="147"/>
      <c r="BR32" s="148"/>
      <c r="BS32" s="148"/>
      <c r="BT32" s="150" t="str">
        <v/>
      </c>
      <c r="BU32" s="151" t="str">
        <v/>
      </c>
      <c r="BV32" s="136"/>
    </row>
    <row r="33" spans="1:74">
      <c r="A33" s="139"/>
      <c r="C33" s="140"/>
      <c r="D33" s="141"/>
      <c r="E33" s="142"/>
      <c r="F33" s="142"/>
      <c r="G33" s="143"/>
      <c r="H33" s="144"/>
      <c r="I33" s="150" t="str">
        <v/>
      </c>
      <c r="J33" s="141"/>
      <c r="K33" s="142"/>
      <c r="L33" s="142"/>
      <c r="M33" s="143"/>
      <c r="N33" s="144"/>
      <c r="O33" s="144"/>
      <c r="P33" s="150" t="str">
        <v/>
      </c>
      <c r="Q33" s="141"/>
      <c r="R33" s="142"/>
      <c r="S33" s="142"/>
      <c r="T33" s="143"/>
      <c r="U33" s="144"/>
      <c r="V33" s="144"/>
      <c r="W33" s="150" t="str">
        <v/>
      </c>
      <c r="X33" s="145"/>
      <c r="Y33" s="146"/>
      <c r="Z33" s="146"/>
      <c r="AA33" s="147"/>
      <c r="AB33" s="148"/>
      <c r="AC33" s="148"/>
      <c r="AD33" s="150" t="str">
        <v/>
      </c>
      <c r="AE33" s="145"/>
      <c r="AF33" s="146"/>
      <c r="AG33" s="146"/>
      <c r="AH33" s="147"/>
      <c r="AI33" s="148"/>
      <c r="AJ33" s="148"/>
      <c r="AK33" s="150" t="str">
        <v/>
      </c>
      <c r="AL33" s="145"/>
      <c r="AM33" s="146"/>
      <c r="AN33" s="146"/>
      <c r="AO33" s="147"/>
      <c r="AP33" s="148"/>
      <c r="AQ33" s="148"/>
      <c r="AR33" s="150" t="str">
        <v/>
      </c>
      <c r="AS33" s="145"/>
      <c r="AT33" s="146"/>
      <c r="AU33" s="146"/>
      <c r="AV33" s="147"/>
      <c r="AW33" s="148"/>
      <c r="AX33" s="148"/>
      <c r="AY33" s="150" t="str">
        <v/>
      </c>
      <c r="AZ33" s="145"/>
      <c r="BA33" s="146"/>
      <c r="BB33" s="146"/>
      <c r="BC33" s="147"/>
      <c r="BD33" s="148"/>
      <c r="BE33" s="148"/>
      <c r="BF33" s="150" t="str">
        <v/>
      </c>
      <c r="BG33" s="145"/>
      <c r="BH33" s="146"/>
      <c r="BI33" s="146"/>
      <c r="BJ33" s="147"/>
      <c r="BK33" s="148"/>
      <c r="BL33" s="148"/>
      <c r="BM33" s="150" t="str">
        <v/>
      </c>
      <c r="BN33" s="145"/>
      <c r="BO33" s="146"/>
      <c r="BP33" s="146"/>
      <c r="BQ33" s="147"/>
      <c r="BR33" s="148"/>
      <c r="BS33" s="148"/>
      <c r="BT33" s="150" t="str">
        <v/>
      </c>
      <c r="BU33" s="151" t="str">
        <v/>
      </c>
      <c r="BV33" s="136"/>
    </row>
    <row r="34" spans="1:74">
      <c r="A34" s="139"/>
      <c r="C34" s="140"/>
      <c r="D34" s="141"/>
      <c r="E34" s="142"/>
      <c r="F34" s="142"/>
      <c r="G34" s="143"/>
      <c r="H34" s="144"/>
      <c r="I34" s="150" t="str">
        <v/>
      </c>
      <c r="J34" s="141"/>
      <c r="K34" s="142"/>
      <c r="L34" s="142"/>
      <c r="M34" s="143"/>
      <c r="N34" s="144"/>
      <c r="O34" s="144"/>
      <c r="P34" s="150" t="str">
        <v/>
      </c>
      <c r="Q34" s="141"/>
      <c r="R34" s="142"/>
      <c r="S34" s="142"/>
      <c r="T34" s="143"/>
      <c r="U34" s="144"/>
      <c r="V34" s="144"/>
      <c r="W34" s="150" t="str">
        <v/>
      </c>
      <c r="X34" s="145"/>
      <c r="Y34" s="146"/>
      <c r="Z34" s="146"/>
      <c r="AA34" s="147"/>
      <c r="AB34" s="148"/>
      <c r="AC34" s="148"/>
      <c r="AD34" s="150" t="str">
        <v/>
      </c>
      <c r="AE34" s="145"/>
      <c r="AF34" s="146"/>
      <c r="AG34" s="146"/>
      <c r="AH34" s="147"/>
      <c r="AI34" s="148"/>
      <c r="AJ34" s="148"/>
      <c r="AK34" s="150" t="str">
        <v/>
      </c>
      <c r="AL34" s="145"/>
      <c r="AM34" s="146"/>
      <c r="AN34" s="146"/>
      <c r="AO34" s="147"/>
      <c r="AP34" s="148"/>
      <c r="AQ34" s="148"/>
      <c r="AR34" s="150" t="str">
        <v/>
      </c>
      <c r="AS34" s="145"/>
      <c r="AT34" s="146"/>
      <c r="AU34" s="146"/>
      <c r="AV34" s="147"/>
      <c r="AW34" s="148"/>
      <c r="AX34" s="148"/>
      <c r="AY34" s="150" t="str">
        <v/>
      </c>
      <c r="AZ34" s="145"/>
      <c r="BA34" s="146"/>
      <c r="BB34" s="146"/>
      <c r="BC34" s="147"/>
      <c r="BD34" s="148"/>
      <c r="BE34" s="148"/>
      <c r="BF34" s="150" t="str">
        <v/>
      </c>
      <c r="BG34" s="145"/>
      <c r="BH34" s="146"/>
      <c r="BI34" s="146"/>
      <c r="BJ34" s="147"/>
      <c r="BK34" s="148"/>
      <c r="BL34" s="148"/>
      <c r="BM34" s="150" t="str">
        <v/>
      </c>
      <c r="BN34" s="145"/>
      <c r="BO34" s="146"/>
      <c r="BP34" s="146"/>
      <c r="BQ34" s="147"/>
      <c r="BR34" s="148"/>
      <c r="BS34" s="148"/>
      <c r="BT34" s="150" t="str">
        <v/>
      </c>
      <c r="BU34" s="151" t="str">
        <v/>
      </c>
      <c r="BV34" s="136"/>
    </row>
    <row r="35" spans="1:74">
      <c r="A35" s="139"/>
      <c r="C35" s="140"/>
      <c r="D35" s="141"/>
      <c r="E35" s="142"/>
      <c r="F35" s="142"/>
      <c r="G35" s="143"/>
      <c r="H35" s="144"/>
      <c r="I35" s="150" t="str">
        <v/>
      </c>
      <c r="J35" s="141"/>
      <c r="K35" s="142"/>
      <c r="L35" s="142"/>
      <c r="M35" s="143"/>
      <c r="N35" s="144"/>
      <c r="O35" s="144"/>
      <c r="P35" s="150" t="str">
        <v/>
      </c>
      <c r="Q35" s="141"/>
      <c r="R35" s="142"/>
      <c r="S35" s="142"/>
      <c r="T35" s="143"/>
      <c r="U35" s="144"/>
      <c r="V35" s="144"/>
      <c r="W35" s="150" t="str">
        <v/>
      </c>
      <c r="X35" s="145"/>
      <c r="Y35" s="146"/>
      <c r="Z35" s="146"/>
      <c r="AA35" s="147"/>
      <c r="AB35" s="148"/>
      <c r="AC35" s="148"/>
      <c r="AD35" s="150" t="str">
        <v/>
      </c>
      <c r="AE35" s="145"/>
      <c r="AF35" s="146"/>
      <c r="AG35" s="146"/>
      <c r="AH35" s="147"/>
      <c r="AI35" s="148"/>
      <c r="AJ35" s="148"/>
      <c r="AK35" s="150" t="str">
        <v/>
      </c>
      <c r="AL35" s="145"/>
      <c r="AM35" s="146"/>
      <c r="AN35" s="146"/>
      <c r="AO35" s="147"/>
      <c r="AP35" s="148"/>
      <c r="AQ35" s="148"/>
      <c r="AR35" s="150" t="str">
        <v/>
      </c>
      <c r="AS35" s="145"/>
      <c r="AT35" s="146"/>
      <c r="AU35" s="146"/>
      <c r="AV35" s="147"/>
      <c r="AW35" s="148"/>
      <c r="AX35" s="148"/>
      <c r="AY35" s="150" t="str">
        <v/>
      </c>
      <c r="AZ35" s="145"/>
      <c r="BA35" s="146"/>
      <c r="BB35" s="146"/>
      <c r="BC35" s="147"/>
      <c r="BD35" s="148"/>
      <c r="BE35" s="148"/>
      <c r="BF35" s="150" t="str">
        <v/>
      </c>
      <c r="BG35" s="145"/>
      <c r="BH35" s="146"/>
      <c r="BI35" s="146"/>
      <c r="BJ35" s="147"/>
      <c r="BK35" s="148"/>
      <c r="BL35" s="148"/>
      <c r="BM35" s="150" t="str">
        <v/>
      </c>
      <c r="BN35" s="145"/>
      <c r="BO35" s="146"/>
      <c r="BP35" s="146"/>
      <c r="BQ35" s="147"/>
      <c r="BR35" s="148"/>
      <c r="BS35" s="148"/>
      <c r="BT35" s="150" t="str">
        <v/>
      </c>
      <c r="BU35" s="151" t="str">
        <v/>
      </c>
      <c r="BV35" s="136"/>
    </row>
    <row r="36" spans="1:74">
      <c r="A36" s="139"/>
      <c r="C36" s="140"/>
      <c r="D36" s="141"/>
      <c r="E36" s="142"/>
      <c r="F36" s="142"/>
      <c r="G36" s="143"/>
      <c r="H36" s="144"/>
      <c r="I36" s="150" t="str">
        <v/>
      </c>
      <c r="J36" s="141"/>
      <c r="K36" s="142"/>
      <c r="L36" s="142"/>
      <c r="M36" s="143"/>
      <c r="N36" s="144"/>
      <c r="O36" s="144"/>
      <c r="P36" s="150" t="str">
        <v/>
      </c>
      <c r="Q36" s="141"/>
      <c r="R36" s="142"/>
      <c r="S36" s="142"/>
      <c r="T36" s="143"/>
      <c r="U36" s="144"/>
      <c r="V36" s="144"/>
      <c r="W36" s="150" t="str">
        <v/>
      </c>
      <c r="X36" s="145"/>
      <c r="Y36" s="146"/>
      <c r="Z36" s="146"/>
      <c r="AA36" s="147"/>
      <c r="AB36" s="148"/>
      <c r="AC36" s="148"/>
      <c r="AD36" s="150" t="str">
        <v/>
      </c>
      <c r="AE36" s="145"/>
      <c r="AF36" s="146"/>
      <c r="AG36" s="146"/>
      <c r="AH36" s="147"/>
      <c r="AI36" s="148"/>
      <c r="AJ36" s="148"/>
      <c r="AK36" s="150" t="str">
        <v/>
      </c>
      <c r="AL36" s="145"/>
      <c r="AM36" s="146"/>
      <c r="AN36" s="146"/>
      <c r="AO36" s="147"/>
      <c r="AP36" s="148"/>
      <c r="AQ36" s="148"/>
      <c r="AR36" s="150" t="str">
        <v/>
      </c>
      <c r="AS36" s="145"/>
      <c r="AT36" s="146"/>
      <c r="AU36" s="146"/>
      <c r="AV36" s="147"/>
      <c r="AW36" s="148"/>
      <c r="AX36" s="148"/>
      <c r="AY36" s="150" t="str">
        <v/>
      </c>
      <c r="AZ36" s="145"/>
      <c r="BA36" s="146"/>
      <c r="BB36" s="146"/>
      <c r="BC36" s="147"/>
      <c r="BD36" s="148"/>
      <c r="BE36" s="148"/>
      <c r="BF36" s="150" t="str">
        <v/>
      </c>
      <c r="BG36" s="145"/>
      <c r="BH36" s="146"/>
      <c r="BI36" s="146"/>
      <c r="BJ36" s="147"/>
      <c r="BK36" s="148"/>
      <c r="BL36" s="148"/>
      <c r="BM36" s="150" t="str">
        <v/>
      </c>
      <c r="BN36" s="145"/>
      <c r="BO36" s="146"/>
      <c r="BP36" s="146"/>
      <c r="BQ36" s="147"/>
      <c r="BR36" s="148"/>
      <c r="BS36" s="148"/>
      <c r="BT36" s="150" t="str">
        <v/>
      </c>
      <c r="BU36" s="151" t="str">
        <v/>
      </c>
      <c r="BV36" s="136"/>
    </row>
    <row r="37" spans="1:74">
      <c r="A37" s="139"/>
      <c r="C37" s="140"/>
      <c r="D37" s="141"/>
      <c r="E37" s="142"/>
      <c r="F37" s="142"/>
      <c r="G37" s="143"/>
      <c r="H37" s="144"/>
      <c r="I37" s="150" t="str">
        <v/>
      </c>
      <c r="J37" s="141"/>
      <c r="K37" s="142"/>
      <c r="L37" s="142"/>
      <c r="M37" s="143"/>
      <c r="N37" s="144"/>
      <c r="O37" s="144"/>
      <c r="P37" s="150" t="str">
        <v/>
      </c>
      <c r="Q37" s="141"/>
      <c r="R37" s="142"/>
      <c r="S37" s="142"/>
      <c r="T37" s="143"/>
      <c r="U37" s="144"/>
      <c r="V37" s="144"/>
      <c r="W37" s="150" t="str">
        <v/>
      </c>
      <c r="X37" s="145"/>
      <c r="Y37" s="146"/>
      <c r="Z37" s="146"/>
      <c r="AA37" s="147"/>
      <c r="AB37" s="148"/>
      <c r="AC37" s="148"/>
      <c r="AD37" s="150" t="str">
        <v/>
      </c>
      <c r="AE37" s="145"/>
      <c r="AF37" s="146"/>
      <c r="AG37" s="146"/>
      <c r="AH37" s="147"/>
      <c r="AI37" s="148"/>
      <c r="AJ37" s="148"/>
      <c r="AK37" s="150" t="str">
        <v/>
      </c>
      <c r="AL37" s="145"/>
      <c r="AM37" s="146"/>
      <c r="AN37" s="146"/>
      <c r="AO37" s="147"/>
      <c r="AP37" s="148"/>
      <c r="AQ37" s="148"/>
      <c r="AR37" s="150" t="str">
        <v/>
      </c>
      <c r="AS37" s="145"/>
      <c r="AT37" s="146"/>
      <c r="AU37" s="146"/>
      <c r="AV37" s="147"/>
      <c r="AW37" s="148"/>
      <c r="AX37" s="148"/>
      <c r="AY37" s="150" t="str">
        <v/>
      </c>
      <c r="AZ37" s="145"/>
      <c r="BA37" s="146"/>
      <c r="BB37" s="146"/>
      <c r="BC37" s="147"/>
      <c r="BD37" s="148"/>
      <c r="BE37" s="148"/>
      <c r="BF37" s="150" t="str">
        <v/>
      </c>
      <c r="BG37" s="145"/>
      <c r="BH37" s="146"/>
      <c r="BI37" s="146"/>
      <c r="BJ37" s="147"/>
      <c r="BK37" s="148"/>
      <c r="BL37" s="148"/>
      <c r="BM37" s="150" t="str">
        <v/>
      </c>
      <c r="BN37" s="145"/>
      <c r="BO37" s="146"/>
      <c r="BP37" s="146"/>
      <c r="BQ37" s="147"/>
      <c r="BR37" s="148"/>
      <c r="BS37" s="148"/>
      <c r="BT37" s="150" t="str">
        <v/>
      </c>
      <c r="BU37" s="151" t="str">
        <v/>
      </c>
      <c r="BV37" s="136"/>
    </row>
    <row r="38" spans="1:74">
      <c r="A38" s="139"/>
      <c r="C38" s="140"/>
      <c r="D38" s="141"/>
      <c r="E38" s="142"/>
      <c r="F38" s="142"/>
      <c r="G38" s="143"/>
      <c r="H38" s="144"/>
      <c r="I38" s="150" t="str">
        <v/>
      </c>
      <c r="J38" s="141"/>
      <c r="K38" s="142"/>
      <c r="L38" s="142"/>
      <c r="M38" s="143"/>
      <c r="N38" s="144"/>
      <c r="O38" s="144"/>
      <c r="P38" s="150" t="str">
        <v/>
      </c>
      <c r="Q38" s="141"/>
      <c r="R38" s="142"/>
      <c r="S38" s="142"/>
      <c r="T38" s="143"/>
      <c r="U38" s="144"/>
      <c r="V38" s="144"/>
      <c r="W38" s="150" t="str">
        <v/>
      </c>
      <c r="X38" s="145"/>
      <c r="Y38" s="146"/>
      <c r="Z38" s="146"/>
      <c r="AA38" s="147"/>
      <c r="AB38" s="148"/>
      <c r="AC38" s="148"/>
      <c r="AD38" s="150" t="str">
        <v/>
      </c>
      <c r="AE38" s="145"/>
      <c r="AF38" s="146"/>
      <c r="AG38" s="146"/>
      <c r="AH38" s="147"/>
      <c r="AI38" s="148"/>
      <c r="AJ38" s="148"/>
      <c r="AK38" s="150" t="str">
        <v/>
      </c>
      <c r="AL38" s="145"/>
      <c r="AM38" s="146"/>
      <c r="AN38" s="146"/>
      <c r="AO38" s="147"/>
      <c r="AP38" s="148"/>
      <c r="AQ38" s="148"/>
      <c r="AR38" s="150" t="str">
        <v/>
      </c>
      <c r="AS38" s="145"/>
      <c r="AT38" s="146"/>
      <c r="AU38" s="146"/>
      <c r="AV38" s="147"/>
      <c r="AW38" s="148"/>
      <c r="AX38" s="148"/>
      <c r="AY38" s="150" t="str">
        <v/>
      </c>
      <c r="AZ38" s="145"/>
      <c r="BA38" s="146"/>
      <c r="BB38" s="146"/>
      <c r="BC38" s="147"/>
      <c r="BD38" s="148"/>
      <c r="BE38" s="148"/>
      <c r="BF38" s="150" t="str">
        <v/>
      </c>
      <c r="BG38" s="145"/>
      <c r="BH38" s="146"/>
      <c r="BI38" s="146"/>
      <c r="BJ38" s="147"/>
      <c r="BK38" s="148"/>
      <c r="BL38" s="148"/>
      <c r="BM38" s="150" t="str">
        <v/>
      </c>
      <c r="BN38" s="145"/>
      <c r="BO38" s="146"/>
      <c r="BP38" s="146"/>
      <c r="BQ38" s="147"/>
      <c r="BR38" s="148"/>
      <c r="BS38" s="148"/>
      <c r="BT38" s="150" t="str">
        <v/>
      </c>
      <c r="BU38" s="151" t="str">
        <v/>
      </c>
      <c r="BV38" s="136"/>
    </row>
    <row r="39" spans="1:74">
      <c r="A39" s="139"/>
      <c r="C39" s="140"/>
      <c r="D39" s="141"/>
      <c r="E39" s="142"/>
      <c r="F39" s="142"/>
      <c r="G39" s="143"/>
      <c r="H39" s="144"/>
      <c r="I39" s="150" t="str">
        <v/>
      </c>
      <c r="J39" s="141"/>
      <c r="K39" s="142"/>
      <c r="L39" s="142"/>
      <c r="M39" s="143"/>
      <c r="N39" s="144"/>
      <c r="O39" s="144"/>
      <c r="P39" s="150" t="str">
        <v/>
      </c>
      <c r="Q39" s="141"/>
      <c r="R39" s="142"/>
      <c r="S39" s="142"/>
      <c r="T39" s="143"/>
      <c r="U39" s="144"/>
      <c r="V39" s="144"/>
      <c r="W39" s="150" t="str">
        <v/>
      </c>
      <c r="X39" s="145"/>
      <c r="Y39" s="146"/>
      <c r="Z39" s="146"/>
      <c r="AA39" s="147"/>
      <c r="AB39" s="148"/>
      <c r="AC39" s="148"/>
      <c r="AD39" s="150" t="str">
        <v/>
      </c>
      <c r="AE39" s="145"/>
      <c r="AF39" s="146"/>
      <c r="AG39" s="146"/>
      <c r="AH39" s="147"/>
      <c r="AI39" s="148"/>
      <c r="AJ39" s="148"/>
      <c r="AK39" s="150" t="str">
        <v/>
      </c>
      <c r="AL39" s="145"/>
      <c r="AM39" s="146"/>
      <c r="AN39" s="146"/>
      <c r="AO39" s="147"/>
      <c r="AP39" s="148"/>
      <c r="AQ39" s="148"/>
      <c r="AR39" s="150" t="str">
        <v/>
      </c>
      <c r="AS39" s="145"/>
      <c r="AT39" s="146"/>
      <c r="AU39" s="146"/>
      <c r="AV39" s="147"/>
      <c r="AW39" s="148"/>
      <c r="AX39" s="148"/>
      <c r="AY39" s="150" t="str">
        <v/>
      </c>
      <c r="AZ39" s="145"/>
      <c r="BA39" s="146"/>
      <c r="BB39" s="146"/>
      <c r="BC39" s="147"/>
      <c r="BD39" s="148"/>
      <c r="BE39" s="148"/>
      <c r="BF39" s="150" t="str">
        <v/>
      </c>
      <c r="BG39" s="145"/>
      <c r="BH39" s="146"/>
      <c r="BI39" s="146"/>
      <c r="BJ39" s="147"/>
      <c r="BK39" s="148"/>
      <c r="BL39" s="148"/>
      <c r="BM39" s="150" t="str">
        <v/>
      </c>
      <c r="BN39" s="145"/>
      <c r="BO39" s="146"/>
      <c r="BP39" s="146"/>
      <c r="BQ39" s="147"/>
      <c r="BR39" s="148"/>
      <c r="BS39" s="148"/>
      <c r="BT39" s="150" t="str">
        <v/>
      </c>
      <c r="BU39" s="151" t="str">
        <v/>
      </c>
      <c r="BV39" s="136"/>
    </row>
    <row r="40" spans="1:74">
      <c r="A40" s="139"/>
      <c r="C40" s="140"/>
      <c r="D40" s="141"/>
      <c r="E40" s="142"/>
      <c r="F40" s="142"/>
      <c r="G40" s="143"/>
      <c r="H40" s="144"/>
      <c r="I40" s="150" t="str">
        <v/>
      </c>
      <c r="J40" s="141"/>
      <c r="K40" s="142"/>
      <c r="L40" s="142"/>
      <c r="M40" s="143"/>
      <c r="N40" s="144"/>
      <c r="O40" s="144"/>
      <c r="P40" s="150" t="str">
        <v/>
      </c>
      <c r="Q40" s="141"/>
      <c r="R40" s="142"/>
      <c r="S40" s="142"/>
      <c r="T40" s="143"/>
      <c r="U40" s="144"/>
      <c r="V40" s="144"/>
      <c r="W40" s="150" t="str">
        <v/>
      </c>
      <c r="X40" s="145"/>
      <c r="Y40" s="146"/>
      <c r="Z40" s="146"/>
      <c r="AA40" s="147"/>
      <c r="AB40" s="148"/>
      <c r="AC40" s="148"/>
      <c r="AD40" s="150" t="str">
        <v/>
      </c>
      <c r="AE40" s="145"/>
      <c r="AF40" s="146"/>
      <c r="AG40" s="146"/>
      <c r="AH40" s="147"/>
      <c r="AI40" s="148"/>
      <c r="AJ40" s="148"/>
      <c r="AK40" s="150" t="str">
        <v/>
      </c>
      <c r="AL40" s="145"/>
      <c r="AM40" s="146"/>
      <c r="AN40" s="146"/>
      <c r="AO40" s="147"/>
      <c r="AP40" s="148"/>
      <c r="AQ40" s="148"/>
      <c r="AR40" s="150" t="str">
        <v/>
      </c>
      <c r="AS40" s="145"/>
      <c r="AT40" s="146"/>
      <c r="AU40" s="146"/>
      <c r="AV40" s="147"/>
      <c r="AW40" s="148"/>
      <c r="AX40" s="148"/>
      <c r="AY40" s="150" t="str">
        <v/>
      </c>
      <c r="AZ40" s="145"/>
      <c r="BA40" s="146"/>
      <c r="BB40" s="146"/>
      <c r="BC40" s="147"/>
      <c r="BD40" s="148"/>
      <c r="BE40" s="148"/>
      <c r="BF40" s="150" t="str">
        <v/>
      </c>
      <c r="BG40" s="145"/>
      <c r="BH40" s="146"/>
      <c r="BI40" s="146"/>
      <c r="BJ40" s="147"/>
      <c r="BK40" s="148"/>
      <c r="BL40" s="148"/>
      <c r="BM40" s="150" t="str">
        <v/>
      </c>
      <c r="BN40" s="145"/>
      <c r="BO40" s="146"/>
      <c r="BP40" s="146"/>
      <c r="BQ40" s="147"/>
      <c r="BR40" s="148"/>
      <c r="BS40" s="148"/>
      <c r="BT40" s="150" t="str">
        <v/>
      </c>
      <c r="BU40" s="151" t="str">
        <v/>
      </c>
      <c r="BV40" s="136"/>
    </row>
    <row r="41" spans="1:74">
      <c r="A41" s="139"/>
      <c r="C41" s="140"/>
      <c r="D41" s="141"/>
      <c r="E41" s="142"/>
      <c r="F41" s="142"/>
      <c r="G41" s="143"/>
      <c r="H41" s="144"/>
      <c r="I41" s="150" t="str">
        <v/>
      </c>
      <c r="J41" s="141"/>
      <c r="K41" s="142"/>
      <c r="L41" s="142"/>
      <c r="M41" s="143"/>
      <c r="N41" s="144"/>
      <c r="O41" s="144"/>
      <c r="P41" s="150" t="str">
        <v/>
      </c>
      <c r="Q41" s="141"/>
      <c r="R41" s="142"/>
      <c r="S41" s="142"/>
      <c r="T41" s="143"/>
      <c r="U41" s="144"/>
      <c r="V41" s="144"/>
      <c r="W41" s="150" t="str">
        <v/>
      </c>
      <c r="X41" s="145"/>
      <c r="Y41" s="146"/>
      <c r="Z41" s="146"/>
      <c r="AA41" s="147"/>
      <c r="AB41" s="148"/>
      <c r="AC41" s="148"/>
      <c r="AD41" s="150" t="str">
        <v/>
      </c>
      <c r="AE41" s="145"/>
      <c r="AF41" s="146"/>
      <c r="AG41" s="146"/>
      <c r="AH41" s="147"/>
      <c r="AI41" s="148"/>
      <c r="AJ41" s="148"/>
      <c r="AK41" s="150" t="str">
        <v/>
      </c>
      <c r="AL41" s="145"/>
      <c r="AM41" s="146"/>
      <c r="AN41" s="146"/>
      <c r="AO41" s="147"/>
      <c r="AP41" s="148"/>
      <c r="AQ41" s="148"/>
      <c r="AR41" s="150" t="str">
        <v/>
      </c>
      <c r="AS41" s="145"/>
      <c r="AT41" s="146"/>
      <c r="AU41" s="146"/>
      <c r="AV41" s="147"/>
      <c r="AW41" s="148"/>
      <c r="AX41" s="148"/>
      <c r="AY41" s="150" t="str">
        <v/>
      </c>
      <c r="AZ41" s="145"/>
      <c r="BA41" s="146"/>
      <c r="BB41" s="146"/>
      <c r="BC41" s="147"/>
      <c r="BD41" s="148"/>
      <c r="BE41" s="148"/>
      <c r="BF41" s="150" t="str">
        <v/>
      </c>
      <c r="BG41" s="145"/>
      <c r="BH41" s="146"/>
      <c r="BI41" s="146"/>
      <c r="BJ41" s="147"/>
      <c r="BK41" s="148"/>
      <c r="BL41" s="148"/>
      <c r="BM41" s="150" t="str">
        <v/>
      </c>
      <c r="BN41" s="145"/>
      <c r="BO41" s="146"/>
      <c r="BP41" s="146"/>
      <c r="BQ41" s="147"/>
      <c r="BR41" s="148"/>
      <c r="BS41" s="148"/>
      <c r="BT41" s="150" t="str">
        <v/>
      </c>
      <c r="BU41" s="151" t="str">
        <v/>
      </c>
      <c r="BV41" s="136"/>
    </row>
    <row r="42" spans="1:74">
      <c r="A42" s="139"/>
      <c r="C42" s="140"/>
      <c r="D42" s="141"/>
      <c r="E42" s="142"/>
      <c r="F42" s="142"/>
      <c r="G42" s="143"/>
      <c r="H42" s="144"/>
      <c r="I42" s="150" t="str">
        <v/>
      </c>
      <c r="J42" s="141"/>
      <c r="K42" s="142"/>
      <c r="L42" s="142"/>
      <c r="M42" s="143"/>
      <c r="N42" s="144"/>
      <c r="O42" s="144"/>
      <c r="P42" s="150" t="str">
        <v/>
      </c>
      <c r="Q42" s="141"/>
      <c r="R42" s="142"/>
      <c r="S42" s="142"/>
      <c r="T42" s="143"/>
      <c r="U42" s="144"/>
      <c r="V42" s="144"/>
      <c r="W42" s="150" t="str">
        <v/>
      </c>
      <c r="X42" s="145"/>
      <c r="Y42" s="146"/>
      <c r="Z42" s="146"/>
      <c r="AA42" s="147"/>
      <c r="AB42" s="148"/>
      <c r="AC42" s="148"/>
      <c r="AD42" s="150" t="str">
        <v/>
      </c>
      <c r="AE42" s="145"/>
      <c r="AF42" s="146"/>
      <c r="AG42" s="146"/>
      <c r="AH42" s="147"/>
      <c r="AI42" s="148"/>
      <c r="AJ42" s="148"/>
      <c r="AK42" s="150" t="str">
        <v/>
      </c>
      <c r="AL42" s="145"/>
      <c r="AM42" s="146"/>
      <c r="AN42" s="146"/>
      <c r="AO42" s="147"/>
      <c r="AP42" s="148"/>
      <c r="AQ42" s="148"/>
      <c r="AR42" s="150" t="str">
        <v/>
      </c>
      <c r="AS42" s="145"/>
      <c r="AT42" s="146"/>
      <c r="AU42" s="146"/>
      <c r="AV42" s="147"/>
      <c r="AW42" s="148"/>
      <c r="AX42" s="148"/>
      <c r="AY42" s="150" t="str">
        <v/>
      </c>
      <c r="AZ42" s="145"/>
      <c r="BA42" s="146"/>
      <c r="BB42" s="146"/>
      <c r="BC42" s="147"/>
      <c r="BD42" s="148"/>
      <c r="BE42" s="148"/>
      <c r="BF42" s="150" t="str">
        <v/>
      </c>
      <c r="BG42" s="145"/>
      <c r="BH42" s="146"/>
      <c r="BI42" s="146"/>
      <c r="BJ42" s="147"/>
      <c r="BK42" s="148"/>
      <c r="BL42" s="148"/>
      <c r="BM42" s="150" t="str">
        <v/>
      </c>
      <c r="BN42" s="145"/>
      <c r="BO42" s="146"/>
      <c r="BP42" s="146"/>
      <c r="BQ42" s="147"/>
      <c r="BR42" s="148"/>
      <c r="BS42" s="148"/>
      <c r="BT42" s="150" t="str">
        <v/>
      </c>
      <c r="BU42" s="151" t="str">
        <v/>
      </c>
      <c r="BV42" s="136"/>
    </row>
    <row r="43" spans="1:74">
      <c r="A43" s="139"/>
      <c r="C43" s="140"/>
      <c r="D43" s="141"/>
      <c r="E43" s="142"/>
      <c r="F43" s="142"/>
      <c r="G43" s="143"/>
      <c r="H43" s="144"/>
      <c r="I43" s="150" t="str">
        <v/>
      </c>
      <c r="J43" s="141"/>
      <c r="K43" s="142"/>
      <c r="L43" s="142"/>
      <c r="M43" s="143"/>
      <c r="N43" s="144"/>
      <c r="O43" s="144"/>
      <c r="P43" s="150" t="str">
        <v/>
      </c>
      <c r="Q43" s="141"/>
      <c r="R43" s="142"/>
      <c r="S43" s="142"/>
      <c r="T43" s="143"/>
      <c r="U43" s="144"/>
      <c r="V43" s="144"/>
      <c r="W43" s="150" t="str">
        <v/>
      </c>
      <c r="X43" s="145"/>
      <c r="Y43" s="146"/>
      <c r="Z43" s="146"/>
      <c r="AA43" s="147"/>
      <c r="AB43" s="148"/>
      <c r="AC43" s="148"/>
      <c r="AD43" s="150" t="str">
        <v/>
      </c>
      <c r="AE43" s="145"/>
      <c r="AF43" s="146"/>
      <c r="AG43" s="146"/>
      <c r="AH43" s="147"/>
      <c r="AI43" s="148"/>
      <c r="AJ43" s="148"/>
      <c r="AK43" s="150" t="str">
        <v/>
      </c>
      <c r="AL43" s="145"/>
      <c r="AM43" s="146"/>
      <c r="AN43" s="146"/>
      <c r="AO43" s="147"/>
      <c r="AP43" s="148"/>
      <c r="AQ43" s="148"/>
      <c r="AR43" s="150" t="str">
        <v/>
      </c>
      <c r="AS43" s="145"/>
      <c r="AT43" s="146"/>
      <c r="AU43" s="146"/>
      <c r="AV43" s="147"/>
      <c r="AW43" s="148"/>
      <c r="AX43" s="148"/>
      <c r="AY43" s="150" t="str">
        <v/>
      </c>
      <c r="AZ43" s="145"/>
      <c r="BA43" s="146"/>
      <c r="BB43" s="146"/>
      <c r="BC43" s="147"/>
      <c r="BD43" s="148"/>
      <c r="BE43" s="148"/>
      <c r="BF43" s="150" t="str">
        <v/>
      </c>
      <c r="BG43" s="145"/>
      <c r="BH43" s="146"/>
      <c r="BI43" s="146"/>
      <c r="BJ43" s="147"/>
      <c r="BK43" s="148"/>
      <c r="BL43" s="148"/>
      <c r="BM43" s="150" t="str">
        <v/>
      </c>
      <c r="BN43" s="145"/>
      <c r="BO43" s="146"/>
      <c r="BP43" s="146"/>
      <c r="BQ43" s="147"/>
      <c r="BR43" s="148"/>
      <c r="BS43" s="148"/>
      <c r="BT43" s="150" t="str">
        <v/>
      </c>
      <c r="BU43" s="151" t="str">
        <v/>
      </c>
      <c r="BV43" s="136"/>
    </row>
    <row r="44" spans="1:74">
      <c r="A44" s="139"/>
      <c r="C44" s="140"/>
      <c r="D44" s="141"/>
      <c r="E44" s="142"/>
      <c r="F44" s="142"/>
      <c r="G44" s="143"/>
      <c r="H44" s="144"/>
      <c r="I44" s="150" t="str">
        <v/>
      </c>
      <c r="J44" s="141"/>
      <c r="K44" s="142"/>
      <c r="L44" s="142"/>
      <c r="M44" s="143"/>
      <c r="N44" s="144"/>
      <c r="O44" s="144"/>
      <c r="P44" s="150" t="str">
        <v/>
      </c>
      <c r="Q44" s="141"/>
      <c r="R44" s="142"/>
      <c r="S44" s="142"/>
      <c r="T44" s="143"/>
      <c r="U44" s="144"/>
      <c r="V44" s="144"/>
      <c r="W44" s="150" t="str">
        <v/>
      </c>
      <c r="X44" s="145"/>
      <c r="Y44" s="146"/>
      <c r="Z44" s="146"/>
      <c r="AA44" s="147"/>
      <c r="AB44" s="148"/>
      <c r="AC44" s="148"/>
      <c r="AD44" s="150" t="str">
        <v/>
      </c>
      <c r="AE44" s="145"/>
      <c r="AF44" s="146"/>
      <c r="AG44" s="146"/>
      <c r="AH44" s="147"/>
      <c r="AI44" s="148"/>
      <c r="AJ44" s="148"/>
      <c r="AK44" s="150" t="str">
        <v/>
      </c>
      <c r="AL44" s="145"/>
      <c r="AM44" s="146"/>
      <c r="AN44" s="146"/>
      <c r="AO44" s="147"/>
      <c r="AP44" s="148"/>
      <c r="AQ44" s="148"/>
      <c r="AR44" s="150" t="str">
        <v/>
      </c>
      <c r="AS44" s="145"/>
      <c r="AT44" s="146"/>
      <c r="AU44" s="146"/>
      <c r="AV44" s="147"/>
      <c r="AW44" s="148"/>
      <c r="AX44" s="148"/>
      <c r="AY44" s="150" t="str">
        <v/>
      </c>
      <c r="AZ44" s="145"/>
      <c r="BA44" s="146"/>
      <c r="BB44" s="146"/>
      <c r="BC44" s="147"/>
      <c r="BD44" s="148"/>
      <c r="BE44" s="148"/>
      <c r="BF44" s="150" t="str">
        <v/>
      </c>
      <c r="BG44" s="145"/>
      <c r="BH44" s="146"/>
      <c r="BI44" s="146"/>
      <c r="BJ44" s="147"/>
      <c r="BK44" s="148"/>
      <c r="BL44" s="148"/>
      <c r="BM44" s="150" t="str">
        <v/>
      </c>
      <c r="BN44" s="145"/>
      <c r="BO44" s="146"/>
      <c r="BP44" s="146"/>
      <c r="BQ44" s="147"/>
      <c r="BR44" s="148"/>
      <c r="BS44" s="148"/>
      <c r="BT44" s="150" t="str">
        <v/>
      </c>
      <c r="BU44" s="151" t="str">
        <v/>
      </c>
      <c r="BV44" s="136"/>
    </row>
    <row r="45" spans="1:74">
      <c r="A45" s="139"/>
      <c r="C45" s="140"/>
      <c r="D45" s="141"/>
      <c r="E45" s="142"/>
      <c r="F45" s="142"/>
      <c r="G45" s="143"/>
      <c r="H45" s="144"/>
      <c r="I45" s="150" t="str">
        <v/>
      </c>
      <c r="J45" s="141"/>
      <c r="K45" s="142"/>
      <c r="L45" s="142"/>
      <c r="M45" s="143"/>
      <c r="N45" s="144"/>
      <c r="O45" s="144"/>
      <c r="P45" s="150" t="str">
        <v/>
      </c>
      <c r="Q45" s="141"/>
      <c r="R45" s="142"/>
      <c r="S45" s="142"/>
      <c r="T45" s="143"/>
      <c r="U45" s="144"/>
      <c r="V45" s="144"/>
      <c r="W45" s="150" t="str">
        <v/>
      </c>
      <c r="X45" s="145"/>
      <c r="Y45" s="146"/>
      <c r="Z45" s="146"/>
      <c r="AA45" s="147"/>
      <c r="AB45" s="148"/>
      <c r="AC45" s="148"/>
      <c r="AD45" s="150" t="str">
        <v/>
      </c>
      <c r="AE45" s="145"/>
      <c r="AF45" s="146"/>
      <c r="AG45" s="146"/>
      <c r="AH45" s="147"/>
      <c r="AI45" s="148"/>
      <c r="AJ45" s="148"/>
      <c r="AK45" s="150" t="str">
        <v/>
      </c>
      <c r="AL45" s="145"/>
      <c r="AM45" s="146"/>
      <c r="AN45" s="146"/>
      <c r="AO45" s="147"/>
      <c r="AP45" s="148"/>
      <c r="AQ45" s="148"/>
      <c r="AR45" s="150" t="str">
        <v/>
      </c>
      <c r="AS45" s="145"/>
      <c r="AT45" s="146"/>
      <c r="AU45" s="146"/>
      <c r="AV45" s="147"/>
      <c r="AW45" s="148"/>
      <c r="AX45" s="148"/>
      <c r="AY45" s="150" t="str">
        <v/>
      </c>
      <c r="AZ45" s="145"/>
      <c r="BA45" s="146"/>
      <c r="BB45" s="146"/>
      <c r="BC45" s="147"/>
      <c r="BD45" s="148"/>
      <c r="BE45" s="148"/>
      <c r="BF45" s="150" t="str">
        <v/>
      </c>
      <c r="BG45" s="145"/>
      <c r="BH45" s="146"/>
      <c r="BI45" s="146"/>
      <c r="BJ45" s="147"/>
      <c r="BK45" s="148"/>
      <c r="BL45" s="148"/>
      <c r="BM45" s="150" t="str">
        <v/>
      </c>
      <c r="BN45" s="145"/>
      <c r="BO45" s="146"/>
      <c r="BP45" s="146"/>
      <c r="BQ45" s="147"/>
      <c r="BR45" s="148"/>
      <c r="BS45" s="148"/>
      <c r="BT45" s="150" t="str">
        <v/>
      </c>
      <c r="BU45" s="151" t="str">
        <v/>
      </c>
      <c r="BV45" s="136"/>
    </row>
    <row r="46" spans="1:74">
      <c r="A46" s="139"/>
      <c r="C46" s="140"/>
      <c r="D46" s="141"/>
      <c r="E46" s="142"/>
      <c r="F46" s="142"/>
      <c r="G46" s="143"/>
      <c r="H46" s="144"/>
      <c r="I46" s="150" t="str">
        <v/>
      </c>
      <c r="J46" s="141"/>
      <c r="K46" s="142"/>
      <c r="L46" s="142"/>
      <c r="M46" s="143"/>
      <c r="N46" s="144"/>
      <c r="O46" s="144"/>
      <c r="P46" s="150" t="str">
        <v/>
      </c>
      <c r="Q46" s="141"/>
      <c r="R46" s="142"/>
      <c r="S46" s="142"/>
      <c r="T46" s="143"/>
      <c r="U46" s="144"/>
      <c r="V46" s="144"/>
      <c r="W46" s="150" t="str">
        <v/>
      </c>
      <c r="X46" s="145"/>
      <c r="Y46" s="146"/>
      <c r="Z46" s="146"/>
      <c r="AA46" s="147"/>
      <c r="AB46" s="148"/>
      <c r="AC46" s="148"/>
      <c r="AD46" s="150" t="str">
        <v/>
      </c>
      <c r="AE46" s="145"/>
      <c r="AF46" s="146"/>
      <c r="AG46" s="146"/>
      <c r="AH46" s="147"/>
      <c r="AI46" s="148"/>
      <c r="AJ46" s="148"/>
      <c r="AK46" s="150" t="str">
        <v/>
      </c>
      <c r="AL46" s="145"/>
      <c r="AM46" s="146"/>
      <c r="AN46" s="146"/>
      <c r="AO46" s="147"/>
      <c r="AP46" s="148"/>
      <c r="AQ46" s="148"/>
      <c r="AR46" s="150" t="str">
        <v/>
      </c>
      <c r="AS46" s="145"/>
      <c r="AT46" s="146"/>
      <c r="AU46" s="146"/>
      <c r="AV46" s="147"/>
      <c r="AW46" s="148"/>
      <c r="AX46" s="148"/>
      <c r="AY46" s="150" t="str">
        <v/>
      </c>
      <c r="AZ46" s="145"/>
      <c r="BA46" s="146"/>
      <c r="BB46" s="146"/>
      <c r="BC46" s="147"/>
      <c r="BD46" s="148"/>
      <c r="BE46" s="148"/>
      <c r="BF46" s="150" t="str">
        <v/>
      </c>
      <c r="BG46" s="145"/>
      <c r="BH46" s="146"/>
      <c r="BI46" s="146"/>
      <c r="BJ46" s="147"/>
      <c r="BK46" s="148"/>
      <c r="BL46" s="148"/>
      <c r="BM46" s="150" t="str">
        <v/>
      </c>
      <c r="BN46" s="145"/>
      <c r="BO46" s="146"/>
      <c r="BP46" s="146"/>
      <c r="BQ46" s="147"/>
      <c r="BR46" s="148"/>
      <c r="BS46" s="148"/>
      <c r="BT46" s="150" t="str">
        <v/>
      </c>
      <c r="BU46" s="151" t="str">
        <v/>
      </c>
      <c r="BV46" s="136"/>
    </row>
    <row r="47" spans="1:74">
      <c r="A47" s="139"/>
      <c r="C47" s="140"/>
      <c r="D47" s="141"/>
      <c r="E47" s="142"/>
      <c r="F47" s="142"/>
      <c r="G47" s="143"/>
      <c r="H47" s="144"/>
      <c r="I47" s="150" t="str">
        <v/>
      </c>
      <c r="J47" s="141"/>
      <c r="K47" s="142"/>
      <c r="L47" s="142"/>
      <c r="M47" s="143"/>
      <c r="N47" s="144"/>
      <c r="O47" s="144"/>
      <c r="P47" s="150" t="str">
        <v/>
      </c>
      <c r="Q47" s="141"/>
      <c r="R47" s="142"/>
      <c r="S47" s="142"/>
      <c r="T47" s="143"/>
      <c r="U47" s="144"/>
      <c r="V47" s="144"/>
      <c r="W47" s="150" t="str">
        <v/>
      </c>
      <c r="X47" s="145"/>
      <c r="Y47" s="146"/>
      <c r="Z47" s="146"/>
      <c r="AA47" s="147"/>
      <c r="AB47" s="148"/>
      <c r="AC47" s="148"/>
      <c r="AD47" s="150" t="str">
        <v/>
      </c>
      <c r="AE47" s="145"/>
      <c r="AF47" s="146"/>
      <c r="AG47" s="146"/>
      <c r="AH47" s="147"/>
      <c r="AI47" s="148"/>
      <c r="AJ47" s="148"/>
      <c r="AK47" s="150" t="str">
        <v/>
      </c>
      <c r="AL47" s="145"/>
      <c r="AM47" s="146"/>
      <c r="AN47" s="146"/>
      <c r="AO47" s="147"/>
      <c r="AP47" s="148"/>
      <c r="AQ47" s="148"/>
      <c r="AR47" s="150" t="str">
        <v/>
      </c>
      <c r="AS47" s="145"/>
      <c r="AT47" s="146"/>
      <c r="AU47" s="146"/>
      <c r="AV47" s="147"/>
      <c r="AW47" s="148"/>
      <c r="AX47" s="148"/>
      <c r="AY47" s="150" t="str">
        <v/>
      </c>
      <c r="AZ47" s="145"/>
      <c r="BA47" s="146"/>
      <c r="BB47" s="146"/>
      <c r="BC47" s="147"/>
      <c r="BD47" s="148"/>
      <c r="BE47" s="148"/>
      <c r="BF47" s="150" t="str">
        <v/>
      </c>
      <c r="BG47" s="145"/>
      <c r="BH47" s="146"/>
      <c r="BI47" s="146"/>
      <c r="BJ47" s="147"/>
      <c r="BK47" s="148"/>
      <c r="BL47" s="148"/>
      <c r="BM47" s="150" t="str">
        <v/>
      </c>
      <c r="BN47" s="145"/>
      <c r="BO47" s="146"/>
      <c r="BP47" s="146"/>
      <c r="BQ47" s="147"/>
      <c r="BR47" s="148"/>
      <c r="BS47" s="148"/>
      <c r="BT47" s="150" t="str">
        <v/>
      </c>
      <c r="BU47" s="151" t="str">
        <v/>
      </c>
      <c r="BV47" s="136"/>
    </row>
    <row r="48" spans="1:74">
      <c r="A48" s="139"/>
      <c r="C48" s="140"/>
      <c r="D48" s="141"/>
      <c r="E48" s="142"/>
      <c r="F48" s="142"/>
      <c r="G48" s="143"/>
      <c r="H48" s="144"/>
      <c r="I48" s="150" t="str">
        <v/>
      </c>
      <c r="J48" s="141"/>
      <c r="K48" s="142"/>
      <c r="L48" s="142"/>
      <c r="M48" s="143"/>
      <c r="N48" s="144"/>
      <c r="O48" s="144"/>
      <c r="P48" s="150" t="str">
        <v/>
      </c>
      <c r="Q48" s="141"/>
      <c r="R48" s="142"/>
      <c r="S48" s="142"/>
      <c r="T48" s="143"/>
      <c r="U48" s="144"/>
      <c r="V48" s="144"/>
      <c r="W48" s="150" t="str">
        <v/>
      </c>
      <c r="X48" s="145"/>
      <c r="Y48" s="146"/>
      <c r="Z48" s="146"/>
      <c r="AA48" s="147"/>
      <c r="AB48" s="148"/>
      <c r="AC48" s="148"/>
      <c r="AD48" s="150" t="str">
        <v/>
      </c>
      <c r="AE48" s="145"/>
      <c r="AF48" s="146"/>
      <c r="AG48" s="146"/>
      <c r="AH48" s="147"/>
      <c r="AI48" s="148"/>
      <c r="AJ48" s="148"/>
      <c r="AK48" s="150" t="str">
        <v/>
      </c>
      <c r="AL48" s="145"/>
      <c r="AM48" s="146"/>
      <c r="AN48" s="146"/>
      <c r="AO48" s="147"/>
      <c r="AP48" s="148"/>
      <c r="AQ48" s="148"/>
      <c r="AR48" s="150" t="str">
        <v/>
      </c>
      <c r="AS48" s="145"/>
      <c r="AT48" s="146"/>
      <c r="AU48" s="146"/>
      <c r="AV48" s="147"/>
      <c r="AW48" s="148"/>
      <c r="AX48" s="148"/>
      <c r="AY48" s="150" t="str">
        <v/>
      </c>
      <c r="AZ48" s="145"/>
      <c r="BA48" s="146"/>
      <c r="BB48" s="146"/>
      <c r="BC48" s="147"/>
      <c r="BD48" s="148"/>
      <c r="BE48" s="148"/>
      <c r="BF48" s="150" t="str">
        <v/>
      </c>
      <c r="BG48" s="145"/>
      <c r="BH48" s="146"/>
      <c r="BI48" s="146"/>
      <c r="BJ48" s="147"/>
      <c r="BK48" s="148"/>
      <c r="BL48" s="148"/>
      <c r="BM48" s="150" t="str">
        <v/>
      </c>
      <c r="BN48" s="145"/>
      <c r="BO48" s="146"/>
      <c r="BP48" s="146"/>
      <c r="BQ48" s="147"/>
      <c r="BR48" s="148"/>
      <c r="BS48" s="148"/>
      <c r="BT48" s="150" t="str">
        <v/>
      </c>
      <c r="BU48" s="151" t="str">
        <v/>
      </c>
      <c r="BV48" s="136"/>
    </row>
    <row r="49" spans="1:74">
      <c r="A49" s="139"/>
      <c r="C49" s="140"/>
      <c r="D49" s="141"/>
      <c r="E49" s="142"/>
      <c r="F49" s="142"/>
      <c r="G49" s="143"/>
      <c r="H49" s="144"/>
      <c r="I49" s="150" t="str">
        <v/>
      </c>
      <c r="J49" s="141"/>
      <c r="K49" s="142"/>
      <c r="L49" s="142"/>
      <c r="M49" s="143"/>
      <c r="N49" s="144"/>
      <c r="O49" s="144"/>
      <c r="P49" s="150" t="str">
        <v/>
      </c>
      <c r="Q49" s="141"/>
      <c r="R49" s="142"/>
      <c r="S49" s="142"/>
      <c r="T49" s="143"/>
      <c r="U49" s="144"/>
      <c r="V49" s="144"/>
      <c r="W49" s="150" t="str">
        <v/>
      </c>
      <c r="X49" s="145"/>
      <c r="Y49" s="146"/>
      <c r="Z49" s="146"/>
      <c r="AA49" s="147"/>
      <c r="AB49" s="148"/>
      <c r="AC49" s="148"/>
      <c r="AD49" s="150" t="str">
        <v/>
      </c>
      <c r="AE49" s="145"/>
      <c r="AF49" s="146"/>
      <c r="AG49" s="146"/>
      <c r="AH49" s="147"/>
      <c r="AI49" s="148"/>
      <c r="AJ49" s="148"/>
      <c r="AK49" s="150" t="str">
        <v/>
      </c>
      <c r="AL49" s="145"/>
      <c r="AM49" s="146"/>
      <c r="AN49" s="146"/>
      <c r="AO49" s="147"/>
      <c r="AP49" s="148"/>
      <c r="AQ49" s="148"/>
      <c r="AR49" s="150" t="str">
        <v/>
      </c>
      <c r="AS49" s="145"/>
      <c r="AT49" s="146"/>
      <c r="AU49" s="146"/>
      <c r="AV49" s="147"/>
      <c r="AW49" s="148"/>
      <c r="AX49" s="148"/>
      <c r="AY49" s="150" t="str">
        <v/>
      </c>
      <c r="AZ49" s="145"/>
      <c r="BA49" s="146"/>
      <c r="BB49" s="146"/>
      <c r="BC49" s="147"/>
      <c r="BD49" s="148"/>
      <c r="BE49" s="148"/>
      <c r="BF49" s="150" t="str">
        <v/>
      </c>
      <c r="BG49" s="145"/>
      <c r="BH49" s="146"/>
      <c r="BI49" s="146"/>
      <c r="BJ49" s="147"/>
      <c r="BK49" s="148"/>
      <c r="BL49" s="148"/>
      <c r="BM49" s="150" t="str">
        <v/>
      </c>
      <c r="BN49" s="145"/>
      <c r="BO49" s="146"/>
      <c r="BP49" s="146"/>
      <c r="BQ49" s="147"/>
      <c r="BR49" s="148"/>
      <c r="BS49" s="148"/>
      <c r="BT49" s="150" t="str">
        <v/>
      </c>
      <c r="BU49" s="151" t="str">
        <v/>
      </c>
      <c r="BV49" s="136"/>
    </row>
    <row r="50" spans="1:74">
      <c r="A50" s="139"/>
      <c r="C50" s="140"/>
      <c r="D50" s="141"/>
      <c r="E50" s="142"/>
      <c r="F50" s="142"/>
      <c r="G50" s="143"/>
      <c r="H50" s="144"/>
      <c r="I50" s="150" t="str">
        <v/>
      </c>
      <c r="J50" s="141"/>
      <c r="K50" s="142"/>
      <c r="L50" s="142"/>
      <c r="M50" s="143"/>
      <c r="N50" s="144"/>
      <c r="O50" s="144"/>
      <c r="P50" s="150" t="str">
        <v/>
      </c>
      <c r="Q50" s="141"/>
      <c r="R50" s="142"/>
      <c r="S50" s="142"/>
      <c r="T50" s="143"/>
      <c r="U50" s="144"/>
      <c r="V50" s="144"/>
      <c r="W50" s="150" t="str">
        <v/>
      </c>
      <c r="X50" s="145"/>
      <c r="Y50" s="146"/>
      <c r="Z50" s="146"/>
      <c r="AA50" s="147"/>
      <c r="AB50" s="148"/>
      <c r="AC50" s="148"/>
      <c r="AD50" s="150" t="str">
        <v/>
      </c>
      <c r="AE50" s="145"/>
      <c r="AF50" s="146"/>
      <c r="AG50" s="146"/>
      <c r="AH50" s="147"/>
      <c r="AI50" s="148"/>
      <c r="AJ50" s="148"/>
      <c r="AK50" s="150" t="str">
        <v/>
      </c>
      <c r="AL50" s="145"/>
      <c r="AM50" s="146"/>
      <c r="AN50" s="146"/>
      <c r="AO50" s="147"/>
      <c r="AP50" s="148"/>
      <c r="AQ50" s="148"/>
      <c r="AR50" s="150" t="str">
        <v/>
      </c>
      <c r="AS50" s="145"/>
      <c r="AT50" s="146"/>
      <c r="AU50" s="146"/>
      <c r="AV50" s="147"/>
      <c r="AW50" s="148"/>
      <c r="AX50" s="148"/>
      <c r="AY50" s="150" t="str">
        <v/>
      </c>
      <c r="AZ50" s="145"/>
      <c r="BA50" s="146"/>
      <c r="BB50" s="146"/>
      <c r="BC50" s="147"/>
      <c r="BD50" s="148"/>
      <c r="BE50" s="148"/>
      <c r="BF50" s="150" t="str">
        <v/>
      </c>
      <c r="BG50" s="145"/>
      <c r="BH50" s="146"/>
      <c r="BI50" s="146"/>
      <c r="BJ50" s="147"/>
      <c r="BK50" s="148"/>
      <c r="BL50" s="148"/>
      <c r="BM50" s="150" t="str">
        <v/>
      </c>
      <c r="BN50" s="145"/>
      <c r="BO50" s="146"/>
      <c r="BP50" s="146"/>
      <c r="BQ50" s="147"/>
      <c r="BR50" s="148"/>
      <c r="BS50" s="148"/>
      <c r="BT50" s="150" t="str">
        <v/>
      </c>
      <c r="BU50" s="151" t="str">
        <v/>
      </c>
      <c r="BV50" s="136"/>
    </row>
    <row r="51" spans="1:74">
      <c r="A51" s="139"/>
      <c r="C51" s="140"/>
      <c r="D51" s="141"/>
      <c r="E51" s="142"/>
      <c r="F51" s="142"/>
      <c r="G51" s="143"/>
      <c r="H51" s="144"/>
      <c r="I51" s="150" t="str">
        <v/>
      </c>
      <c r="J51" s="141"/>
      <c r="K51" s="142"/>
      <c r="L51" s="142"/>
      <c r="M51" s="143"/>
      <c r="N51" s="144"/>
      <c r="O51" s="144"/>
      <c r="P51" s="150" t="str">
        <v/>
      </c>
      <c r="Q51" s="141"/>
      <c r="R51" s="142"/>
      <c r="S51" s="142"/>
      <c r="T51" s="143"/>
      <c r="U51" s="144"/>
      <c r="V51" s="144"/>
      <c r="W51" s="150" t="str">
        <v/>
      </c>
      <c r="X51" s="145"/>
      <c r="Y51" s="146"/>
      <c r="Z51" s="146"/>
      <c r="AA51" s="147"/>
      <c r="AB51" s="148"/>
      <c r="AC51" s="148"/>
      <c r="AD51" s="150" t="str">
        <v/>
      </c>
      <c r="AE51" s="145"/>
      <c r="AF51" s="146"/>
      <c r="AG51" s="146"/>
      <c r="AH51" s="147"/>
      <c r="AI51" s="148"/>
      <c r="AJ51" s="148"/>
      <c r="AK51" s="150" t="str">
        <v/>
      </c>
      <c r="AL51" s="145"/>
      <c r="AM51" s="146"/>
      <c r="AN51" s="146"/>
      <c r="AO51" s="147"/>
      <c r="AP51" s="148"/>
      <c r="AQ51" s="148"/>
      <c r="AR51" s="150" t="str">
        <v/>
      </c>
      <c r="AS51" s="145"/>
      <c r="AT51" s="146"/>
      <c r="AU51" s="146"/>
      <c r="AV51" s="147"/>
      <c r="AW51" s="148"/>
      <c r="AX51" s="148"/>
      <c r="AY51" s="150" t="str">
        <v/>
      </c>
      <c r="AZ51" s="145"/>
      <c r="BA51" s="146"/>
      <c r="BB51" s="146"/>
      <c r="BC51" s="147"/>
      <c r="BD51" s="148"/>
      <c r="BE51" s="148"/>
      <c r="BF51" s="150" t="str">
        <v/>
      </c>
      <c r="BG51" s="145"/>
      <c r="BH51" s="146"/>
      <c r="BI51" s="146"/>
      <c r="BJ51" s="147"/>
      <c r="BK51" s="148"/>
      <c r="BL51" s="148"/>
      <c r="BM51" s="150" t="str">
        <v/>
      </c>
      <c r="BN51" s="145"/>
      <c r="BO51" s="146"/>
      <c r="BP51" s="146"/>
      <c r="BQ51" s="147"/>
      <c r="BR51" s="148"/>
      <c r="BS51" s="148"/>
      <c r="BT51" s="150" t="str">
        <v/>
      </c>
      <c r="BU51" s="151" t="str">
        <v/>
      </c>
      <c r="BV51" s="136"/>
    </row>
    <row r="52" spans="1:74">
      <c r="A52" s="139"/>
      <c r="C52" s="140"/>
      <c r="D52" s="141"/>
      <c r="E52" s="142"/>
      <c r="F52" s="142"/>
      <c r="G52" s="143"/>
      <c r="H52" s="144"/>
      <c r="I52" s="150" t="str">
        <v/>
      </c>
      <c r="J52" s="141"/>
      <c r="K52" s="142"/>
      <c r="L52" s="142"/>
      <c r="M52" s="143"/>
      <c r="N52" s="144"/>
      <c r="O52" s="144"/>
      <c r="P52" s="150" t="str">
        <v/>
      </c>
      <c r="Q52" s="141"/>
      <c r="R52" s="142"/>
      <c r="S52" s="142"/>
      <c r="T52" s="143"/>
      <c r="U52" s="144"/>
      <c r="V52" s="144"/>
      <c r="W52" s="150" t="str">
        <v/>
      </c>
      <c r="X52" s="145"/>
      <c r="Y52" s="146"/>
      <c r="Z52" s="146"/>
      <c r="AA52" s="147"/>
      <c r="AB52" s="148"/>
      <c r="AC52" s="148"/>
      <c r="AD52" s="150" t="str">
        <v/>
      </c>
      <c r="AE52" s="145"/>
      <c r="AF52" s="146"/>
      <c r="AG52" s="146"/>
      <c r="AH52" s="147"/>
      <c r="AI52" s="148"/>
      <c r="AJ52" s="148"/>
      <c r="AK52" s="150" t="str">
        <v/>
      </c>
      <c r="AL52" s="145"/>
      <c r="AM52" s="146"/>
      <c r="AN52" s="146"/>
      <c r="AO52" s="147"/>
      <c r="AP52" s="148"/>
      <c r="AQ52" s="148"/>
      <c r="AR52" s="150" t="str">
        <v/>
      </c>
      <c r="AS52" s="145"/>
      <c r="AT52" s="146"/>
      <c r="AU52" s="146"/>
      <c r="AV52" s="147"/>
      <c r="AW52" s="148"/>
      <c r="AX52" s="148"/>
      <c r="AY52" s="150" t="str">
        <v/>
      </c>
      <c r="AZ52" s="145"/>
      <c r="BA52" s="146"/>
      <c r="BB52" s="146"/>
      <c r="BC52" s="147"/>
      <c r="BD52" s="148"/>
      <c r="BE52" s="148"/>
      <c r="BF52" s="150" t="str">
        <v/>
      </c>
      <c r="BG52" s="145"/>
      <c r="BH52" s="146"/>
      <c r="BI52" s="146"/>
      <c r="BJ52" s="147"/>
      <c r="BK52" s="148"/>
      <c r="BL52" s="148"/>
      <c r="BM52" s="150" t="str">
        <v/>
      </c>
      <c r="BN52" s="145"/>
      <c r="BO52" s="146"/>
      <c r="BP52" s="146"/>
      <c r="BQ52" s="147"/>
      <c r="BR52" s="148"/>
      <c r="BS52" s="148"/>
      <c r="BT52" s="150" t="str">
        <v/>
      </c>
      <c r="BU52" s="151" t="str">
        <v/>
      </c>
      <c r="BV52" s="136"/>
    </row>
    <row r="53" spans="1:74">
      <c r="A53" s="139"/>
      <c r="C53" s="140"/>
      <c r="D53" s="141"/>
      <c r="E53" s="142"/>
      <c r="F53" s="142"/>
      <c r="G53" s="143"/>
      <c r="H53" s="144"/>
      <c r="I53" s="150" t="str">
        <v/>
      </c>
      <c r="J53" s="141"/>
      <c r="K53" s="142"/>
      <c r="L53" s="142"/>
      <c r="M53" s="143"/>
      <c r="N53" s="144"/>
      <c r="O53" s="144"/>
      <c r="P53" s="150" t="str">
        <v/>
      </c>
      <c r="Q53" s="141"/>
      <c r="R53" s="142"/>
      <c r="S53" s="142"/>
      <c r="T53" s="143"/>
      <c r="U53" s="144"/>
      <c r="V53" s="144"/>
      <c r="W53" s="150" t="str">
        <v/>
      </c>
      <c r="X53" s="145"/>
      <c r="Y53" s="146"/>
      <c r="Z53" s="146"/>
      <c r="AA53" s="147"/>
      <c r="AB53" s="148"/>
      <c r="AC53" s="148"/>
      <c r="AD53" s="150" t="str">
        <v/>
      </c>
      <c r="AE53" s="145"/>
      <c r="AF53" s="146"/>
      <c r="AG53" s="146"/>
      <c r="AH53" s="147"/>
      <c r="AI53" s="148"/>
      <c r="AJ53" s="148"/>
      <c r="AK53" s="150" t="str">
        <v/>
      </c>
      <c r="AL53" s="145"/>
      <c r="AM53" s="146"/>
      <c r="AN53" s="146"/>
      <c r="AO53" s="147"/>
      <c r="AP53" s="148"/>
      <c r="AQ53" s="148"/>
      <c r="AR53" s="150" t="str">
        <v/>
      </c>
      <c r="AS53" s="145"/>
      <c r="AT53" s="146"/>
      <c r="AU53" s="146"/>
      <c r="AV53" s="147"/>
      <c r="AW53" s="148"/>
      <c r="AX53" s="148"/>
      <c r="AY53" s="150" t="str">
        <v/>
      </c>
      <c r="AZ53" s="145"/>
      <c r="BA53" s="146"/>
      <c r="BB53" s="146"/>
      <c r="BC53" s="147"/>
      <c r="BD53" s="148"/>
      <c r="BE53" s="148"/>
      <c r="BF53" s="150" t="str">
        <v/>
      </c>
      <c r="BG53" s="145"/>
      <c r="BH53" s="146"/>
      <c r="BI53" s="146"/>
      <c r="BJ53" s="147"/>
      <c r="BK53" s="148"/>
      <c r="BL53" s="148"/>
      <c r="BM53" s="150" t="str">
        <v/>
      </c>
      <c r="BN53" s="145"/>
      <c r="BO53" s="146"/>
      <c r="BP53" s="146"/>
      <c r="BQ53" s="147"/>
      <c r="BR53" s="148"/>
      <c r="BS53" s="148"/>
      <c r="BT53" s="150" t="str">
        <v/>
      </c>
      <c r="BU53" s="151" t="str">
        <v/>
      </c>
      <c r="BV53" s="136"/>
    </row>
    <row r="54" spans="1:74">
      <c r="A54" s="139"/>
      <c r="C54" s="140"/>
      <c r="D54" s="141"/>
      <c r="E54" s="142"/>
      <c r="F54" s="142"/>
      <c r="G54" s="143"/>
      <c r="H54" s="144"/>
      <c r="I54" s="150" t="str">
        <v/>
      </c>
      <c r="J54" s="141"/>
      <c r="K54" s="142"/>
      <c r="L54" s="142"/>
      <c r="M54" s="143"/>
      <c r="N54" s="144"/>
      <c r="O54" s="144"/>
      <c r="P54" s="150" t="str">
        <v/>
      </c>
      <c r="Q54" s="141"/>
      <c r="R54" s="142"/>
      <c r="S54" s="142"/>
      <c r="T54" s="143"/>
      <c r="U54" s="144"/>
      <c r="V54" s="144"/>
      <c r="W54" s="150" t="str">
        <v/>
      </c>
      <c r="X54" s="145"/>
      <c r="Y54" s="146"/>
      <c r="Z54" s="146"/>
      <c r="AA54" s="147"/>
      <c r="AB54" s="148"/>
      <c r="AC54" s="148"/>
      <c r="AD54" s="150" t="str">
        <v/>
      </c>
      <c r="AE54" s="145"/>
      <c r="AF54" s="146"/>
      <c r="AG54" s="146"/>
      <c r="AH54" s="147"/>
      <c r="AI54" s="148"/>
      <c r="AJ54" s="148"/>
      <c r="AK54" s="150" t="str">
        <v/>
      </c>
      <c r="AL54" s="145"/>
      <c r="AM54" s="146"/>
      <c r="AN54" s="146"/>
      <c r="AO54" s="147"/>
      <c r="AP54" s="148"/>
      <c r="AQ54" s="148"/>
      <c r="AR54" s="150" t="str">
        <v/>
      </c>
      <c r="AS54" s="145"/>
      <c r="AT54" s="146"/>
      <c r="AU54" s="146"/>
      <c r="AV54" s="147"/>
      <c r="AW54" s="148"/>
      <c r="AX54" s="148"/>
      <c r="AY54" s="150" t="str">
        <v/>
      </c>
      <c r="AZ54" s="145"/>
      <c r="BA54" s="146"/>
      <c r="BB54" s="146"/>
      <c r="BC54" s="147"/>
      <c r="BD54" s="148"/>
      <c r="BE54" s="148"/>
      <c r="BF54" s="150" t="str">
        <v/>
      </c>
      <c r="BG54" s="145"/>
      <c r="BH54" s="146"/>
      <c r="BI54" s="146"/>
      <c r="BJ54" s="147"/>
      <c r="BK54" s="148"/>
      <c r="BL54" s="148"/>
      <c r="BM54" s="150" t="str">
        <v/>
      </c>
      <c r="BN54" s="145"/>
      <c r="BO54" s="146"/>
      <c r="BP54" s="146"/>
      <c r="BQ54" s="147"/>
      <c r="BR54" s="148"/>
      <c r="BS54" s="148"/>
      <c r="BT54" s="150" t="str">
        <v/>
      </c>
      <c r="BU54" s="151" t="str">
        <v/>
      </c>
      <c r="BV54" s="136"/>
    </row>
    <row r="55" spans="1:74">
      <c r="A55" s="139"/>
      <c r="C55" s="140"/>
      <c r="D55" s="141"/>
      <c r="E55" s="142"/>
      <c r="F55" s="142"/>
      <c r="G55" s="143"/>
      <c r="H55" s="144"/>
      <c r="I55" s="150" t="str">
        <v/>
      </c>
      <c r="J55" s="141"/>
      <c r="K55" s="142"/>
      <c r="L55" s="142"/>
      <c r="M55" s="143"/>
      <c r="N55" s="144"/>
      <c r="O55" s="144"/>
      <c r="P55" s="150" t="str">
        <v/>
      </c>
      <c r="Q55" s="141"/>
      <c r="R55" s="142"/>
      <c r="S55" s="142"/>
      <c r="T55" s="143"/>
      <c r="U55" s="144"/>
      <c r="V55" s="144"/>
      <c r="W55" s="150" t="str">
        <v/>
      </c>
      <c r="X55" s="145"/>
      <c r="Y55" s="146"/>
      <c r="Z55" s="146"/>
      <c r="AA55" s="147"/>
      <c r="AB55" s="148"/>
      <c r="AC55" s="148"/>
      <c r="AD55" s="150" t="str">
        <v/>
      </c>
      <c r="AE55" s="145"/>
      <c r="AF55" s="146"/>
      <c r="AG55" s="146"/>
      <c r="AH55" s="147"/>
      <c r="AI55" s="148"/>
      <c r="AJ55" s="148"/>
      <c r="AK55" s="150" t="str">
        <v/>
      </c>
      <c r="AL55" s="145"/>
      <c r="AM55" s="146"/>
      <c r="AN55" s="146"/>
      <c r="AO55" s="147"/>
      <c r="AP55" s="148"/>
      <c r="AQ55" s="148"/>
      <c r="AR55" s="150" t="str">
        <v/>
      </c>
      <c r="AS55" s="145"/>
      <c r="AT55" s="146"/>
      <c r="AU55" s="146"/>
      <c r="AV55" s="147"/>
      <c r="AW55" s="148"/>
      <c r="AX55" s="148"/>
      <c r="AY55" s="150" t="str">
        <v/>
      </c>
      <c r="AZ55" s="145"/>
      <c r="BA55" s="146"/>
      <c r="BB55" s="146"/>
      <c r="BC55" s="147"/>
      <c r="BD55" s="148"/>
      <c r="BE55" s="148"/>
      <c r="BF55" s="150" t="str">
        <v/>
      </c>
      <c r="BG55" s="145"/>
      <c r="BH55" s="146"/>
      <c r="BI55" s="146"/>
      <c r="BJ55" s="147"/>
      <c r="BK55" s="148"/>
      <c r="BL55" s="148"/>
      <c r="BM55" s="150" t="str">
        <v/>
      </c>
      <c r="BN55" s="145"/>
      <c r="BO55" s="146"/>
      <c r="BP55" s="146"/>
      <c r="BQ55" s="147"/>
      <c r="BR55" s="148"/>
      <c r="BS55" s="148"/>
      <c r="BT55" s="150" t="str">
        <v/>
      </c>
      <c r="BU55" s="151" t="str">
        <v/>
      </c>
      <c r="BV55" s="136"/>
    </row>
    <row r="56" spans="1:74">
      <c r="A56" s="139"/>
      <c r="C56" s="140"/>
      <c r="D56" s="141"/>
      <c r="E56" s="142"/>
      <c r="F56" s="142"/>
      <c r="G56" s="143"/>
      <c r="H56" s="144"/>
      <c r="I56" s="150" t="str">
        <v/>
      </c>
      <c r="J56" s="141"/>
      <c r="K56" s="142"/>
      <c r="L56" s="142"/>
      <c r="M56" s="143"/>
      <c r="N56" s="144"/>
      <c r="O56" s="144"/>
      <c r="P56" s="150" t="str">
        <v/>
      </c>
      <c r="Q56" s="141"/>
      <c r="R56" s="142"/>
      <c r="S56" s="142"/>
      <c r="T56" s="143"/>
      <c r="U56" s="144"/>
      <c r="V56" s="144"/>
      <c r="W56" s="150" t="str">
        <v/>
      </c>
      <c r="X56" s="145"/>
      <c r="Y56" s="146"/>
      <c r="Z56" s="146"/>
      <c r="AA56" s="147"/>
      <c r="AB56" s="148"/>
      <c r="AC56" s="148"/>
      <c r="AD56" s="150" t="str">
        <v/>
      </c>
      <c r="AE56" s="145"/>
      <c r="AF56" s="146"/>
      <c r="AG56" s="146"/>
      <c r="AH56" s="147"/>
      <c r="AI56" s="148"/>
      <c r="AJ56" s="148"/>
      <c r="AK56" s="150" t="str">
        <v/>
      </c>
      <c r="AL56" s="145"/>
      <c r="AM56" s="146"/>
      <c r="AN56" s="146"/>
      <c r="AO56" s="147"/>
      <c r="AP56" s="148"/>
      <c r="AQ56" s="148"/>
      <c r="AR56" s="150" t="str">
        <v/>
      </c>
      <c r="AS56" s="145"/>
      <c r="AT56" s="146"/>
      <c r="AU56" s="146"/>
      <c r="AV56" s="147"/>
      <c r="AW56" s="148"/>
      <c r="AX56" s="148"/>
      <c r="AY56" s="150" t="str">
        <v/>
      </c>
      <c r="AZ56" s="145"/>
      <c r="BA56" s="146"/>
      <c r="BB56" s="146"/>
      <c r="BC56" s="147"/>
      <c r="BD56" s="148"/>
      <c r="BE56" s="148"/>
      <c r="BF56" s="150" t="str">
        <v/>
      </c>
      <c r="BG56" s="145"/>
      <c r="BH56" s="146"/>
      <c r="BI56" s="146"/>
      <c r="BJ56" s="147"/>
      <c r="BK56" s="148"/>
      <c r="BL56" s="148"/>
      <c r="BM56" s="150" t="str">
        <v/>
      </c>
      <c r="BN56" s="145"/>
      <c r="BO56" s="146"/>
      <c r="BP56" s="146"/>
      <c r="BQ56" s="147"/>
      <c r="BR56" s="148"/>
      <c r="BS56" s="148"/>
      <c r="BT56" s="150" t="str">
        <v/>
      </c>
      <c r="BU56" s="151" t="str">
        <v/>
      </c>
      <c r="BV56" s="136"/>
    </row>
    <row r="57" spans="1:74">
      <c r="A57" s="139"/>
      <c r="C57" s="140"/>
      <c r="D57" s="141"/>
      <c r="E57" s="142"/>
      <c r="F57" s="142"/>
      <c r="G57" s="143"/>
      <c r="H57" s="144"/>
      <c r="I57" s="150" t="str">
        <v/>
      </c>
      <c r="J57" s="141"/>
      <c r="K57" s="142"/>
      <c r="L57" s="142"/>
      <c r="M57" s="143"/>
      <c r="N57" s="144"/>
      <c r="O57" s="144"/>
      <c r="P57" s="150" t="str">
        <v/>
      </c>
      <c r="Q57" s="141"/>
      <c r="R57" s="142"/>
      <c r="S57" s="142"/>
      <c r="T57" s="143"/>
      <c r="U57" s="144"/>
      <c r="V57" s="144"/>
      <c r="W57" s="150" t="str">
        <v/>
      </c>
      <c r="X57" s="145"/>
      <c r="Y57" s="146"/>
      <c r="Z57" s="146"/>
      <c r="AA57" s="147"/>
      <c r="AB57" s="148"/>
      <c r="AC57" s="148"/>
      <c r="AD57" s="150" t="str">
        <v/>
      </c>
      <c r="AE57" s="145"/>
      <c r="AF57" s="146"/>
      <c r="AG57" s="146"/>
      <c r="AH57" s="147"/>
      <c r="AI57" s="148"/>
      <c r="AJ57" s="148"/>
      <c r="AK57" s="150" t="str">
        <v/>
      </c>
      <c r="AL57" s="145"/>
      <c r="AM57" s="146"/>
      <c r="AN57" s="146"/>
      <c r="AO57" s="147"/>
      <c r="AP57" s="148"/>
      <c r="AQ57" s="148"/>
      <c r="AR57" s="150" t="str">
        <v/>
      </c>
      <c r="AS57" s="145"/>
      <c r="AT57" s="146"/>
      <c r="AU57" s="146"/>
      <c r="AV57" s="147"/>
      <c r="AW57" s="148"/>
      <c r="AX57" s="148"/>
      <c r="AY57" s="150" t="str">
        <v/>
      </c>
      <c r="AZ57" s="145"/>
      <c r="BA57" s="146"/>
      <c r="BB57" s="146"/>
      <c r="BC57" s="147"/>
      <c r="BD57" s="148"/>
      <c r="BE57" s="148"/>
      <c r="BF57" s="150" t="str">
        <v/>
      </c>
      <c r="BG57" s="145"/>
      <c r="BH57" s="146"/>
      <c r="BI57" s="146"/>
      <c r="BJ57" s="147"/>
      <c r="BK57" s="148"/>
      <c r="BL57" s="148"/>
      <c r="BM57" s="150" t="str">
        <v/>
      </c>
      <c r="BN57" s="145"/>
      <c r="BO57" s="146"/>
      <c r="BP57" s="146"/>
      <c r="BQ57" s="147"/>
      <c r="BR57" s="148"/>
      <c r="BS57" s="148"/>
      <c r="BT57" s="150" t="str">
        <v/>
      </c>
      <c r="BU57" s="151" t="str">
        <v/>
      </c>
      <c r="BV57" s="136"/>
    </row>
    <row r="58" spans="1:74">
      <c r="A58" s="139"/>
      <c r="C58" s="140"/>
      <c r="D58" s="141"/>
      <c r="E58" s="142"/>
      <c r="F58" s="142"/>
      <c r="G58" s="143"/>
      <c r="H58" s="144"/>
      <c r="I58" s="150" t="str">
        <v/>
      </c>
      <c r="J58" s="141"/>
      <c r="K58" s="142"/>
      <c r="L58" s="142"/>
      <c r="M58" s="143"/>
      <c r="N58" s="144"/>
      <c r="O58" s="144"/>
      <c r="P58" s="150" t="str">
        <v/>
      </c>
      <c r="Q58" s="141"/>
      <c r="R58" s="142"/>
      <c r="S58" s="142"/>
      <c r="T58" s="143"/>
      <c r="U58" s="144"/>
      <c r="V58" s="144"/>
      <c r="W58" s="150" t="str">
        <v/>
      </c>
      <c r="X58" s="145"/>
      <c r="Y58" s="146"/>
      <c r="Z58" s="146"/>
      <c r="AA58" s="147"/>
      <c r="AB58" s="148"/>
      <c r="AC58" s="148"/>
      <c r="AD58" s="150" t="str">
        <v/>
      </c>
      <c r="AE58" s="145"/>
      <c r="AF58" s="146"/>
      <c r="AG58" s="146"/>
      <c r="AH58" s="147"/>
      <c r="AI58" s="148"/>
      <c r="AJ58" s="148"/>
      <c r="AK58" s="150" t="str">
        <v/>
      </c>
      <c r="AL58" s="145"/>
      <c r="AM58" s="146"/>
      <c r="AN58" s="146"/>
      <c r="AO58" s="147"/>
      <c r="AP58" s="148"/>
      <c r="AQ58" s="148"/>
      <c r="AR58" s="150" t="str">
        <v/>
      </c>
      <c r="AS58" s="145"/>
      <c r="AT58" s="146"/>
      <c r="AU58" s="146"/>
      <c r="AV58" s="147"/>
      <c r="AW58" s="148"/>
      <c r="AX58" s="148"/>
      <c r="AY58" s="150" t="str">
        <v/>
      </c>
      <c r="AZ58" s="145"/>
      <c r="BA58" s="146"/>
      <c r="BB58" s="146"/>
      <c r="BC58" s="147"/>
      <c r="BD58" s="148"/>
      <c r="BE58" s="148"/>
      <c r="BF58" s="150" t="str">
        <v/>
      </c>
      <c r="BG58" s="145"/>
      <c r="BH58" s="146"/>
      <c r="BI58" s="146"/>
      <c r="BJ58" s="147"/>
      <c r="BK58" s="148"/>
      <c r="BL58" s="148"/>
      <c r="BM58" s="150" t="str">
        <v/>
      </c>
      <c r="BN58" s="145"/>
      <c r="BO58" s="146"/>
      <c r="BP58" s="146"/>
      <c r="BQ58" s="147"/>
      <c r="BR58" s="148"/>
      <c r="BS58" s="148"/>
      <c r="BT58" s="150" t="str">
        <v/>
      </c>
      <c r="BU58" s="151" t="str">
        <v/>
      </c>
      <c r="BV58" s="136"/>
    </row>
    <row r="59" spans="1:74">
      <c r="A59" s="139"/>
      <c r="C59" s="140"/>
      <c r="D59" s="141"/>
      <c r="E59" s="142"/>
      <c r="F59" s="142"/>
      <c r="G59" s="143"/>
      <c r="H59" s="144"/>
      <c r="I59" s="150" t="str">
        <v/>
      </c>
      <c r="J59" s="141"/>
      <c r="K59" s="142"/>
      <c r="L59" s="142"/>
      <c r="M59" s="143"/>
      <c r="N59" s="144"/>
      <c r="O59" s="144"/>
      <c r="P59" s="150" t="str">
        <v/>
      </c>
      <c r="Q59" s="141"/>
      <c r="R59" s="142"/>
      <c r="S59" s="142"/>
      <c r="T59" s="143"/>
      <c r="U59" s="144"/>
      <c r="V59" s="144"/>
      <c r="W59" s="150" t="str">
        <v/>
      </c>
      <c r="X59" s="145"/>
      <c r="Y59" s="146"/>
      <c r="Z59" s="146"/>
      <c r="AA59" s="147"/>
      <c r="AB59" s="148"/>
      <c r="AC59" s="148"/>
      <c r="AD59" s="150" t="str">
        <v/>
      </c>
      <c r="AE59" s="145"/>
      <c r="AF59" s="146"/>
      <c r="AG59" s="146"/>
      <c r="AH59" s="147"/>
      <c r="AI59" s="148"/>
      <c r="AJ59" s="148"/>
      <c r="AK59" s="150" t="str">
        <v/>
      </c>
      <c r="AL59" s="145"/>
      <c r="AM59" s="146"/>
      <c r="AN59" s="146"/>
      <c r="AO59" s="147"/>
      <c r="AP59" s="148"/>
      <c r="AQ59" s="148"/>
      <c r="AR59" s="150" t="str">
        <v/>
      </c>
      <c r="AS59" s="145"/>
      <c r="AT59" s="146"/>
      <c r="AU59" s="146"/>
      <c r="AV59" s="147"/>
      <c r="AW59" s="148"/>
      <c r="AX59" s="148"/>
      <c r="AY59" s="150" t="str">
        <v/>
      </c>
      <c r="AZ59" s="145"/>
      <c r="BA59" s="146"/>
      <c r="BB59" s="146"/>
      <c r="BC59" s="147"/>
      <c r="BD59" s="148"/>
      <c r="BE59" s="148"/>
      <c r="BF59" s="150" t="str">
        <v/>
      </c>
      <c r="BG59" s="145"/>
      <c r="BH59" s="146"/>
      <c r="BI59" s="146"/>
      <c r="BJ59" s="147"/>
      <c r="BK59" s="148"/>
      <c r="BL59" s="148"/>
      <c r="BM59" s="150" t="str">
        <v/>
      </c>
      <c r="BN59" s="145"/>
      <c r="BO59" s="146"/>
      <c r="BP59" s="146"/>
      <c r="BQ59" s="147"/>
      <c r="BR59" s="148"/>
      <c r="BS59" s="148"/>
      <c r="BT59" s="150" t="str">
        <v/>
      </c>
      <c r="BU59" s="151" t="str">
        <v/>
      </c>
      <c r="BV59" s="136"/>
    </row>
    <row r="60" spans="1:74">
      <c r="A60" s="139"/>
      <c r="C60" s="140"/>
      <c r="D60" s="141"/>
      <c r="E60" s="142"/>
      <c r="F60" s="142"/>
      <c r="G60" s="143"/>
      <c r="H60" s="144"/>
      <c r="I60" s="150" t="str">
        <v/>
      </c>
      <c r="J60" s="141"/>
      <c r="K60" s="142"/>
      <c r="L60" s="142"/>
      <c r="M60" s="143"/>
      <c r="N60" s="144"/>
      <c r="O60" s="144"/>
      <c r="P60" s="150" t="str">
        <v/>
      </c>
      <c r="Q60" s="141"/>
      <c r="R60" s="142"/>
      <c r="S60" s="142"/>
      <c r="T60" s="143"/>
      <c r="U60" s="144"/>
      <c r="V60" s="144"/>
      <c r="W60" s="150" t="str">
        <v/>
      </c>
      <c r="X60" s="145"/>
      <c r="Y60" s="146"/>
      <c r="Z60" s="146"/>
      <c r="AA60" s="147"/>
      <c r="AB60" s="148"/>
      <c r="AC60" s="148"/>
      <c r="AD60" s="150" t="str">
        <v/>
      </c>
      <c r="AE60" s="145"/>
      <c r="AF60" s="146"/>
      <c r="AG60" s="146"/>
      <c r="AH60" s="147"/>
      <c r="AI60" s="148"/>
      <c r="AJ60" s="148"/>
      <c r="AK60" s="150" t="str">
        <v/>
      </c>
      <c r="AL60" s="145"/>
      <c r="AM60" s="146"/>
      <c r="AN60" s="146"/>
      <c r="AO60" s="147"/>
      <c r="AP60" s="148"/>
      <c r="AQ60" s="148"/>
      <c r="AR60" s="150" t="str">
        <v/>
      </c>
      <c r="AS60" s="145"/>
      <c r="AT60" s="146"/>
      <c r="AU60" s="146"/>
      <c r="AV60" s="147"/>
      <c r="AW60" s="148"/>
      <c r="AX60" s="148"/>
      <c r="AY60" s="150" t="str">
        <v/>
      </c>
      <c r="AZ60" s="145"/>
      <c r="BA60" s="146"/>
      <c r="BB60" s="146"/>
      <c r="BC60" s="147"/>
      <c r="BD60" s="148"/>
      <c r="BE60" s="148"/>
      <c r="BF60" s="150" t="str">
        <v/>
      </c>
      <c r="BG60" s="145"/>
      <c r="BH60" s="146"/>
      <c r="BI60" s="146"/>
      <c r="BJ60" s="147"/>
      <c r="BK60" s="148"/>
      <c r="BL60" s="148"/>
      <c r="BM60" s="150" t="str">
        <v/>
      </c>
      <c r="BN60" s="145"/>
      <c r="BO60" s="146"/>
      <c r="BP60" s="146"/>
      <c r="BQ60" s="147"/>
      <c r="BR60" s="148"/>
      <c r="BS60" s="148"/>
      <c r="BT60" s="150" t="str">
        <v/>
      </c>
      <c r="BU60" s="151" t="str">
        <v/>
      </c>
      <c r="BV60" s="136"/>
    </row>
    <row r="61" spans="1:74">
      <c r="A61" s="139"/>
      <c r="C61" s="140"/>
      <c r="D61" s="141"/>
      <c r="E61" s="142"/>
      <c r="F61" s="142"/>
      <c r="G61" s="143"/>
      <c r="H61" s="144"/>
      <c r="I61" s="150" t="str">
        <v/>
      </c>
      <c r="J61" s="141"/>
      <c r="K61" s="142"/>
      <c r="L61" s="142"/>
      <c r="M61" s="143"/>
      <c r="N61" s="144"/>
      <c r="O61" s="144"/>
      <c r="P61" s="150" t="str">
        <v/>
      </c>
      <c r="Q61" s="141"/>
      <c r="R61" s="142"/>
      <c r="S61" s="142"/>
      <c r="T61" s="143"/>
      <c r="U61" s="144"/>
      <c r="V61" s="144"/>
      <c r="W61" s="150" t="str">
        <v/>
      </c>
      <c r="X61" s="145"/>
      <c r="Y61" s="146"/>
      <c r="Z61" s="146"/>
      <c r="AA61" s="147"/>
      <c r="AB61" s="148"/>
      <c r="AC61" s="148"/>
      <c r="AD61" s="150" t="str">
        <v/>
      </c>
      <c r="AE61" s="145"/>
      <c r="AF61" s="146"/>
      <c r="AG61" s="146"/>
      <c r="AH61" s="147"/>
      <c r="AI61" s="148"/>
      <c r="AJ61" s="148"/>
      <c r="AK61" s="150" t="str">
        <v/>
      </c>
      <c r="AL61" s="145"/>
      <c r="AM61" s="146"/>
      <c r="AN61" s="146"/>
      <c r="AO61" s="147"/>
      <c r="AP61" s="148"/>
      <c r="AQ61" s="148"/>
      <c r="AR61" s="150" t="str">
        <v/>
      </c>
      <c r="AS61" s="145"/>
      <c r="AT61" s="146"/>
      <c r="AU61" s="146"/>
      <c r="AV61" s="147"/>
      <c r="AW61" s="148"/>
      <c r="AX61" s="148"/>
      <c r="AY61" s="150" t="str">
        <v/>
      </c>
      <c r="AZ61" s="145"/>
      <c r="BA61" s="146"/>
      <c r="BB61" s="146"/>
      <c r="BC61" s="147"/>
      <c r="BD61" s="148"/>
      <c r="BE61" s="148"/>
      <c r="BF61" s="150" t="str">
        <v/>
      </c>
      <c r="BG61" s="145"/>
      <c r="BH61" s="146"/>
      <c r="BI61" s="146"/>
      <c r="BJ61" s="147"/>
      <c r="BK61" s="148"/>
      <c r="BL61" s="148"/>
      <c r="BM61" s="150" t="str">
        <v/>
      </c>
      <c r="BN61" s="145"/>
      <c r="BO61" s="146"/>
      <c r="BP61" s="146"/>
      <c r="BQ61" s="147"/>
      <c r="BR61" s="148"/>
      <c r="BS61" s="148"/>
      <c r="BT61" s="150" t="str">
        <v/>
      </c>
      <c r="BU61" s="151" t="str">
        <v/>
      </c>
      <c r="BV61" s="136"/>
    </row>
    <row r="62" spans="1:74">
      <c r="A62" s="139"/>
      <c r="C62" s="140"/>
      <c r="D62" s="141"/>
      <c r="E62" s="142"/>
      <c r="F62" s="142"/>
      <c r="G62" s="143"/>
      <c r="H62" s="144"/>
      <c r="I62" s="150" t="str">
        <v/>
      </c>
      <c r="J62" s="141"/>
      <c r="K62" s="142"/>
      <c r="L62" s="142"/>
      <c r="M62" s="143"/>
      <c r="N62" s="144"/>
      <c r="O62" s="144"/>
      <c r="P62" s="150" t="str">
        <v/>
      </c>
      <c r="Q62" s="141"/>
      <c r="R62" s="142"/>
      <c r="S62" s="142"/>
      <c r="T62" s="143"/>
      <c r="U62" s="144"/>
      <c r="V62" s="144"/>
      <c r="W62" s="150" t="str">
        <v/>
      </c>
      <c r="X62" s="145"/>
      <c r="Y62" s="146"/>
      <c r="Z62" s="146"/>
      <c r="AA62" s="147"/>
      <c r="AB62" s="148"/>
      <c r="AC62" s="148"/>
      <c r="AD62" s="150" t="str">
        <v/>
      </c>
      <c r="AE62" s="145"/>
      <c r="AF62" s="146"/>
      <c r="AG62" s="146"/>
      <c r="AH62" s="147"/>
      <c r="AI62" s="148"/>
      <c r="AJ62" s="148"/>
      <c r="AK62" s="150" t="str">
        <v/>
      </c>
      <c r="AL62" s="145"/>
      <c r="AM62" s="146"/>
      <c r="AN62" s="146"/>
      <c r="AO62" s="147"/>
      <c r="AP62" s="148"/>
      <c r="AQ62" s="148"/>
      <c r="AR62" s="150" t="str">
        <v/>
      </c>
      <c r="AS62" s="145"/>
      <c r="AT62" s="146"/>
      <c r="AU62" s="146"/>
      <c r="AV62" s="147"/>
      <c r="AW62" s="148"/>
      <c r="AX62" s="148"/>
      <c r="AY62" s="150" t="str">
        <v/>
      </c>
      <c r="AZ62" s="145"/>
      <c r="BA62" s="146"/>
      <c r="BB62" s="146"/>
      <c r="BC62" s="147"/>
      <c r="BD62" s="148"/>
      <c r="BE62" s="148"/>
      <c r="BF62" s="150" t="str">
        <v/>
      </c>
      <c r="BG62" s="145"/>
      <c r="BH62" s="146"/>
      <c r="BI62" s="146"/>
      <c r="BJ62" s="147"/>
      <c r="BK62" s="148"/>
      <c r="BL62" s="148"/>
      <c r="BM62" s="150" t="str">
        <v/>
      </c>
      <c r="BN62" s="145"/>
      <c r="BO62" s="146"/>
      <c r="BP62" s="146"/>
      <c r="BQ62" s="147"/>
      <c r="BR62" s="148"/>
      <c r="BS62" s="148"/>
      <c r="BT62" s="150" t="str">
        <v/>
      </c>
      <c r="BU62" s="151" t="str">
        <v/>
      </c>
      <c r="BV62" s="136"/>
    </row>
    <row r="63" spans="1:74">
      <c r="A63" s="139"/>
      <c r="C63" s="140"/>
      <c r="D63" s="141"/>
      <c r="E63" s="142"/>
      <c r="F63" s="142"/>
      <c r="G63" s="143"/>
      <c r="H63" s="144"/>
      <c r="I63" s="150" t="str">
        <v/>
      </c>
      <c r="J63" s="141"/>
      <c r="K63" s="142"/>
      <c r="L63" s="142"/>
      <c r="M63" s="143"/>
      <c r="N63" s="144"/>
      <c r="O63" s="144"/>
      <c r="P63" s="150" t="str">
        <v/>
      </c>
      <c r="Q63" s="141"/>
      <c r="R63" s="142"/>
      <c r="S63" s="142"/>
      <c r="T63" s="143"/>
      <c r="U63" s="144"/>
      <c r="V63" s="144"/>
      <c r="W63" s="150" t="str">
        <v/>
      </c>
      <c r="X63" s="145"/>
      <c r="Y63" s="146"/>
      <c r="Z63" s="146"/>
      <c r="AA63" s="147"/>
      <c r="AB63" s="148"/>
      <c r="AC63" s="148"/>
      <c r="AD63" s="150" t="str">
        <v/>
      </c>
      <c r="AE63" s="145"/>
      <c r="AF63" s="146"/>
      <c r="AG63" s="146"/>
      <c r="AH63" s="147"/>
      <c r="AI63" s="148"/>
      <c r="AJ63" s="148"/>
      <c r="AK63" s="150" t="str">
        <v/>
      </c>
      <c r="AL63" s="145"/>
      <c r="AM63" s="146"/>
      <c r="AN63" s="146"/>
      <c r="AO63" s="147"/>
      <c r="AP63" s="148"/>
      <c r="AQ63" s="148"/>
      <c r="AR63" s="150" t="str">
        <v/>
      </c>
      <c r="AS63" s="145"/>
      <c r="AT63" s="146"/>
      <c r="AU63" s="146"/>
      <c r="AV63" s="147"/>
      <c r="AW63" s="148"/>
      <c r="AX63" s="148"/>
      <c r="AY63" s="150" t="str">
        <v/>
      </c>
      <c r="AZ63" s="145"/>
      <c r="BA63" s="146"/>
      <c r="BB63" s="146"/>
      <c r="BC63" s="147"/>
      <c r="BD63" s="148"/>
      <c r="BE63" s="148"/>
      <c r="BF63" s="150" t="str">
        <v/>
      </c>
      <c r="BG63" s="145"/>
      <c r="BH63" s="146"/>
      <c r="BI63" s="146"/>
      <c r="BJ63" s="147"/>
      <c r="BK63" s="148"/>
      <c r="BL63" s="148"/>
      <c r="BM63" s="150" t="str">
        <v/>
      </c>
      <c r="BN63" s="145"/>
      <c r="BO63" s="146"/>
      <c r="BP63" s="146"/>
      <c r="BQ63" s="147"/>
      <c r="BR63" s="148"/>
      <c r="BS63" s="148"/>
      <c r="BT63" s="150" t="str">
        <v/>
      </c>
      <c r="BU63" s="151" t="str">
        <v/>
      </c>
      <c r="BV63" s="136"/>
    </row>
    <row r="64" spans="1:74">
      <c r="A64" s="139"/>
      <c r="C64" s="140"/>
      <c r="D64" s="141"/>
      <c r="E64" s="142"/>
      <c r="F64" s="142"/>
      <c r="G64" s="143"/>
      <c r="H64" s="144"/>
      <c r="I64" s="150" t="str">
        <v/>
      </c>
      <c r="J64" s="141"/>
      <c r="K64" s="142"/>
      <c r="L64" s="142"/>
      <c r="M64" s="143"/>
      <c r="N64" s="144"/>
      <c r="O64" s="144"/>
      <c r="P64" s="150" t="str">
        <v/>
      </c>
      <c r="Q64" s="141"/>
      <c r="R64" s="142"/>
      <c r="S64" s="142"/>
      <c r="T64" s="143"/>
      <c r="U64" s="144"/>
      <c r="V64" s="144"/>
      <c r="W64" s="150" t="str">
        <v/>
      </c>
      <c r="X64" s="145"/>
      <c r="Y64" s="146"/>
      <c r="Z64" s="146"/>
      <c r="AA64" s="147"/>
      <c r="AB64" s="148"/>
      <c r="AC64" s="148"/>
      <c r="AD64" s="150" t="str">
        <v/>
      </c>
      <c r="AE64" s="145"/>
      <c r="AF64" s="146"/>
      <c r="AG64" s="146"/>
      <c r="AH64" s="147"/>
      <c r="AI64" s="148"/>
      <c r="AJ64" s="148"/>
      <c r="AK64" s="150" t="str">
        <v/>
      </c>
      <c r="AL64" s="145"/>
      <c r="AM64" s="146"/>
      <c r="AN64" s="146"/>
      <c r="AO64" s="147"/>
      <c r="AP64" s="148"/>
      <c r="AQ64" s="148"/>
      <c r="AR64" s="150" t="str">
        <v/>
      </c>
      <c r="AS64" s="145"/>
      <c r="AT64" s="146"/>
      <c r="AU64" s="146"/>
      <c r="AV64" s="147"/>
      <c r="AW64" s="148"/>
      <c r="AX64" s="148"/>
      <c r="AY64" s="150" t="str">
        <v/>
      </c>
      <c r="AZ64" s="145"/>
      <c r="BA64" s="146"/>
      <c r="BB64" s="146"/>
      <c r="BC64" s="147"/>
      <c r="BD64" s="148"/>
      <c r="BE64" s="148"/>
      <c r="BF64" s="150" t="str">
        <v/>
      </c>
      <c r="BG64" s="145"/>
      <c r="BH64" s="146"/>
      <c r="BI64" s="146"/>
      <c r="BJ64" s="147"/>
      <c r="BK64" s="148"/>
      <c r="BL64" s="148"/>
      <c r="BM64" s="150" t="str">
        <v/>
      </c>
      <c r="BN64" s="145"/>
      <c r="BO64" s="146"/>
      <c r="BP64" s="146"/>
      <c r="BQ64" s="147"/>
      <c r="BR64" s="148"/>
      <c r="BS64" s="148"/>
      <c r="BT64" s="150" t="str">
        <v/>
      </c>
      <c r="BU64" s="151" t="str">
        <v/>
      </c>
      <c r="BV64" s="136"/>
    </row>
    <row r="65" spans="1:74">
      <c r="A65" s="139"/>
      <c r="C65" s="140"/>
      <c r="D65" s="141"/>
      <c r="E65" s="142"/>
      <c r="F65" s="142"/>
      <c r="G65" s="143"/>
      <c r="H65" s="144"/>
      <c r="I65" s="150" t="str">
        <v/>
      </c>
      <c r="J65" s="141"/>
      <c r="K65" s="142"/>
      <c r="L65" s="142"/>
      <c r="M65" s="143"/>
      <c r="N65" s="144"/>
      <c r="O65" s="144"/>
      <c r="P65" s="150" t="str">
        <v/>
      </c>
      <c r="Q65" s="141"/>
      <c r="R65" s="142"/>
      <c r="S65" s="142"/>
      <c r="T65" s="143"/>
      <c r="U65" s="144"/>
      <c r="V65" s="144"/>
      <c r="W65" s="150" t="str">
        <v/>
      </c>
      <c r="X65" s="145"/>
      <c r="Y65" s="146"/>
      <c r="Z65" s="146"/>
      <c r="AA65" s="147"/>
      <c r="AB65" s="148"/>
      <c r="AC65" s="148"/>
      <c r="AD65" s="150" t="str">
        <v/>
      </c>
      <c r="AE65" s="145"/>
      <c r="AF65" s="146"/>
      <c r="AG65" s="146"/>
      <c r="AH65" s="147"/>
      <c r="AI65" s="148"/>
      <c r="AJ65" s="148"/>
      <c r="AK65" s="150" t="str">
        <v/>
      </c>
      <c r="AL65" s="145"/>
      <c r="AM65" s="146"/>
      <c r="AN65" s="146"/>
      <c r="AO65" s="147"/>
      <c r="AP65" s="148"/>
      <c r="AQ65" s="148"/>
      <c r="AR65" s="150" t="str">
        <v/>
      </c>
      <c r="AS65" s="145"/>
      <c r="AT65" s="146"/>
      <c r="AU65" s="146"/>
      <c r="AV65" s="147"/>
      <c r="AW65" s="148"/>
      <c r="AX65" s="148"/>
      <c r="AY65" s="150" t="str">
        <v/>
      </c>
      <c r="AZ65" s="145"/>
      <c r="BA65" s="146"/>
      <c r="BB65" s="146"/>
      <c r="BC65" s="147"/>
      <c r="BD65" s="148"/>
      <c r="BE65" s="148"/>
      <c r="BF65" s="150" t="str">
        <v/>
      </c>
      <c r="BG65" s="145"/>
      <c r="BH65" s="146"/>
      <c r="BI65" s="146"/>
      <c r="BJ65" s="147"/>
      <c r="BK65" s="148"/>
      <c r="BL65" s="148"/>
      <c r="BM65" s="150" t="str">
        <v/>
      </c>
      <c r="BN65" s="145"/>
      <c r="BO65" s="146"/>
      <c r="BP65" s="146"/>
      <c r="BQ65" s="147"/>
      <c r="BR65" s="148"/>
      <c r="BS65" s="148"/>
      <c r="BT65" s="150" t="str">
        <v/>
      </c>
      <c r="BU65" s="151" t="str">
        <v/>
      </c>
      <c r="BV65" s="136"/>
    </row>
    <row r="66" spans="1:74">
      <c r="A66" s="139"/>
      <c r="C66" s="140"/>
      <c r="D66" s="141"/>
      <c r="E66" s="142"/>
      <c r="F66" s="142"/>
      <c r="G66" s="143"/>
      <c r="H66" s="144"/>
      <c r="I66" s="150" t="str">
        <v/>
      </c>
      <c r="J66" s="141"/>
      <c r="K66" s="142"/>
      <c r="L66" s="142"/>
      <c r="M66" s="143"/>
      <c r="N66" s="144"/>
      <c r="O66" s="144"/>
      <c r="P66" s="150" t="str">
        <v/>
      </c>
      <c r="Q66" s="141"/>
      <c r="R66" s="142"/>
      <c r="S66" s="142"/>
      <c r="T66" s="143"/>
      <c r="U66" s="144"/>
      <c r="V66" s="144"/>
      <c r="W66" s="150" t="str">
        <v/>
      </c>
      <c r="X66" s="145"/>
      <c r="Y66" s="146"/>
      <c r="Z66" s="146"/>
      <c r="AA66" s="147"/>
      <c r="AB66" s="148"/>
      <c r="AC66" s="148"/>
      <c r="AD66" s="150" t="str">
        <v/>
      </c>
      <c r="AE66" s="145"/>
      <c r="AF66" s="146"/>
      <c r="AG66" s="146"/>
      <c r="AH66" s="147"/>
      <c r="AI66" s="148"/>
      <c r="AJ66" s="148"/>
      <c r="AK66" s="150" t="str">
        <v/>
      </c>
      <c r="AL66" s="145"/>
      <c r="AM66" s="146"/>
      <c r="AN66" s="146"/>
      <c r="AO66" s="147"/>
      <c r="AP66" s="148"/>
      <c r="AQ66" s="148"/>
      <c r="AR66" s="150" t="str">
        <v/>
      </c>
      <c r="AS66" s="145"/>
      <c r="AT66" s="146"/>
      <c r="AU66" s="146"/>
      <c r="AV66" s="147"/>
      <c r="AW66" s="148"/>
      <c r="AX66" s="148"/>
      <c r="AY66" s="150" t="str">
        <v/>
      </c>
      <c r="AZ66" s="145"/>
      <c r="BA66" s="146"/>
      <c r="BB66" s="146"/>
      <c r="BC66" s="147"/>
      <c r="BD66" s="148"/>
      <c r="BE66" s="148"/>
      <c r="BF66" s="150" t="str">
        <v/>
      </c>
      <c r="BG66" s="145"/>
      <c r="BH66" s="146"/>
      <c r="BI66" s="146"/>
      <c r="BJ66" s="147"/>
      <c r="BK66" s="148"/>
      <c r="BL66" s="148"/>
      <c r="BM66" s="150" t="str">
        <v/>
      </c>
      <c r="BN66" s="145"/>
      <c r="BO66" s="146"/>
      <c r="BP66" s="146"/>
      <c r="BQ66" s="147"/>
      <c r="BR66" s="148"/>
      <c r="BS66" s="148"/>
      <c r="BT66" s="150" t="str">
        <v/>
      </c>
      <c r="BU66" s="151" t="str">
        <v/>
      </c>
      <c r="BV66" s="136"/>
    </row>
    <row r="67" spans="1:74">
      <c r="A67" s="139"/>
      <c r="C67" s="140"/>
      <c r="D67" s="141"/>
      <c r="E67" s="142"/>
      <c r="F67" s="142"/>
      <c r="G67" s="143"/>
      <c r="H67" s="144"/>
      <c r="I67" s="150" t="str">
        <v/>
      </c>
      <c r="J67" s="141"/>
      <c r="K67" s="142"/>
      <c r="L67" s="142"/>
      <c r="M67" s="143"/>
      <c r="N67" s="144"/>
      <c r="O67" s="144"/>
      <c r="P67" s="150" t="str">
        <v/>
      </c>
      <c r="Q67" s="141"/>
      <c r="R67" s="142"/>
      <c r="S67" s="142"/>
      <c r="T67" s="143"/>
      <c r="U67" s="144"/>
      <c r="V67" s="144"/>
      <c r="W67" s="150" t="str">
        <v/>
      </c>
      <c r="X67" s="145"/>
      <c r="Y67" s="146"/>
      <c r="Z67" s="146"/>
      <c r="AA67" s="147"/>
      <c r="AB67" s="148"/>
      <c r="AC67" s="148"/>
      <c r="AD67" s="150" t="str">
        <v/>
      </c>
      <c r="AE67" s="145"/>
      <c r="AF67" s="146"/>
      <c r="AG67" s="146"/>
      <c r="AH67" s="147"/>
      <c r="AI67" s="148"/>
      <c r="AJ67" s="148"/>
      <c r="AK67" s="150" t="str">
        <v/>
      </c>
      <c r="AL67" s="145"/>
      <c r="AM67" s="146"/>
      <c r="AN67" s="146"/>
      <c r="AO67" s="147"/>
      <c r="AP67" s="148"/>
      <c r="AQ67" s="148"/>
      <c r="AR67" s="150" t="str">
        <v/>
      </c>
      <c r="AS67" s="145"/>
      <c r="AT67" s="146"/>
      <c r="AU67" s="146"/>
      <c r="AV67" s="147"/>
      <c r="AW67" s="148"/>
      <c r="AX67" s="148"/>
      <c r="AY67" s="150" t="str">
        <v/>
      </c>
      <c r="AZ67" s="145"/>
      <c r="BA67" s="146"/>
      <c r="BB67" s="146"/>
      <c r="BC67" s="147"/>
      <c r="BD67" s="148"/>
      <c r="BE67" s="148"/>
      <c r="BF67" s="150" t="str">
        <v/>
      </c>
      <c r="BG67" s="145"/>
      <c r="BH67" s="146"/>
      <c r="BI67" s="146"/>
      <c r="BJ67" s="147"/>
      <c r="BK67" s="148"/>
      <c r="BL67" s="148"/>
      <c r="BM67" s="150" t="str">
        <v/>
      </c>
      <c r="BN67" s="145"/>
      <c r="BO67" s="146"/>
      <c r="BP67" s="146"/>
      <c r="BQ67" s="147"/>
      <c r="BR67" s="148"/>
      <c r="BS67" s="148"/>
      <c r="BT67" s="150" t="str">
        <v/>
      </c>
      <c r="BU67" s="151" t="str">
        <v/>
      </c>
      <c r="BV67" s="136"/>
    </row>
    <row r="68" spans="1:74">
      <c r="A68" s="139"/>
      <c r="C68" s="140"/>
      <c r="D68" s="141"/>
      <c r="E68" s="142"/>
      <c r="F68" s="142"/>
      <c r="G68" s="143"/>
      <c r="H68" s="144"/>
      <c r="I68" s="150" t="str">
        <v/>
      </c>
      <c r="J68" s="141"/>
      <c r="K68" s="142"/>
      <c r="L68" s="142"/>
      <c r="M68" s="143"/>
      <c r="N68" s="144"/>
      <c r="O68" s="144"/>
      <c r="P68" s="150" t="str">
        <v/>
      </c>
      <c r="Q68" s="141"/>
      <c r="R68" s="142"/>
      <c r="S68" s="142"/>
      <c r="T68" s="143"/>
      <c r="U68" s="144"/>
      <c r="V68" s="144"/>
      <c r="W68" s="150" t="str">
        <v/>
      </c>
      <c r="X68" s="145"/>
      <c r="Y68" s="146"/>
      <c r="Z68" s="146"/>
      <c r="AA68" s="147"/>
      <c r="AB68" s="148"/>
      <c r="AC68" s="148"/>
      <c r="AD68" s="150" t="str">
        <v/>
      </c>
      <c r="AE68" s="145"/>
      <c r="AF68" s="146"/>
      <c r="AG68" s="146"/>
      <c r="AH68" s="147"/>
      <c r="AI68" s="148"/>
      <c r="AJ68" s="148"/>
      <c r="AK68" s="150" t="str">
        <v/>
      </c>
      <c r="AL68" s="145"/>
      <c r="AM68" s="146"/>
      <c r="AN68" s="146"/>
      <c r="AO68" s="147"/>
      <c r="AP68" s="148"/>
      <c r="AQ68" s="148"/>
      <c r="AR68" s="150" t="str">
        <v/>
      </c>
      <c r="AS68" s="145"/>
      <c r="AT68" s="146"/>
      <c r="AU68" s="146"/>
      <c r="AV68" s="147"/>
      <c r="AW68" s="148"/>
      <c r="AX68" s="148"/>
      <c r="AY68" s="150" t="str">
        <v/>
      </c>
      <c r="AZ68" s="145"/>
      <c r="BA68" s="146"/>
      <c r="BB68" s="146"/>
      <c r="BC68" s="147"/>
      <c r="BD68" s="148"/>
      <c r="BE68" s="148"/>
      <c r="BF68" s="150" t="str">
        <v/>
      </c>
      <c r="BG68" s="145"/>
      <c r="BH68" s="146"/>
      <c r="BI68" s="146"/>
      <c r="BJ68" s="147"/>
      <c r="BK68" s="148"/>
      <c r="BL68" s="148"/>
      <c r="BM68" s="150" t="str">
        <v/>
      </c>
      <c r="BN68" s="145"/>
      <c r="BO68" s="146"/>
      <c r="BP68" s="146"/>
      <c r="BQ68" s="147"/>
      <c r="BR68" s="148"/>
      <c r="BS68" s="148"/>
      <c r="BT68" s="150" t="str">
        <v/>
      </c>
      <c r="BU68" s="151" t="str">
        <v/>
      </c>
      <c r="BV68" s="136"/>
    </row>
    <row r="69" spans="1:74">
      <c r="A69" s="139"/>
      <c r="C69" s="140"/>
      <c r="D69" s="141"/>
      <c r="E69" s="142"/>
      <c r="F69" s="142"/>
      <c r="G69" s="143"/>
      <c r="H69" s="144"/>
      <c r="I69" s="150" t="str">
        <v/>
      </c>
      <c r="J69" s="141"/>
      <c r="K69" s="142"/>
      <c r="L69" s="142"/>
      <c r="M69" s="143"/>
      <c r="N69" s="144"/>
      <c r="O69" s="144"/>
      <c r="P69" s="150" t="str">
        <v/>
      </c>
      <c r="Q69" s="141"/>
      <c r="R69" s="142"/>
      <c r="S69" s="142"/>
      <c r="T69" s="143"/>
      <c r="U69" s="144"/>
      <c r="V69" s="144"/>
      <c r="W69" s="150" t="str">
        <v/>
      </c>
      <c r="X69" s="145"/>
      <c r="Y69" s="146"/>
      <c r="Z69" s="146"/>
      <c r="AA69" s="147"/>
      <c r="AB69" s="148"/>
      <c r="AC69" s="148"/>
      <c r="AD69" s="150" t="str">
        <v/>
      </c>
      <c r="AE69" s="145"/>
      <c r="AF69" s="146"/>
      <c r="AG69" s="146"/>
      <c r="AH69" s="147"/>
      <c r="AI69" s="148"/>
      <c r="AJ69" s="148"/>
      <c r="AK69" s="150" t="str">
        <v/>
      </c>
      <c r="AL69" s="145"/>
      <c r="AM69" s="146"/>
      <c r="AN69" s="146"/>
      <c r="AO69" s="147"/>
      <c r="AP69" s="148"/>
      <c r="AQ69" s="148"/>
      <c r="AR69" s="150" t="str">
        <v/>
      </c>
      <c r="AS69" s="145"/>
      <c r="AT69" s="146"/>
      <c r="AU69" s="146"/>
      <c r="AV69" s="147"/>
      <c r="AW69" s="148"/>
      <c r="AX69" s="148"/>
      <c r="AY69" s="150" t="str">
        <v/>
      </c>
      <c r="AZ69" s="145"/>
      <c r="BA69" s="146"/>
      <c r="BB69" s="146"/>
      <c r="BC69" s="147"/>
      <c r="BD69" s="148"/>
      <c r="BE69" s="148"/>
      <c r="BF69" s="150" t="str">
        <v/>
      </c>
      <c r="BG69" s="145"/>
      <c r="BH69" s="146"/>
      <c r="BI69" s="146"/>
      <c r="BJ69" s="147"/>
      <c r="BK69" s="148"/>
      <c r="BL69" s="148"/>
      <c r="BM69" s="150" t="str">
        <v/>
      </c>
      <c r="BN69" s="145"/>
      <c r="BO69" s="146"/>
      <c r="BP69" s="146"/>
      <c r="BQ69" s="147"/>
      <c r="BR69" s="148"/>
      <c r="BS69" s="148"/>
      <c r="BT69" s="150" t="str">
        <v/>
      </c>
      <c r="BU69" s="151" t="str">
        <v/>
      </c>
      <c r="BV69" s="136"/>
    </row>
    <row r="70" spans="1:74">
      <c r="A70" s="139"/>
      <c r="C70" s="140"/>
      <c r="D70" s="141"/>
      <c r="E70" s="142"/>
      <c r="F70" s="142"/>
      <c r="G70" s="143"/>
      <c r="H70" s="144"/>
      <c r="I70" s="150" t="str">
        <v/>
      </c>
      <c r="J70" s="141"/>
      <c r="K70" s="142"/>
      <c r="L70" s="142"/>
      <c r="M70" s="143"/>
      <c r="N70" s="144"/>
      <c r="O70" s="144"/>
      <c r="P70" s="150" t="str">
        <v/>
      </c>
      <c r="Q70" s="141"/>
      <c r="R70" s="142"/>
      <c r="S70" s="142"/>
      <c r="T70" s="143"/>
      <c r="U70" s="144"/>
      <c r="V70" s="144"/>
      <c r="W70" s="150" t="str">
        <v/>
      </c>
      <c r="X70" s="145"/>
      <c r="Y70" s="146"/>
      <c r="Z70" s="146"/>
      <c r="AA70" s="147"/>
      <c r="AB70" s="148"/>
      <c r="AC70" s="148"/>
      <c r="AD70" s="150" t="str">
        <v/>
      </c>
      <c r="AE70" s="145"/>
      <c r="AF70" s="146"/>
      <c r="AG70" s="146"/>
      <c r="AH70" s="147"/>
      <c r="AI70" s="148"/>
      <c r="AJ70" s="148"/>
      <c r="AK70" s="150" t="str">
        <v/>
      </c>
      <c r="AL70" s="145"/>
      <c r="AM70" s="146"/>
      <c r="AN70" s="146"/>
      <c r="AO70" s="147"/>
      <c r="AP70" s="148"/>
      <c r="AQ70" s="148"/>
      <c r="AR70" s="150" t="str">
        <v/>
      </c>
      <c r="AS70" s="145"/>
      <c r="AT70" s="146"/>
      <c r="AU70" s="146"/>
      <c r="AV70" s="147"/>
      <c r="AW70" s="148"/>
      <c r="AX70" s="148"/>
      <c r="AY70" s="150" t="str">
        <v/>
      </c>
      <c r="AZ70" s="145"/>
      <c r="BA70" s="146"/>
      <c r="BB70" s="146"/>
      <c r="BC70" s="147"/>
      <c r="BD70" s="148"/>
      <c r="BE70" s="148"/>
      <c r="BF70" s="150" t="str">
        <v/>
      </c>
      <c r="BG70" s="145"/>
      <c r="BH70" s="146"/>
      <c r="BI70" s="146"/>
      <c r="BJ70" s="147"/>
      <c r="BK70" s="148"/>
      <c r="BL70" s="148"/>
      <c r="BM70" s="150" t="str">
        <v/>
      </c>
      <c r="BN70" s="145"/>
      <c r="BO70" s="146"/>
      <c r="BP70" s="146"/>
      <c r="BQ70" s="147"/>
      <c r="BR70" s="148"/>
      <c r="BS70" s="148"/>
      <c r="BT70" s="150" t="str">
        <v/>
      </c>
      <c r="BU70" s="151" t="str">
        <v/>
      </c>
      <c r="BV70" s="136"/>
    </row>
    <row r="71" spans="1:74">
      <c r="A71" s="139"/>
      <c r="C71" s="140"/>
      <c r="D71" s="141"/>
      <c r="E71" s="142"/>
      <c r="F71" s="142"/>
      <c r="G71" s="143"/>
      <c r="H71" s="144"/>
      <c r="I71" s="150" t="str">
        <v/>
      </c>
      <c r="J71" s="141"/>
      <c r="K71" s="142"/>
      <c r="L71" s="142"/>
      <c r="M71" s="143"/>
      <c r="N71" s="144"/>
      <c r="O71" s="144"/>
      <c r="P71" s="150" t="str">
        <v/>
      </c>
      <c r="Q71" s="141"/>
      <c r="R71" s="142"/>
      <c r="S71" s="142"/>
      <c r="T71" s="143"/>
      <c r="U71" s="144"/>
      <c r="V71" s="144"/>
      <c r="W71" s="150" t="str">
        <v/>
      </c>
      <c r="X71" s="145"/>
      <c r="Y71" s="146"/>
      <c r="Z71" s="146"/>
      <c r="AA71" s="147"/>
      <c r="AB71" s="148"/>
      <c r="AC71" s="148"/>
      <c r="AD71" s="150" t="str">
        <v/>
      </c>
      <c r="AE71" s="145"/>
      <c r="AF71" s="146"/>
      <c r="AG71" s="146"/>
      <c r="AH71" s="147"/>
      <c r="AI71" s="148"/>
      <c r="AJ71" s="148"/>
      <c r="AK71" s="150" t="str">
        <v/>
      </c>
      <c r="AL71" s="145"/>
      <c r="AM71" s="146"/>
      <c r="AN71" s="146"/>
      <c r="AO71" s="147"/>
      <c r="AP71" s="148"/>
      <c r="AQ71" s="148"/>
      <c r="AR71" s="150" t="str">
        <v/>
      </c>
      <c r="AS71" s="145"/>
      <c r="AT71" s="146"/>
      <c r="AU71" s="146"/>
      <c r="AV71" s="147"/>
      <c r="AW71" s="148"/>
      <c r="AX71" s="148"/>
      <c r="AY71" s="150" t="str">
        <v/>
      </c>
      <c r="AZ71" s="145"/>
      <c r="BA71" s="146"/>
      <c r="BB71" s="146"/>
      <c r="BC71" s="147"/>
      <c r="BD71" s="148"/>
      <c r="BE71" s="148"/>
      <c r="BF71" s="150" t="str">
        <v/>
      </c>
      <c r="BG71" s="145"/>
      <c r="BH71" s="146"/>
      <c r="BI71" s="146"/>
      <c r="BJ71" s="147"/>
      <c r="BK71" s="148"/>
      <c r="BL71" s="148"/>
      <c r="BM71" s="150" t="str">
        <v/>
      </c>
      <c r="BN71" s="145"/>
      <c r="BO71" s="146"/>
      <c r="BP71" s="146"/>
      <c r="BQ71" s="147"/>
      <c r="BR71" s="148"/>
      <c r="BS71" s="148"/>
      <c r="BT71" s="150" t="str">
        <v/>
      </c>
      <c r="BU71" s="151" t="str">
        <v/>
      </c>
      <c r="BV71" s="136"/>
    </row>
    <row r="72" spans="1:74">
      <c r="A72" s="139"/>
      <c r="C72" s="140"/>
      <c r="D72" s="141"/>
      <c r="E72" s="142"/>
      <c r="F72" s="142"/>
      <c r="G72" s="143"/>
      <c r="H72" s="144"/>
      <c r="I72" s="150" t="str">
        <v/>
      </c>
      <c r="J72" s="141"/>
      <c r="K72" s="142"/>
      <c r="L72" s="142"/>
      <c r="M72" s="143"/>
      <c r="N72" s="144"/>
      <c r="O72" s="144"/>
      <c r="P72" s="150" t="str">
        <v/>
      </c>
      <c r="Q72" s="141"/>
      <c r="R72" s="142"/>
      <c r="S72" s="142"/>
      <c r="T72" s="143"/>
      <c r="U72" s="144"/>
      <c r="V72" s="144"/>
      <c r="W72" s="150" t="str">
        <v/>
      </c>
      <c r="X72" s="145"/>
      <c r="Y72" s="146"/>
      <c r="Z72" s="146"/>
      <c r="AA72" s="147"/>
      <c r="AB72" s="148"/>
      <c r="AC72" s="148"/>
      <c r="AD72" s="150" t="str">
        <v/>
      </c>
      <c r="AE72" s="145"/>
      <c r="AF72" s="146"/>
      <c r="AG72" s="146"/>
      <c r="AH72" s="147"/>
      <c r="AI72" s="148"/>
      <c r="AJ72" s="148"/>
      <c r="AK72" s="150" t="str">
        <v/>
      </c>
      <c r="AL72" s="145"/>
      <c r="AM72" s="146"/>
      <c r="AN72" s="146"/>
      <c r="AO72" s="147"/>
      <c r="AP72" s="148"/>
      <c r="AQ72" s="148"/>
      <c r="AR72" s="150" t="str">
        <v/>
      </c>
      <c r="AS72" s="145"/>
      <c r="AT72" s="146"/>
      <c r="AU72" s="146"/>
      <c r="AV72" s="147"/>
      <c r="AW72" s="148"/>
      <c r="AX72" s="148"/>
      <c r="AY72" s="150" t="str">
        <v/>
      </c>
      <c r="AZ72" s="145"/>
      <c r="BA72" s="146"/>
      <c r="BB72" s="146"/>
      <c r="BC72" s="147"/>
      <c r="BD72" s="148"/>
      <c r="BE72" s="148"/>
      <c r="BF72" s="150" t="str">
        <v/>
      </c>
      <c r="BG72" s="145"/>
      <c r="BH72" s="146"/>
      <c r="BI72" s="146"/>
      <c r="BJ72" s="147"/>
      <c r="BK72" s="148"/>
      <c r="BL72" s="148"/>
      <c r="BM72" s="150" t="str">
        <v/>
      </c>
      <c r="BN72" s="145"/>
      <c r="BO72" s="146"/>
      <c r="BP72" s="146"/>
      <c r="BQ72" s="147"/>
      <c r="BR72" s="148"/>
      <c r="BS72" s="148"/>
      <c r="BT72" s="150" t="str">
        <v/>
      </c>
      <c r="BU72" s="151" t="str">
        <v/>
      </c>
      <c r="BV72" s="136"/>
    </row>
    <row r="73" spans="1:74">
      <c r="A73" s="139"/>
      <c r="C73" s="140"/>
      <c r="D73" s="141"/>
      <c r="E73" s="142"/>
      <c r="F73" s="142"/>
      <c r="G73" s="143"/>
      <c r="H73" s="144"/>
      <c r="I73" s="150" t="str">
        <v/>
      </c>
      <c r="J73" s="141"/>
      <c r="K73" s="142"/>
      <c r="L73" s="142"/>
      <c r="M73" s="143"/>
      <c r="N73" s="144"/>
      <c r="O73" s="144"/>
      <c r="P73" s="150" t="str">
        <v/>
      </c>
      <c r="Q73" s="141"/>
      <c r="R73" s="142"/>
      <c r="S73" s="142"/>
      <c r="T73" s="143"/>
      <c r="U73" s="144"/>
      <c r="V73" s="144"/>
      <c r="W73" s="150" t="str">
        <v/>
      </c>
      <c r="X73" s="145"/>
      <c r="Y73" s="146"/>
      <c r="Z73" s="146"/>
      <c r="AA73" s="147"/>
      <c r="AB73" s="148"/>
      <c r="AC73" s="148"/>
      <c r="AD73" s="150" t="str">
        <v/>
      </c>
      <c r="AE73" s="145"/>
      <c r="AF73" s="146"/>
      <c r="AG73" s="146"/>
      <c r="AH73" s="147"/>
      <c r="AI73" s="148"/>
      <c r="AJ73" s="148"/>
      <c r="AK73" s="150" t="str">
        <v/>
      </c>
      <c r="AL73" s="145"/>
      <c r="AM73" s="146"/>
      <c r="AN73" s="146"/>
      <c r="AO73" s="147"/>
      <c r="AP73" s="148"/>
      <c r="AQ73" s="148"/>
      <c r="AR73" s="150" t="str">
        <v/>
      </c>
      <c r="AS73" s="145"/>
      <c r="AT73" s="146"/>
      <c r="AU73" s="146"/>
      <c r="AV73" s="147"/>
      <c r="AW73" s="148"/>
      <c r="AX73" s="148"/>
      <c r="AY73" s="150" t="str">
        <v/>
      </c>
      <c r="AZ73" s="145"/>
      <c r="BA73" s="146"/>
      <c r="BB73" s="146"/>
      <c r="BC73" s="147"/>
      <c r="BD73" s="148"/>
      <c r="BE73" s="148"/>
      <c r="BF73" s="150" t="str">
        <v/>
      </c>
      <c r="BG73" s="145"/>
      <c r="BH73" s="146"/>
      <c r="BI73" s="146"/>
      <c r="BJ73" s="147"/>
      <c r="BK73" s="148"/>
      <c r="BL73" s="148"/>
      <c r="BM73" s="150" t="str">
        <v/>
      </c>
      <c r="BN73" s="145"/>
      <c r="BO73" s="146"/>
      <c r="BP73" s="146"/>
      <c r="BQ73" s="147"/>
      <c r="BR73" s="148"/>
      <c r="BS73" s="148"/>
      <c r="BT73" s="150" t="str">
        <v/>
      </c>
      <c r="BU73" s="151" t="str">
        <v/>
      </c>
      <c r="BV73" s="136"/>
    </row>
    <row r="74" spans="1:74">
      <c r="A74" s="139"/>
      <c r="C74" s="140"/>
      <c r="D74" s="141"/>
      <c r="E74" s="142"/>
      <c r="F74" s="142"/>
      <c r="G74" s="143"/>
      <c r="H74" s="144"/>
      <c r="I74" s="150" t="str">
        <v/>
      </c>
      <c r="J74" s="141"/>
      <c r="K74" s="142"/>
      <c r="L74" s="142"/>
      <c r="M74" s="143"/>
      <c r="N74" s="144"/>
      <c r="O74" s="144"/>
      <c r="P74" s="150" t="str">
        <v/>
      </c>
      <c r="Q74" s="141"/>
      <c r="R74" s="142"/>
      <c r="S74" s="142"/>
      <c r="T74" s="143"/>
      <c r="U74" s="144"/>
      <c r="V74" s="144"/>
      <c r="W74" s="150" t="str">
        <v/>
      </c>
      <c r="X74" s="145"/>
      <c r="Y74" s="146"/>
      <c r="Z74" s="146"/>
      <c r="AA74" s="147"/>
      <c r="AB74" s="148"/>
      <c r="AC74" s="148"/>
      <c r="AD74" s="150" t="str">
        <v/>
      </c>
      <c r="AE74" s="145"/>
      <c r="AF74" s="146"/>
      <c r="AG74" s="146"/>
      <c r="AH74" s="147"/>
      <c r="AI74" s="148"/>
      <c r="AJ74" s="148"/>
      <c r="AK74" s="150" t="str">
        <v/>
      </c>
      <c r="AL74" s="145"/>
      <c r="AM74" s="146"/>
      <c r="AN74" s="146"/>
      <c r="AO74" s="147"/>
      <c r="AP74" s="148"/>
      <c r="AQ74" s="148"/>
      <c r="AR74" s="150" t="str">
        <v/>
      </c>
      <c r="AS74" s="145"/>
      <c r="AT74" s="146"/>
      <c r="AU74" s="146"/>
      <c r="AV74" s="147"/>
      <c r="AW74" s="148"/>
      <c r="AX74" s="148"/>
      <c r="AY74" s="150" t="str">
        <v/>
      </c>
      <c r="AZ74" s="145"/>
      <c r="BA74" s="146"/>
      <c r="BB74" s="146"/>
      <c r="BC74" s="147"/>
      <c r="BD74" s="148"/>
      <c r="BE74" s="148"/>
      <c r="BF74" s="150" t="str">
        <v/>
      </c>
      <c r="BG74" s="145"/>
      <c r="BH74" s="146"/>
      <c r="BI74" s="146"/>
      <c r="BJ74" s="147"/>
      <c r="BK74" s="148"/>
      <c r="BL74" s="148"/>
      <c r="BM74" s="150" t="str">
        <v/>
      </c>
      <c r="BN74" s="145"/>
      <c r="BO74" s="146"/>
      <c r="BP74" s="146"/>
      <c r="BQ74" s="147"/>
      <c r="BR74" s="148"/>
      <c r="BS74" s="148"/>
      <c r="BT74" s="150" t="str">
        <v/>
      </c>
      <c r="BU74" s="151" t="str">
        <v/>
      </c>
      <c r="BV74" s="136"/>
    </row>
    <row r="75" spans="1:74">
      <c r="A75" s="139"/>
      <c r="C75" s="140"/>
      <c r="D75" s="141"/>
      <c r="E75" s="142"/>
      <c r="F75" s="142"/>
      <c r="G75" s="143"/>
      <c r="H75" s="144"/>
      <c r="I75" s="150" t="str">
        <v/>
      </c>
      <c r="J75" s="141"/>
      <c r="K75" s="142"/>
      <c r="L75" s="142"/>
      <c r="M75" s="143"/>
      <c r="N75" s="144"/>
      <c r="O75" s="144"/>
      <c r="P75" s="150" t="str">
        <v/>
      </c>
      <c r="Q75" s="141"/>
      <c r="R75" s="142"/>
      <c r="S75" s="142"/>
      <c r="T75" s="143"/>
      <c r="U75" s="144"/>
      <c r="V75" s="144"/>
      <c r="W75" s="150" t="str">
        <v/>
      </c>
      <c r="X75" s="145"/>
      <c r="Y75" s="146"/>
      <c r="Z75" s="146"/>
      <c r="AA75" s="147"/>
      <c r="AB75" s="148"/>
      <c r="AC75" s="148"/>
      <c r="AD75" s="150" t="str">
        <v/>
      </c>
      <c r="AE75" s="145"/>
      <c r="AF75" s="146"/>
      <c r="AG75" s="146"/>
      <c r="AH75" s="147"/>
      <c r="AI75" s="148"/>
      <c r="AJ75" s="148"/>
      <c r="AK75" s="150" t="str">
        <v/>
      </c>
      <c r="AL75" s="145"/>
      <c r="AM75" s="146"/>
      <c r="AN75" s="146"/>
      <c r="AO75" s="147"/>
      <c r="AP75" s="148"/>
      <c r="AQ75" s="148"/>
      <c r="AR75" s="150" t="str">
        <v/>
      </c>
      <c r="AS75" s="145"/>
      <c r="AT75" s="146"/>
      <c r="AU75" s="146"/>
      <c r="AV75" s="147"/>
      <c r="AW75" s="148"/>
      <c r="AX75" s="148"/>
      <c r="AY75" s="150" t="str">
        <v/>
      </c>
      <c r="AZ75" s="145"/>
      <c r="BA75" s="146"/>
      <c r="BB75" s="146"/>
      <c r="BC75" s="147"/>
      <c r="BD75" s="148"/>
      <c r="BE75" s="148"/>
      <c r="BF75" s="150" t="str">
        <v/>
      </c>
      <c r="BG75" s="145"/>
      <c r="BH75" s="146"/>
      <c r="BI75" s="146"/>
      <c r="BJ75" s="147"/>
      <c r="BK75" s="148"/>
      <c r="BL75" s="148"/>
      <c r="BM75" s="150" t="str">
        <v/>
      </c>
      <c r="BN75" s="145"/>
      <c r="BO75" s="146"/>
      <c r="BP75" s="146"/>
      <c r="BQ75" s="147"/>
      <c r="BR75" s="148"/>
      <c r="BS75" s="148"/>
      <c r="BT75" s="150" t="str">
        <v/>
      </c>
      <c r="BU75" s="151" t="str">
        <v/>
      </c>
      <c r="BV75" s="136"/>
    </row>
    <row r="76" spans="1:74">
      <c r="A76" s="139"/>
      <c r="C76" s="140"/>
      <c r="D76" s="141"/>
      <c r="E76" s="142"/>
      <c r="F76" s="142"/>
      <c r="G76" s="143"/>
      <c r="H76" s="144"/>
      <c r="I76" s="150" t="str">
        <v/>
      </c>
      <c r="J76" s="141"/>
      <c r="K76" s="142"/>
      <c r="L76" s="142"/>
      <c r="M76" s="143"/>
      <c r="N76" s="144"/>
      <c r="O76" s="144"/>
      <c r="P76" s="150" t="str">
        <v/>
      </c>
      <c r="Q76" s="141"/>
      <c r="R76" s="142"/>
      <c r="S76" s="142"/>
      <c r="T76" s="143"/>
      <c r="U76" s="144"/>
      <c r="V76" s="144"/>
      <c r="W76" s="150" t="str">
        <v/>
      </c>
      <c r="X76" s="145"/>
      <c r="Y76" s="146"/>
      <c r="Z76" s="146"/>
      <c r="AA76" s="147"/>
      <c r="AB76" s="148"/>
      <c r="AC76" s="148"/>
      <c r="AD76" s="150" t="str">
        <v/>
      </c>
      <c r="AE76" s="145"/>
      <c r="AF76" s="146"/>
      <c r="AG76" s="146"/>
      <c r="AH76" s="147"/>
      <c r="AI76" s="148"/>
      <c r="AJ76" s="148"/>
      <c r="AK76" s="150" t="str">
        <v/>
      </c>
      <c r="AL76" s="145"/>
      <c r="AM76" s="146"/>
      <c r="AN76" s="146"/>
      <c r="AO76" s="147"/>
      <c r="AP76" s="148"/>
      <c r="AQ76" s="148"/>
      <c r="AR76" s="150" t="str">
        <v/>
      </c>
      <c r="AS76" s="145"/>
      <c r="AT76" s="146"/>
      <c r="AU76" s="146"/>
      <c r="AV76" s="147"/>
      <c r="AW76" s="148"/>
      <c r="AX76" s="148"/>
      <c r="AY76" s="150" t="str">
        <v/>
      </c>
      <c r="AZ76" s="145"/>
      <c r="BA76" s="146"/>
      <c r="BB76" s="146"/>
      <c r="BC76" s="147"/>
      <c r="BD76" s="148"/>
      <c r="BE76" s="148"/>
      <c r="BF76" s="150" t="str">
        <v/>
      </c>
      <c r="BG76" s="145"/>
      <c r="BH76" s="146"/>
      <c r="BI76" s="146"/>
      <c r="BJ76" s="147"/>
      <c r="BK76" s="148"/>
      <c r="BL76" s="148"/>
      <c r="BM76" s="150" t="str">
        <v/>
      </c>
      <c r="BN76" s="145"/>
      <c r="BO76" s="146"/>
      <c r="BP76" s="146"/>
      <c r="BQ76" s="147"/>
      <c r="BR76" s="148"/>
      <c r="BS76" s="148"/>
      <c r="BT76" s="150" t="str">
        <v/>
      </c>
      <c r="BU76" s="151" t="str">
        <v/>
      </c>
      <c r="BV76" s="136"/>
    </row>
    <row r="77" spans="1:74">
      <c r="A77" s="139"/>
      <c r="C77" s="140"/>
      <c r="D77" s="141"/>
      <c r="E77" s="142"/>
      <c r="F77" s="142"/>
      <c r="G77" s="143"/>
      <c r="H77" s="144"/>
      <c r="I77" s="150" t="str">
        <v/>
      </c>
      <c r="J77" s="141"/>
      <c r="K77" s="142"/>
      <c r="L77" s="142"/>
      <c r="M77" s="143"/>
      <c r="N77" s="144"/>
      <c r="O77" s="144"/>
      <c r="P77" s="150" t="str">
        <v/>
      </c>
      <c r="Q77" s="141"/>
      <c r="R77" s="142"/>
      <c r="S77" s="142"/>
      <c r="T77" s="143"/>
      <c r="U77" s="144"/>
      <c r="V77" s="144"/>
      <c r="W77" s="150" t="str">
        <v/>
      </c>
      <c r="X77" s="145"/>
      <c r="Y77" s="146"/>
      <c r="Z77" s="146"/>
      <c r="AA77" s="147"/>
      <c r="AB77" s="148"/>
      <c r="AC77" s="148"/>
      <c r="AD77" s="150" t="str">
        <v/>
      </c>
      <c r="AE77" s="145"/>
      <c r="AF77" s="146"/>
      <c r="AG77" s="146"/>
      <c r="AH77" s="147"/>
      <c r="AI77" s="148"/>
      <c r="AJ77" s="148"/>
      <c r="AK77" s="150" t="str">
        <v/>
      </c>
      <c r="AL77" s="145"/>
      <c r="AM77" s="146"/>
      <c r="AN77" s="146"/>
      <c r="AO77" s="147"/>
      <c r="AP77" s="148"/>
      <c r="AQ77" s="148"/>
      <c r="AR77" s="150" t="str">
        <v/>
      </c>
      <c r="AS77" s="145"/>
      <c r="AT77" s="146"/>
      <c r="AU77" s="146"/>
      <c r="AV77" s="147"/>
      <c r="AW77" s="148"/>
      <c r="AX77" s="148"/>
      <c r="AY77" s="150" t="str">
        <v/>
      </c>
      <c r="AZ77" s="145"/>
      <c r="BA77" s="146"/>
      <c r="BB77" s="146"/>
      <c r="BC77" s="147"/>
      <c r="BD77" s="148"/>
      <c r="BE77" s="148"/>
      <c r="BF77" s="150" t="str">
        <v/>
      </c>
      <c r="BG77" s="145"/>
      <c r="BH77" s="146"/>
      <c r="BI77" s="146"/>
      <c r="BJ77" s="147"/>
      <c r="BK77" s="148"/>
      <c r="BL77" s="148"/>
      <c r="BM77" s="150" t="str">
        <v/>
      </c>
      <c r="BN77" s="145"/>
      <c r="BO77" s="146"/>
      <c r="BP77" s="146"/>
      <c r="BQ77" s="147"/>
      <c r="BR77" s="148"/>
      <c r="BS77" s="148"/>
      <c r="BT77" s="150" t="str">
        <v/>
      </c>
      <c r="BU77" s="151" t="str">
        <v/>
      </c>
      <c r="BV77" s="136"/>
    </row>
    <row r="78" spans="1:74">
      <c r="A78" s="139"/>
      <c r="C78" s="140"/>
      <c r="D78" s="141"/>
      <c r="E78" s="142"/>
      <c r="F78" s="142"/>
      <c r="G78" s="143"/>
      <c r="H78" s="144"/>
      <c r="I78" s="150" t="str">
        <v/>
      </c>
      <c r="J78" s="141"/>
      <c r="K78" s="142"/>
      <c r="L78" s="142"/>
      <c r="M78" s="143"/>
      <c r="N78" s="144"/>
      <c r="O78" s="144"/>
      <c r="P78" s="150" t="str">
        <v/>
      </c>
      <c r="Q78" s="141"/>
      <c r="R78" s="142"/>
      <c r="S78" s="142"/>
      <c r="T78" s="143"/>
      <c r="U78" s="144"/>
      <c r="V78" s="144"/>
      <c r="W78" s="150" t="str">
        <v/>
      </c>
      <c r="X78" s="145"/>
      <c r="Y78" s="146"/>
      <c r="Z78" s="146"/>
      <c r="AA78" s="147"/>
      <c r="AB78" s="148"/>
      <c r="AC78" s="148"/>
      <c r="AD78" s="150" t="str">
        <v/>
      </c>
      <c r="AE78" s="145"/>
      <c r="AF78" s="146"/>
      <c r="AG78" s="146"/>
      <c r="AH78" s="147"/>
      <c r="AI78" s="148"/>
      <c r="AJ78" s="148"/>
      <c r="AK78" s="150" t="str">
        <v/>
      </c>
      <c r="AL78" s="145"/>
      <c r="AM78" s="146"/>
      <c r="AN78" s="146"/>
      <c r="AO78" s="147"/>
      <c r="AP78" s="148"/>
      <c r="AQ78" s="148"/>
      <c r="AR78" s="150" t="str">
        <v/>
      </c>
      <c r="AS78" s="145"/>
      <c r="AT78" s="146"/>
      <c r="AU78" s="146"/>
      <c r="AV78" s="147"/>
      <c r="AW78" s="148"/>
      <c r="AX78" s="148"/>
      <c r="AY78" s="150" t="str">
        <v/>
      </c>
      <c r="AZ78" s="145"/>
      <c r="BA78" s="146"/>
      <c r="BB78" s="146"/>
      <c r="BC78" s="147"/>
      <c r="BD78" s="148"/>
      <c r="BE78" s="148"/>
      <c r="BF78" s="150" t="str">
        <v/>
      </c>
      <c r="BG78" s="145"/>
      <c r="BH78" s="146"/>
      <c r="BI78" s="146"/>
      <c r="BJ78" s="147"/>
      <c r="BK78" s="148"/>
      <c r="BL78" s="148"/>
      <c r="BM78" s="150" t="str">
        <v/>
      </c>
      <c r="BN78" s="145"/>
      <c r="BO78" s="146"/>
      <c r="BP78" s="146"/>
      <c r="BQ78" s="147"/>
      <c r="BR78" s="148"/>
      <c r="BS78" s="148"/>
      <c r="BT78" s="150" t="str">
        <v/>
      </c>
      <c r="BU78" s="151" t="str">
        <v/>
      </c>
      <c r="BV78" s="136"/>
    </row>
    <row r="79" spans="1:74">
      <c r="A79" s="139"/>
      <c r="C79" s="140"/>
      <c r="D79" s="141"/>
      <c r="E79" s="142"/>
      <c r="F79" s="142"/>
      <c r="G79" s="143"/>
      <c r="H79" s="144"/>
      <c r="I79" s="150" t="str">
        <v/>
      </c>
      <c r="J79" s="141"/>
      <c r="K79" s="142"/>
      <c r="L79" s="142"/>
      <c r="M79" s="143"/>
      <c r="N79" s="144"/>
      <c r="O79" s="144"/>
      <c r="P79" s="150" t="str">
        <v/>
      </c>
      <c r="Q79" s="141"/>
      <c r="R79" s="142"/>
      <c r="S79" s="142"/>
      <c r="T79" s="143"/>
      <c r="U79" s="144"/>
      <c r="V79" s="144"/>
      <c r="W79" s="150" t="str">
        <v/>
      </c>
      <c r="X79" s="145"/>
      <c r="Y79" s="146"/>
      <c r="Z79" s="146"/>
      <c r="AA79" s="147"/>
      <c r="AB79" s="148"/>
      <c r="AC79" s="148"/>
      <c r="AD79" s="150" t="str">
        <v/>
      </c>
      <c r="AE79" s="145"/>
      <c r="AF79" s="146"/>
      <c r="AG79" s="146"/>
      <c r="AH79" s="147"/>
      <c r="AI79" s="148"/>
      <c r="AJ79" s="148"/>
      <c r="AK79" s="150" t="str">
        <v/>
      </c>
      <c r="AL79" s="145"/>
      <c r="AM79" s="146"/>
      <c r="AN79" s="146"/>
      <c r="AO79" s="147"/>
      <c r="AP79" s="148"/>
      <c r="AQ79" s="148"/>
      <c r="AR79" s="150" t="str">
        <v/>
      </c>
      <c r="AS79" s="145"/>
      <c r="AT79" s="146"/>
      <c r="AU79" s="146"/>
      <c r="AV79" s="147"/>
      <c r="AW79" s="148"/>
      <c r="AX79" s="148"/>
      <c r="AY79" s="150" t="str">
        <v/>
      </c>
      <c r="AZ79" s="145"/>
      <c r="BA79" s="146"/>
      <c r="BB79" s="146"/>
      <c r="BC79" s="147"/>
      <c r="BD79" s="148"/>
      <c r="BE79" s="148"/>
      <c r="BF79" s="150" t="str">
        <v/>
      </c>
      <c r="BG79" s="145"/>
      <c r="BH79" s="146"/>
      <c r="BI79" s="146"/>
      <c r="BJ79" s="147"/>
      <c r="BK79" s="148"/>
      <c r="BL79" s="148"/>
      <c r="BM79" s="150" t="str">
        <v/>
      </c>
      <c r="BN79" s="145"/>
      <c r="BO79" s="146"/>
      <c r="BP79" s="146"/>
      <c r="BQ79" s="147"/>
      <c r="BR79" s="148"/>
      <c r="BS79" s="148"/>
      <c r="BT79" s="150" t="str">
        <v/>
      </c>
      <c r="BU79" s="151" t="str">
        <v/>
      </c>
      <c r="BV79" s="136"/>
    </row>
    <row r="80" spans="1:74">
      <c r="A80" s="139"/>
      <c r="C80" s="140"/>
      <c r="D80" s="141"/>
      <c r="E80" s="142"/>
      <c r="F80" s="142"/>
      <c r="G80" s="143"/>
      <c r="H80" s="144"/>
      <c r="I80" s="150" t="str">
        <v/>
      </c>
      <c r="J80" s="141"/>
      <c r="K80" s="142"/>
      <c r="L80" s="142"/>
      <c r="M80" s="143"/>
      <c r="N80" s="144"/>
      <c r="O80" s="144"/>
      <c r="P80" s="150" t="str">
        <v/>
      </c>
      <c r="Q80" s="141"/>
      <c r="R80" s="142"/>
      <c r="S80" s="142"/>
      <c r="T80" s="143"/>
      <c r="U80" s="144"/>
      <c r="V80" s="144"/>
      <c r="W80" s="150" t="str">
        <v/>
      </c>
      <c r="X80" s="145"/>
      <c r="Y80" s="146"/>
      <c r="Z80" s="146"/>
      <c r="AA80" s="147"/>
      <c r="AB80" s="148"/>
      <c r="AC80" s="148"/>
      <c r="AD80" s="150" t="str">
        <v/>
      </c>
      <c r="AE80" s="145"/>
      <c r="AF80" s="146"/>
      <c r="AG80" s="146"/>
      <c r="AH80" s="147"/>
      <c r="AI80" s="148"/>
      <c r="AJ80" s="148"/>
      <c r="AK80" s="150" t="str">
        <v/>
      </c>
      <c r="AL80" s="145"/>
      <c r="AM80" s="146"/>
      <c r="AN80" s="146"/>
      <c r="AO80" s="147"/>
      <c r="AP80" s="148"/>
      <c r="AQ80" s="148"/>
      <c r="AR80" s="150" t="str">
        <v/>
      </c>
      <c r="AS80" s="145"/>
      <c r="AT80" s="146"/>
      <c r="AU80" s="146"/>
      <c r="AV80" s="147"/>
      <c r="AW80" s="148"/>
      <c r="AX80" s="148"/>
      <c r="AY80" s="150" t="str">
        <v/>
      </c>
      <c r="AZ80" s="145"/>
      <c r="BA80" s="146"/>
      <c r="BB80" s="146"/>
      <c r="BC80" s="147"/>
      <c r="BD80" s="148"/>
      <c r="BE80" s="148"/>
      <c r="BF80" s="150" t="str">
        <v/>
      </c>
      <c r="BG80" s="145"/>
      <c r="BH80" s="146"/>
      <c r="BI80" s="146"/>
      <c r="BJ80" s="147"/>
      <c r="BK80" s="148"/>
      <c r="BL80" s="148"/>
      <c r="BM80" s="150" t="str">
        <v/>
      </c>
      <c r="BN80" s="145"/>
      <c r="BO80" s="146"/>
      <c r="BP80" s="146"/>
      <c r="BQ80" s="147"/>
      <c r="BR80" s="148"/>
      <c r="BS80" s="148"/>
      <c r="BT80" s="150" t="str">
        <v/>
      </c>
      <c r="BU80" s="151" t="str">
        <v/>
      </c>
      <c r="BV80" s="136"/>
    </row>
    <row r="81" spans="1:74">
      <c r="A81" s="139"/>
      <c r="C81" s="140"/>
      <c r="D81" s="141"/>
      <c r="E81" s="142"/>
      <c r="F81" s="142"/>
      <c r="G81" s="143"/>
      <c r="H81" s="144"/>
      <c r="I81" s="150" t="str">
        <v/>
      </c>
      <c r="J81" s="141"/>
      <c r="K81" s="142"/>
      <c r="L81" s="142"/>
      <c r="M81" s="143"/>
      <c r="N81" s="144"/>
      <c r="O81" s="144"/>
      <c r="P81" s="150" t="str">
        <v/>
      </c>
      <c r="Q81" s="141"/>
      <c r="R81" s="142"/>
      <c r="S81" s="142"/>
      <c r="T81" s="143"/>
      <c r="U81" s="144"/>
      <c r="V81" s="144"/>
      <c r="W81" s="150" t="str">
        <v/>
      </c>
      <c r="X81" s="145"/>
      <c r="Y81" s="146"/>
      <c r="Z81" s="146"/>
      <c r="AA81" s="147"/>
      <c r="AB81" s="148"/>
      <c r="AC81" s="148"/>
      <c r="AD81" s="150" t="str">
        <v/>
      </c>
      <c r="AE81" s="145"/>
      <c r="AF81" s="146"/>
      <c r="AG81" s="146"/>
      <c r="AH81" s="147"/>
      <c r="AI81" s="148"/>
      <c r="AJ81" s="148"/>
      <c r="AK81" s="150" t="str">
        <v/>
      </c>
      <c r="AL81" s="145"/>
      <c r="AM81" s="146"/>
      <c r="AN81" s="146"/>
      <c r="AO81" s="147"/>
      <c r="AP81" s="148"/>
      <c r="AQ81" s="148"/>
      <c r="AR81" s="150" t="str">
        <v/>
      </c>
      <c r="AS81" s="145"/>
      <c r="AT81" s="146"/>
      <c r="AU81" s="146"/>
      <c r="AV81" s="147"/>
      <c r="AW81" s="148"/>
      <c r="AX81" s="148"/>
      <c r="AY81" s="150" t="str">
        <v/>
      </c>
      <c r="AZ81" s="145"/>
      <c r="BA81" s="146"/>
      <c r="BB81" s="146"/>
      <c r="BC81" s="147"/>
      <c r="BD81" s="148"/>
      <c r="BE81" s="148"/>
      <c r="BF81" s="150" t="str">
        <v/>
      </c>
      <c r="BG81" s="145"/>
      <c r="BH81" s="146"/>
      <c r="BI81" s="146"/>
      <c r="BJ81" s="147"/>
      <c r="BK81" s="148"/>
      <c r="BL81" s="148"/>
      <c r="BM81" s="150" t="str">
        <v/>
      </c>
      <c r="BN81" s="145"/>
      <c r="BO81" s="146"/>
      <c r="BP81" s="146"/>
      <c r="BQ81" s="147"/>
      <c r="BR81" s="148"/>
      <c r="BS81" s="148"/>
      <c r="BT81" s="150" t="str">
        <v/>
      </c>
      <c r="BU81" s="151" t="str">
        <v/>
      </c>
      <c r="BV81" s="136"/>
    </row>
    <row r="82" spans="1:74">
      <c r="A82" s="139"/>
      <c r="C82" s="140"/>
      <c r="D82" s="141"/>
      <c r="E82" s="142"/>
      <c r="F82" s="142"/>
      <c r="G82" s="143"/>
      <c r="H82" s="144"/>
      <c r="I82" s="150" t="str">
        <v/>
      </c>
      <c r="J82" s="141"/>
      <c r="K82" s="142"/>
      <c r="L82" s="142"/>
      <c r="M82" s="143"/>
      <c r="N82" s="144"/>
      <c r="O82" s="144"/>
      <c r="P82" s="150" t="str">
        <v/>
      </c>
      <c r="Q82" s="141"/>
      <c r="R82" s="142"/>
      <c r="S82" s="142"/>
      <c r="T82" s="143"/>
      <c r="U82" s="144"/>
      <c r="V82" s="144"/>
      <c r="W82" s="150" t="str">
        <v/>
      </c>
      <c r="X82" s="145"/>
      <c r="Y82" s="146"/>
      <c r="Z82" s="146"/>
      <c r="AA82" s="147"/>
      <c r="AB82" s="148"/>
      <c r="AC82" s="148"/>
      <c r="AD82" s="150" t="str">
        <v/>
      </c>
      <c r="AE82" s="145"/>
      <c r="AF82" s="146"/>
      <c r="AG82" s="146"/>
      <c r="AH82" s="147"/>
      <c r="AI82" s="148"/>
      <c r="AJ82" s="148"/>
      <c r="AK82" s="150" t="str">
        <v/>
      </c>
      <c r="AL82" s="145"/>
      <c r="AM82" s="146"/>
      <c r="AN82" s="146"/>
      <c r="AO82" s="147"/>
      <c r="AP82" s="148"/>
      <c r="AQ82" s="148"/>
      <c r="AR82" s="150" t="str">
        <v/>
      </c>
      <c r="AS82" s="145"/>
      <c r="AT82" s="146"/>
      <c r="AU82" s="146"/>
      <c r="AV82" s="147"/>
      <c r="AW82" s="148"/>
      <c r="AX82" s="148"/>
      <c r="AY82" s="150" t="str">
        <v/>
      </c>
      <c r="AZ82" s="145"/>
      <c r="BA82" s="146"/>
      <c r="BB82" s="146"/>
      <c r="BC82" s="147"/>
      <c r="BD82" s="148"/>
      <c r="BE82" s="148"/>
      <c r="BF82" s="150" t="str">
        <v/>
      </c>
      <c r="BG82" s="145"/>
      <c r="BH82" s="146"/>
      <c r="BI82" s="146"/>
      <c r="BJ82" s="147"/>
      <c r="BK82" s="148"/>
      <c r="BL82" s="148"/>
      <c r="BM82" s="150" t="str">
        <v/>
      </c>
      <c r="BN82" s="145"/>
      <c r="BO82" s="146"/>
      <c r="BP82" s="146"/>
      <c r="BQ82" s="147"/>
      <c r="BR82" s="148"/>
      <c r="BS82" s="148"/>
      <c r="BT82" s="150" t="str">
        <v/>
      </c>
      <c r="BU82" s="151" t="str">
        <v/>
      </c>
      <c r="BV82" s="136"/>
    </row>
    <row r="83" spans="1:74">
      <c r="A83" s="139"/>
      <c r="C83" s="140"/>
      <c r="D83" s="141"/>
      <c r="E83" s="142"/>
      <c r="F83" s="142"/>
      <c r="G83" s="143"/>
      <c r="H83" s="144"/>
      <c r="I83" s="150" t="str">
        <v/>
      </c>
      <c r="J83" s="141"/>
      <c r="K83" s="142"/>
      <c r="L83" s="142"/>
      <c r="M83" s="143"/>
      <c r="N83" s="144"/>
      <c r="O83" s="144"/>
      <c r="P83" s="150" t="str">
        <v/>
      </c>
      <c r="Q83" s="141"/>
      <c r="R83" s="142"/>
      <c r="S83" s="142"/>
      <c r="T83" s="143"/>
      <c r="U83" s="144"/>
      <c r="V83" s="144"/>
      <c r="W83" s="150" t="str">
        <v/>
      </c>
      <c r="X83" s="145"/>
      <c r="Y83" s="146"/>
      <c r="Z83" s="146"/>
      <c r="AA83" s="147"/>
      <c r="AB83" s="148"/>
      <c r="AC83" s="148"/>
      <c r="AD83" s="150" t="str">
        <v/>
      </c>
      <c r="AE83" s="145"/>
      <c r="AF83" s="146"/>
      <c r="AG83" s="146"/>
      <c r="AH83" s="147"/>
      <c r="AI83" s="148"/>
      <c r="AJ83" s="148"/>
      <c r="AK83" s="150" t="str">
        <v/>
      </c>
      <c r="AL83" s="145"/>
      <c r="AM83" s="146"/>
      <c r="AN83" s="146"/>
      <c r="AO83" s="147"/>
      <c r="AP83" s="148"/>
      <c r="AQ83" s="148"/>
      <c r="AR83" s="150" t="str">
        <v/>
      </c>
      <c r="AS83" s="145"/>
      <c r="AT83" s="146"/>
      <c r="AU83" s="146"/>
      <c r="AV83" s="147"/>
      <c r="AW83" s="148"/>
      <c r="AX83" s="148"/>
      <c r="AY83" s="150" t="str">
        <v/>
      </c>
      <c r="AZ83" s="145"/>
      <c r="BA83" s="146"/>
      <c r="BB83" s="146"/>
      <c r="BC83" s="147"/>
      <c r="BD83" s="148"/>
      <c r="BE83" s="148"/>
      <c r="BF83" s="150" t="str">
        <v/>
      </c>
      <c r="BG83" s="145"/>
      <c r="BH83" s="146"/>
      <c r="BI83" s="146"/>
      <c r="BJ83" s="147"/>
      <c r="BK83" s="148"/>
      <c r="BL83" s="148"/>
      <c r="BM83" s="150" t="str">
        <v/>
      </c>
      <c r="BN83" s="145"/>
      <c r="BO83" s="146"/>
      <c r="BP83" s="146"/>
      <c r="BQ83" s="147"/>
      <c r="BR83" s="148"/>
      <c r="BS83" s="148"/>
      <c r="BT83" s="150" t="str">
        <v/>
      </c>
      <c r="BU83" s="151" t="str">
        <v/>
      </c>
      <c r="BV83" s="136"/>
    </row>
    <row r="84" spans="1:74">
      <c r="A84" s="139"/>
      <c r="C84" s="140"/>
      <c r="D84" s="141"/>
      <c r="E84" s="142"/>
      <c r="F84" s="142"/>
      <c r="G84" s="143"/>
      <c r="H84" s="144"/>
      <c r="I84" s="150" t="str">
        <v/>
      </c>
      <c r="J84" s="141"/>
      <c r="K84" s="142"/>
      <c r="L84" s="142"/>
      <c r="M84" s="143"/>
      <c r="N84" s="144"/>
      <c r="O84" s="144"/>
      <c r="P84" s="150" t="str">
        <v/>
      </c>
      <c r="Q84" s="141"/>
      <c r="R84" s="142"/>
      <c r="S84" s="142"/>
      <c r="T84" s="143"/>
      <c r="U84" s="144"/>
      <c r="V84" s="144"/>
      <c r="W84" s="150" t="str">
        <v/>
      </c>
      <c r="X84" s="145"/>
      <c r="Y84" s="146"/>
      <c r="Z84" s="146"/>
      <c r="AA84" s="147"/>
      <c r="AB84" s="148"/>
      <c r="AC84" s="148"/>
      <c r="AD84" s="150" t="str">
        <v/>
      </c>
      <c r="AE84" s="145"/>
      <c r="AF84" s="146"/>
      <c r="AG84" s="146"/>
      <c r="AH84" s="147"/>
      <c r="AI84" s="148"/>
      <c r="AJ84" s="148"/>
      <c r="AK84" s="150" t="str">
        <v/>
      </c>
      <c r="AL84" s="145"/>
      <c r="AM84" s="146"/>
      <c r="AN84" s="146"/>
      <c r="AO84" s="147"/>
      <c r="AP84" s="148"/>
      <c r="AQ84" s="148"/>
      <c r="AR84" s="150" t="str">
        <v/>
      </c>
      <c r="AS84" s="145"/>
      <c r="AT84" s="146"/>
      <c r="AU84" s="146"/>
      <c r="AV84" s="147"/>
      <c r="AW84" s="148"/>
      <c r="AX84" s="148"/>
      <c r="AY84" s="150" t="str">
        <v/>
      </c>
      <c r="AZ84" s="145"/>
      <c r="BA84" s="146"/>
      <c r="BB84" s="146"/>
      <c r="BC84" s="147"/>
      <c r="BD84" s="148"/>
      <c r="BE84" s="148"/>
      <c r="BF84" s="150" t="str">
        <v/>
      </c>
      <c r="BG84" s="145"/>
      <c r="BH84" s="146"/>
      <c r="BI84" s="146"/>
      <c r="BJ84" s="147"/>
      <c r="BK84" s="148"/>
      <c r="BL84" s="148"/>
      <c r="BM84" s="150" t="str">
        <v/>
      </c>
      <c r="BN84" s="145"/>
      <c r="BO84" s="146"/>
      <c r="BP84" s="146"/>
      <c r="BQ84" s="147"/>
      <c r="BR84" s="148"/>
      <c r="BS84" s="148"/>
      <c r="BT84" s="150" t="str">
        <v/>
      </c>
      <c r="BU84" s="151" t="str">
        <v/>
      </c>
      <c r="BV84" s="136"/>
    </row>
    <row r="85" spans="1:74">
      <c r="A85" s="139"/>
      <c r="C85" s="140"/>
      <c r="D85" s="141"/>
      <c r="E85" s="142"/>
      <c r="F85" s="142"/>
      <c r="G85" s="143"/>
      <c r="H85" s="144"/>
      <c r="I85" s="150" t="str">
        <v/>
      </c>
      <c r="J85" s="141"/>
      <c r="K85" s="142"/>
      <c r="L85" s="142"/>
      <c r="M85" s="143"/>
      <c r="N85" s="144"/>
      <c r="O85" s="144"/>
      <c r="P85" s="150" t="str">
        <v/>
      </c>
      <c r="Q85" s="141"/>
      <c r="R85" s="142"/>
      <c r="S85" s="142"/>
      <c r="T85" s="143"/>
      <c r="U85" s="144"/>
      <c r="V85" s="144"/>
      <c r="W85" s="150" t="str">
        <v/>
      </c>
      <c r="X85" s="145"/>
      <c r="Y85" s="146"/>
      <c r="Z85" s="146"/>
      <c r="AA85" s="147"/>
      <c r="AB85" s="148"/>
      <c r="AC85" s="148"/>
      <c r="AD85" s="150" t="str">
        <v/>
      </c>
      <c r="AE85" s="145"/>
      <c r="AF85" s="146"/>
      <c r="AG85" s="146"/>
      <c r="AH85" s="147"/>
      <c r="AI85" s="148"/>
      <c r="AJ85" s="148"/>
      <c r="AK85" s="150" t="str">
        <v/>
      </c>
      <c r="AL85" s="145"/>
      <c r="AM85" s="146"/>
      <c r="AN85" s="146"/>
      <c r="AO85" s="147"/>
      <c r="AP85" s="148"/>
      <c r="AQ85" s="148"/>
      <c r="AR85" s="150" t="str">
        <v/>
      </c>
      <c r="AS85" s="145"/>
      <c r="AT85" s="146"/>
      <c r="AU85" s="146"/>
      <c r="AV85" s="147"/>
      <c r="AW85" s="148"/>
      <c r="AX85" s="148"/>
      <c r="AY85" s="150" t="str">
        <v/>
      </c>
      <c r="AZ85" s="145"/>
      <c r="BA85" s="146"/>
      <c r="BB85" s="146"/>
      <c r="BC85" s="147"/>
      <c r="BD85" s="148"/>
      <c r="BE85" s="148"/>
      <c r="BF85" s="150" t="str">
        <v/>
      </c>
      <c r="BG85" s="145"/>
      <c r="BH85" s="146"/>
      <c r="BI85" s="146"/>
      <c r="BJ85" s="147"/>
      <c r="BK85" s="148"/>
      <c r="BL85" s="148"/>
      <c r="BM85" s="150" t="str">
        <v/>
      </c>
      <c r="BN85" s="145"/>
      <c r="BO85" s="146"/>
      <c r="BP85" s="146"/>
      <c r="BQ85" s="147"/>
      <c r="BR85" s="148"/>
      <c r="BS85" s="148"/>
      <c r="BT85" s="150" t="str">
        <v/>
      </c>
      <c r="BU85" s="151" t="str">
        <v/>
      </c>
      <c r="BV85" s="136"/>
    </row>
    <row r="86" spans="1:74">
      <c r="A86" s="139"/>
      <c r="C86" s="140"/>
      <c r="D86" s="141"/>
      <c r="E86" s="142"/>
      <c r="F86" s="142"/>
      <c r="G86" s="143"/>
      <c r="H86" s="144"/>
      <c r="I86" s="150" t="str">
        <v/>
      </c>
      <c r="J86" s="141"/>
      <c r="K86" s="142"/>
      <c r="L86" s="142"/>
      <c r="M86" s="143"/>
      <c r="N86" s="144"/>
      <c r="O86" s="144"/>
      <c r="P86" s="150" t="str">
        <v/>
      </c>
      <c r="Q86" s="141"/>
      <c r="R86" s="142"/>
      <c r="S86" s="142"/>
      <c r="T86" s="143"/>
      <c r="U86" s="144"/>
      <c r="V86" s="144"/>
      <c r="W86" s="150" t="str">
        <v/>
      </c>
      <c r="X86" s="145"/>
      <c r="Y86" s="146"/>
      <c r="Z86" s="146"/>
      <c r="AA86" s="147"/>
      <c r="AB86" s="148"/>
      <c r="AC86" s="148"/>
      <c r="AD86" s="150" t="str">
        <v/>
      </c>
      <c r="AE86" s="145"/>
      <c r="AF86" s="146"/>
      <c r="AG86" s="146"/>
      <c r="AH86" s="147"/>
      <c r="AI86" s="148"/>
      <c r="AJ86" s="148"/>
      <c r="AK86" s="150" t="str">
        <v/>
      </c>
      <c r="AL86" s="145"/>
      <c r="AM86" s="146"/>
      <c r="AN86" s="146"/>
      <c r="AO86" s="147"/>
      <c r="AP86" s="148"/>
      <c r="AQ86" s="148"/>
      <c r="AR86" s="150" t="str">
        <v/>
      </c>
      <c r="AS86" s="145"/>
      <c r="AT86" s="146"/>
      <c r="AU86" s="146"/>
      <c r="AV86" s="147"/>
      <c r="AW86" s="148"/>
      <c r="AX86" s="148"/>
      <c r="AY86" s="150" t="str">
        <v/>
      </c>
      <c r="AZ86" s="145"/>
      <c r="BA86" s="146"/>
      <c r="BB86" s="146"/>
      <c r="BC86" s="147"/>
      <c r="BD86" s="148"/>
      <c r="BE86" s="148"/>
      <c r="BF86" s="150" t="str">
        <v/>
      </c>
      <c r="BG86" s="145"/>
      <c r="BH86" s="146"/>
      <c r="BI86" s="146"/>
      <c r="BJ86" s="147"/>
      <c r="BK86" s="148"/>
      <c r="BL86" s="148"/>
      <c r="BM86" s="150" t="str">
        <v/>
      </c>
      <c r="BN86" s="145"/>
      <c r="BO86" s="146"/>
      <c r="BP86" s="146"/>
      <c r="BQ86" s="147"/>
      <c r="BR86" s="148"/>
      <c r="BS86" s="148"/>
      <c r="BT86" s="150" t="str">
        <v/>
      </c>
      <c r="BU86" s="151" t="str">
        <v/>
      </c>
      <c r="BV86" s="136"/>
    </row>
    <row r="87" spans="1:74">
      <c r="A87" s="139"/>
      <c r="C87" s="140"/>
      <c r="D87" s="141"/>
      <c r="E87" s="142"/>
      <c r="F87" s="142"/>
      <c r="G87" s="143"/>
      <c r="H87" s="144"/>
      <c r="I87" s="150" t="str">
        <v/>
      </c>
      <c r="J87" s="141"/>
      <c r="K87" s="142"/>
      <c r="L87" s="142"/>
      <c r="M87" s="143"/>
      <c r="N87" s="144"/>
      <c r="O87" s="144"/>
      <c r="P87" s="150" t="str">
        <v/>
      </c>
      <c r="Q87" s="141"/>
      <c r="R87" s="142"/>
      <c r="S87" s="142"/>
      <c r="T87" s="143"/>
      <c r="U87" s="144"/>
      <c r="V87" s="144"/>
      <c r="W87" s="150" t="str">
        <v/>
      </c>
      <c r="X87" s="145"/>
      <c r="Y87" s="146"/>
      <c r="Z87" s="146"/>
      <c r="AA87" s="147"/>
      <c r="AB87" s="148"/>
      <c r="AC87" s="148"/>
      <c r="AD87" s="150" t="str">
        <v/>
      </c>
      <c r="AE87" s="145"/>
      <c r="AF87" s="146"/>
      <c r="AG87" s="146"/>
      <c r="AH87" s="147"/>
      <c r="AI87" s="148"/>
      <c r="AJ87" s="148"/>
      <c r="AK87" s="150" t="str">
        <v/>
      </c>
      <c r="AL87" s="145"/>
      <c r="AM87" s="146"/>
      <c r="AN87" s="146"/>
      <c r="AO87" s="147"/>
      <c r="AP87" s="148"/>
      <c r="AQ87" s="148"/>
      <c r="AR87" s="150" t="str">
        <v/>
      </c>
      <c r="AS87" s="145"/>
      <c r="AT87" s="146"/>
      <c r="AU87" s="146"/>
      <c r="AV87" s="147"/>
      <c r="AW87" s="148"/>
      <c r="AX87" s="148"/>
      <c r="AY87" s="150" t="str">
        <v/>
      </c>
      <c r="AZ87" s="145"/>
      <c r="BA87" s="146"/>
      <c r="BB87" s="146"/>
      <c r="BC87" s="147"/>
      <c r="BD87" s="148"/>
      <c r="BE87" s="148"/>
      <c r="BF87" s="150" t="str">
        <v/>
      </c>
      <c r="BG87" s="145"/>
      <c r="BH87" s="146"/>
      <c r="BI87" s="146"/>
      <c r="BJ87" s="147"/>
      <c r="BK87" s="148"/>
      <c r="BL87" s="148"/>
      <c r="BM87" s="150" t="str">
        <v/>
      </c>
      <c r="BN87" s="145"/>
      <c r="BO87" s="146"/>
      <c r="BP87" s="146"/>
      <c r="BQ87" s="147"/>
      <c r="BR87" s="148"/>
      <c r="BS87" s="148"/>
      <c r="BT87" s="150" t="str">
        <v/>
      </c>
      <c r="BU87" s="151" t="str">
        <v/>
      </c>
      <c r="BV87" s="136"/>
    </row>
    <row r="88" spans="1:74">
      <c r="A88" s="139"/>
      <c r="C88" s="140"/>
      <c r="D88" s="141"/>
      <c r="E88" s="142"/>
      <c r="F88" s="142"/>
      <c r="G88" s="143"/>
      <c r="H88" s="144"/>
      <c r="I88" s="150" t="str">
        <v/>
      </c>
      <c r="J88" s="141"/>
      <c r="K88" s="142"/>
      <c r="L88" s="142"/>
      <c r="M88" s="143"/>
      <c r="N88" s="144"/>
      <c r="O88" s="144"/>
      <c r="P88" s="150" t="str">
        <v/>
      </c>
      <c r="Q88" s="141"/>
      <c r="R88" s="142"/>
      <c r="S88" s="142"/>
      <c r="T88" s="143"/>
      <c r="U88" s="144"/>
      <c r="V88" s="144"/>
      <c r="W88" s="150" t="str">
        <v/>
      </c>
      <c r="X88" s="145"/>
      <c r="Y88" s="146"/>
      <c r="Z88" s="146"/>
      <c r="AA88" s="147"/>
      <c r="AB88" s="148"/>
      <c r="AC88" s="148"/>
      <c r="AD88" s="150" t="str">
        <v/>
      </c>
      <c r="AE88" s="145"/>
      <c r="AF88" s="146"/>
      <c r="AG88" s="146"/>
      <c r="AH88" s="147"/>
      <c r="AI88" s="148"/>
      <c r="AJ88" s="148"/>
      <c r="AK88" s="150" t="str">
        <v/>
      </c>
      <c r="AL88" s="145"/>
      <c r="AM88" s="146"/>
      <c r="AN88" s="146"/>
      <c r="AO88" s="147"/>
      <c r="AP88" s="148"/>
      <c r="AQ88" s="148"/>
      <c r="AR88" s="150" t="str">
        <v/>
      </c>
      <c r="AS88" s="145"/>
      <c r="AT88" s="146"/>
      <c r="AU88" s="146"/>
      <c r="AV88" s="147"/>
      <c r="AW88" s="148"/>
      <c r="AX88" s="148"/>
      <c r="AY88" s="150" t="str">
        <v/>
      </c>
      <c r="AZ88" s="145"/>
      <c r="BA88" s="146"/>
      <c r="BB88" s="146"/>
      <c r="BC88" s="147"/>
      <c r="BD88" s="148"/>
      <c r="BE88" s="148"/>
      <c r="BF88" s="150" t="str">
        <v/>
      </c>
      <c r="BG88" s="145"/>
      <c r="BH88" s="146"/>
      <c r="BI88" s="146"/>
      <c r="BJ88" s="147"/>
      <c r="BK88" s="148"/>
      <c r="BL88" s="148"/>
      <c r="BM88" s="150" t="str">
        <v/>
      </c>
      <c r="BN88" s="145"/>
      <c r="BO88" s="146"/>
      <c r="BP88" s="146"/>
      <c r="BQ88" s="147"/>
      <c r="BR88" s="148"/>
      <c r="BS88" s="148"/>
      <c r="BT88" s="150" t="str">
        <v/>
      </c>
      <c r="BU88" s="151" t="str">
        <v/>
      </c>
      <c r="BV88" s="136"/>
    </row>
    <row r="89" spans="1:74">
      <c r="A89" s="139"/>
      <c r="C89" s="140"/>
      <c r="D89" s="141"/>
      <c r="E89" s="142"/>
      <c r="F89" s="142"/>
      <c r="G89" s="143"/>
      <c r="H89" s="144"/>
      <c r="I89" s="150" t="str">
        <v/>
      </c>
      <c r="J89" s="141"/>
      <c r="K89" s="142"/>
      <c r="L89" s="142"/>
      <c r="M89" s="143"/>
      <c r="N89" s="144"/>
      <c r="O89" s="144"/>
      <c r="P89" s="150" t="str">
        <v/>
      </c>
      <c r="Q89" s="141"/>
      <c r="R89" s="142"/>
      <c r="S89" s="142"/>
      <c r="T89" s="143"/>
      <c r="U89" s="144"/>
      <c r="V89" s="144"/>
      <c r="W89" s="150" t="str">
        <v/>
      </c>
      <c r="X89" s="145"/>
      <c r="Y89" s="146"/>
      <c r="Z89" s="146"/>
      <c r="AA89" s="147"/>
      <c r="AB89" s="148"/>
      <c r="AC89" s="148"/>
      <c r="AD89" s="150" t="str">
        <v/>
      </c>
      <c r="AE89" s="145"/>
      <c r="AF89" s="146"/>
      <c r="AG89" s="146"/>
      <c r="AH89" s="147"/>
      <c r="AI89" s="148"/>
      <c r="AJ89" s="148"/>
      <c r="AK89" s="150" t="str">
        <v/>
      </c>
      <c r="AL89" s="145"/>
      <c r="AM89" s="146"/>
      <c r="AN89" s="146"/>
      <c r="AO89" s="147"/>
      <c r="AP89" s="148"/>
      <c r="AQ89" s="148"/>
      <c r="AR89" s="150" t="str">
        <v/>
      </c>
      <c r="AS89" s="145"/>
      <c r="AT89" s="146"/>
      <c r="AU89" s="146"/>
      <c r="AV89" s="147"/>
      <c r="AW89" s="148"/>
      <c r="AX89" s="148"/>
      <c r="AY89" s="150" t="str">
        <v/>
      </c>
      <c r="AZ89" s="145"/>
      <c r="BA89" s="146"/>
      <c r="BB89" s="146"/>
      <c r="BC89" s="147"/>
      <c r="BD89" s="148"/>
      <c r="BE89" s="148"/>
      <c r="BF89" s="150" t="str">
        <v/>
      </c>
      <c r="BG89" s="145"/>
      <c r="BH89" s="146"/>
      <c r="BI89" s="146"/>
      <c r="BJ89" s="147"/>
      <c r="BK89" s="148"/>
      <c r="BL89" s="148"/>
      <c r="BM89" s="150" t="str">
        <v/>
      </c>
      <c r="BN89" s="145"/>
      <c r="BO89" s="146"/>
      <c r="BP89" s="146"/>
      <c r="BQ89" s="147"/>
      <c r="BR89" s="148"/>
      <c r="BS89" s="148"/>
      <c r="BT89" s="150" t="str">
        <v/>
      </c>
      <c r="BU89" s="151" t="str">
        <v/>
      </c>
      <c r="BV89" s="136"/>
    </row>
    <row r="90" spans="1:74">
      <c r="A90" s="139"/>
      <c r="C90" s="140"/>
      <c r="D90" s="141"/>
      <c r="E90" s="142"/>
      <c r="F90" s="142"/>
      <c r="G90" s="143"/>
      <c r="H90" s="144"/>
      <c r="I90" s="150" t="str">
        <v/>
      </c>
      <c r="J90" s="141"/>
      <c r="K90" s="142"/>
      <c r="L90" s="142"/>
      <c r="M90" s="143"/>
      <c r="N90" s="144"/>
      <c r="O90" s="144"/>
      <c r="P90" s="150" t="str">
        <v/>
      </c>
      <c r="Q90" s="141"/>
      <c r="R90" s="142"/>
      <c r="S90" s="142"/>
      <c r="T90" s="143"/>
      <c r="U90" s="144"/>
      <c r="V90" s="144"/>
      <c r="W90" s="150" t="str">
        <v/>
      </c>
      <c r="X90" s="145"/>
      <c r="Y90" s="146"/>
      <c r="Z90" s="146"/>
      <c r="AA90" s="147"/>
      <c r="AB90" s="148"/>
      <c r="AC90" s="148"/>
      <c r="AD90" s="150" t="str">
        <v/>
      </c>
      <c r="AE90" s="145"/>
      <c r="AF90" s="146"/>
      <c r="AG90" s="146"/>
      <c r="AH90" s="147"/>
      <c r="AI90" s="148"/>
      <c r="AJ90" s="148"/>
      <c r="AK90" s="150" t="str">
        <v/>
      </c>
      <c r="AL90" s="145"/>
      <c r="AM90" s="146"/>
      <c r="AN90" s="146"/>
      <c r="AO90" s="147"/>
      <c r="AP90" s="148"/>
      <c r="AQ90" s="148"/>
      <c r="AR90" s="150" t="str">
        <v/>
      </c>
      <c r="AS90" s="145"/>
      <c r="AT90" s="146"/>
      <c r="AU90" s="146"/>
      <c r="AV90" s="147"/>
      <c r="AW90" s="148"/>
      <c r="AX90" s="148"/>
      <c r="AY90" s="150" t="str">
        <v/>
      </c>
      <c r="AZ90" s="145"/>
      <c r="BA90" s="146"/>
      <c r="BB90" s="146"/>
      <c r="BC90" s="147"/>
      <c r="BD90" s="148"/>
      <c r="BE90" s="148"/>
      <c r="BF90" s="150" t="str">
        <v/>
      </c>
      <c r="BG90" s="145"/>
      <c r="BH90" s="146"/>
      <c r="BI90" s="146"/>
      <c r="BJ90" s="147"/>
      <c r="BK90" s="148"/>
      <c r="BL90" s="148"/>
      <c r="BM90" s="150" t="str">
        <v/>
      </c>
      <c r="BN90" s="145"/>
      <c r="BO90" s="146"/>
      <c r="BP90" s="146"/>
      <c r="BQ90" s="147"/>
      <c r="BR90" s="148"/>
      <c r="BS90" s="148"/>
      <c r="BT90" s="150" t="str">
        <v/>
      </c>
      <c r="BU90" s="151" t="str">
        <v/>
      </c>
      <c r="BV90" s="136"/>
    </row>
    <row r="91" spans="1:74">
      <c r="A91" s="139"/>
      <c r="C91" s="140"/>
      <c r="D91" s="141"/>
      <c r="E91" s="142"/>
      <c r="F91" s="142"/>
      <c r="G91" s="143"/>
      <c r="H91" s="144"/>
      <c r="I91" s="150" t="str">
        <v/>
      </c>
      <c r="J91" s="141"/>
      <c r="K91" s="142"/>
      <c r="L91" s="142"/>
      <c r="M91" s="143"/>
      <c r="N91" s="144"/>
      <c r="O91" s="144"/>
      <c r="P91" s="150" t="str">
        <v/>
      </c>
      <c r="Q91" s="141"/>
      <c r="R91" s="142"/>
      <c r="S91" s="142"/>
      <c r="T91" s="143"/>
      <c r="U91" s="144"/>
      <c r="V91" s="144"/>
      <c r="W91" s="150" t="str">
        <v/>
      </c>
      <c r="X91" s="145"/>
      <c r="Y91" s="146"/>
      <c r="Z91" s="146"/>
      <c r="AA91" s="147"/>
      <c r="AB91" s="148"/>
      <c r="AC91" s="148"/>
      <c r="AD91" s="150" t="str">
        <v/>
      </c>
      <c r="AE91" s="145"/>
      <c r="AF91" s="146"/>
      <c r="AG91" s="146"/>
      <c r="AH91" s="147"/>
      <c r="AI91" s="148"/>
      <c r="AJ91" s="148"/>
      <c r="AK91" s="150" t="str">
        <v/>
      </c>
      <c r="AL91" s="145"/>
      <c r="AM91" s="146"/>
      <c r="AN91" s="146"/>
      <c r="AO91" s="147"/>
      <c r="AP91" s="148"/>
      <c r="AQ91" s="148"/>
      <c r="AR91" s="150" t="str">
        <v/>
      </c>
      <c r="AS91" s="145"/>
      <c r="AT91" s="146"/>
      <c r="AU91" s="146"/>
      <c r="AV91" s="147"/>
      <c r="AW91" s="148"/>
      <c r="AX91" s="148"/>
      <c r="AY91" s="150" t="str">
        <v/>
      </c>
      <c r="AZ91" s="145"/>
      <c r="BA91" s="146"/>
      <c r="BB91" s="146"/>
      <c r="BC91" s="147"/>
      <c r="BD91" s="148"/>
      <c r="BE91" s="148"/>
      <c r="BF91" s="150" t="str">
        <v/>
      </c>
      <c r="BG91" s="145"/>
      <c r="BH91" s="146"/>
      <c r="BI91" s="146"/>
      <c r="BJ91" s="147"/>
      <c r="BK91" s="148"/>
      <c r="BL91" s="148"/>
      <c r="BM91" s="150" t="str">
        <v/>
      </c>
      <c r="BN91" s="145"/>
      <c r="BO91" s="146"/>
      <c r="BP91" s="146"/>
      <c r="BQ91" s="147"/>
      <c r="BR91" s="148"/>
      <c r="BS91" s="148"/>
      <c r="BT91" s="150" t="str">
        <v/>
      </c>
      <c r="BU91" s="151" t="str">
        <v/>
      </c>
      <c r="BV91" s="136"/>
    </row>
    <row r="92" spans="1:74">
      <c r="A92" s="139"/>
      <c r="C92" s="140"/>
      <c r="D92" s="141"/>
      <c r="E92" s="142"/>
      <c r="F92" s="142"/>
      <c r="G92" s="143"/>
      <c r="H92" s="144"/>
      <c r="I92" s="150" t="str">
        <v/>
      </c>
      <c r="J92" s="141"/>
      <c r="K92" s="142"/>
      <c r="L92" s="142"/>
      <c r="M92" s="143"/>
      <c r="N92" s="144"/>
      <c r="O92" s="144"/>
      <c r="P92" s="150" t="str">
        <v/>
      </c>
      <c r="Q92" s="141"/>
      <c r="R92" s="142"/>
      <c r="S92" s="142"/>
      <c r="T92" s="143"/>
      <c r="U92" s="144"/>
      <c r="V92" s="144"/>
      <c r="W92" s="150" t="str">
        <v/>
      </c>
      <c r="X92" s="145"/>
      <c r="Y92" s="146"/>
      <c r="Z92" s="146"/>
      <c r="AA92" s="147"/>
      <c r="AB92" s="148"/>
      <c r="AC92" s="148"/>
      <c r="AD92" s="150" t="str">
        <v/>
      </c>
      <c r="AE92" s="145"/>
      <c r="AF92" s="146"/>
      <c r="AG92" s="146"/>
      <c r="AH92" s="147"/>
      <c r="AI92" s="148"/>
      <c r="AJ92" s="148"/>
      <c r="AK92" s="150" t="str">
        <v/>
      </c>
      <c r="AL92" s="145"/>
      <c r="AM92" s="146"/>
      <c r="AN92" s="146"/>
      <c r="AO92" s="147"/>
      <c r="AP92" s="148"/>
      <c r="AQ92" s="148"/>
      <c r="AR92" s="150" t="str">
        <v/>
      </c>
      <c r="AS92" s="145"/>
      <c r="AT92" s="146"/>
      <c r="AU92" s="146"/>
      <c r="AV92" s="147"/>
      <c r="AW92" s="148"/>
      <c r="AX92" s="148"/>
      <c r="AY92" s="150" t="str">
        <v/>
      </c>
      <c r="AZ92" s="145"/>
      <c r="BA92" s="146"/>
      <c r="BB92" s="146"/>
      <c r="BC92" s="147"/>
      <c r="BD92" s="148"/>
      <c r="BE92" s="148"/>
      <c r="BF92" s="150" t="str">
        <v/>
      </c>
      <c r="BG92" s="145"/>
      <c r="BH92" s="146"/>
      <c r="BI92" s="146"/>
      <c r="BJ92" s="147"/>
      <c r="BK92" s="148"/>
      <c r="BL92" s="148"/>
      <c r="BM92" s="150" t="str">
        <v/>
      </c>
      <c r="BN92" s="145"/>
      <c r="BO92" s="146"/>
      <c r="BP92" s="146"/>
      <c r="BQ92" s="147"/>
      <c r="BR92" s="148"/>
      <c r="BS92" s="148"/>
      <c r="BT92" s="150" t="str">
        <v/>
      </c>
      <c r="BU92" s="151" t="str">
        <v/>
      </c>
      <c r="BV92" s="136"/>
    </row>
    <row r="93" spans="1:74">
      <c r="A93" s="139"/>
      <c r="C93" s="140"/>
      <c r="D93" s="141"/>
      <c r="E93" s="142"/>
      <c r="F93" s="142"/>
      <c r="G93" s="143"/>
      <c r="H93" s="144"/>
      <c r="I93" s="150" t="str">
        <v/>
      </c>
      <c r="J93" s="141"/>
      <c r="K93" s="142"/>
      <c r="L93" s="142"/>
      <c r="M93" s="143"/>
      <c r="N93" s="144"/>
      <c r="O93" s="144"/>
      <c r="P93" s="150" t="str">
        <v/>
      </c>
      <c r="Q93" s="141"/>
      <c r="R93" s="142"/>
      <c r="S93" s="142"/>
      <c r="T93" s="143"/>
      <c r="U93" s="144"/>
      <c r="V93" s="144"/>
      <c r="W93" s="150" t="str">
        <v/>
      </c>
      <c r="X93" s="145"/>
      <c r="Y93" s="146"/>
      <c r="Z93" s="146"/>
      <c r="AA93" s="147"/>
      <c r="AB93" s="148"/>
      <c r="AC93" s="148"/>
      <c r="AD93" s="150" t="str">
        <v/>
      </c>
      <c r="AE93" s="145"/>
      <c r="AF93" s="146"/>
      <c r="AG93" s="146"/>
      <c r="AH93" s="147"/>
      <c r="AI93" s="148"/>
      <c r="AJ93" s="148"/>
      <c r="AK93" s="150" t="str">
        <v/>
      </c>
      <c r="AL93" s="145"/>
      <c r="AM93" s="146"/>
      <c r="AN93" s="146"/>
      <c r="AO93" s="147"/>
      <c r="AP93" s="148"/>
      <c r="AQ93" s="148"/>
      <c r="AR93" s="150" t="str">
        <v/>
      </c>
      <c r="AS93" s="145"/>
      <c r="AT93" s="146"/>
      <c r="AU93" s="146"/>
      <c r="AV93" s="147"/>
      <c r="AW93" s="148"/>
      <c r="AX93" s="148"/>
      <c r="AY93" s="150" t="str">
        <v/>
      </c>
      <c r="AZ93" s="145"/>
      <c r="BA93" s="146"/>
      <c r="BB93" s="146"/>
      <c r="BC93" s="147"/>
      <c r="BD93" s="148"/>
      <c r="BE93" s="148"/>
      <c r="BF93" s="150" t="str">
        <v/>
      </c>
      <c r="BG93" s="145"/>
      <c r="BH93" s="146"/>
      <c r="BI93" s="146"/>
      <c r="BJ93" s="147"/>
      <c r="BK93" s="148"/>
      <c r="BL93" s="148"/>
      <c r="BM93" s="150" t="str">
        <v/>
      </c>
      <c r="BN93" s="145"/>
      <c r="BO93" s="146"/>
      <c r="BP93" s="146"/>
      <c r="BQ93" s="147"/>
      <c r="BR93" s="148"/>
      <c r="BS93" s="148"/>
      <c r="BT93" s="150" t="str">
        <v/>
      </c>
      <c r="BU93" s="151" t="str">
        <v/>
      </c>
      <c r="BV93" s="136"/>
    </row>
    <row r="94" spans="1:74">
      <c r="A94" s="139"/>
      <c r="C94" s="140"/>
      <c r="D94" s="141"/>
      <c r="E94" s="142"/>
      <c r="F94" s="142"/>
      <c r="G94" s="143"/>
      <c r="H94" s="144"/>
      <c r="I94" s="150" t="str">
        <v/>
      </c>
      <c r="J94" s="141"/>
      <c r="K94" s="142"/>
      <c r="L94" s="142"/>
      <c r="M94" s="143"/>
      <c r="N94" s="144"/>
      <c r="O94" s="144"/>
      <c r="P94" s="150" t="str">
        <v/>
      </c>
      <c r="Q94" s="141"/>
      <c r="R94" s="142"/>
      <c r="S94" s="142"/>
      <c r="T94" s="143"/>
      <c r="U94" s="144"/>
      <c r="V94" s="144"/>
      <c r="W94" s="150" t="str">
        <v/>
      </c>
      <c r="X94" s="145"/>
      <c r="Y94" s="146"/>
      <c r="Z94" s="146"/>
      <c r="AA94" s="147"/>
      <c r="AB94" s="148"/>
      <c r="AC94" s="148"/>
      <c r="AD94" s="150" t="str">
        <v/>
      </c>
      <c r="AE94" s="145"/>
      <c r="AF94" s="146"/>
      <c r="AG94" s="146"/>
      <c r="AH94" s="147"/>
      <c r="AI94" s="148"/>
      <c r="AJ94" s="148"/>
      <c r="AK94" s="150" t="str">
        <v/>
      </c>
      <c r="AL94" s="145"/>
      <c r="AM94" s="146"/>
      <c r="AN94" s="146"/>
      <c r="AO94" s="147"/>
      <c r="AP94" s="148"/>
      <c r="AQ94" s="148"/>
      <c r="AR94" s="150" t="str">
        <v/>
      </c>
      <c r="AS94" s="145"/>
      <c r="AT94" s="146"/>
      <c r="AU94" s="146"/>
      <c r="AV94" s="147"/>
      <c r="AW94" s="148"/>
      <c r="AX94" s="148"/>
      <c r="AY94" s="150" t="str">
        <v/>
      </c>
      <c r="AZ94" s="145"/>
      <c r="BA94" s="146"/>
      <c r="BB94" s="146"/>
      <c r="BC94" s="147"/>
      <c r="BD94" s="148"/>
      <c r="BE94" s="148"/>
      <c r="BF94" s="150" t="str">
        <v/>
      </c>
      <c r="BG94" s="145"/>
      <c r="BH94" s="146"/>
      <c r="BI94" s="146"/>
      <c r="BJ94" s="147"/>
      <c r="BK94" s="148"/>
      <c r="BL94" s="148"/>
      <c r="BM94" s="150" t="str">
        <v/>
      </c>
      <c r="BN94" s="145"/>
      <c r="BO94" s="146"/>
      <c r="BP94" s="146"/>
      <c r="BQ94" s="147"/>
      <c r="BR94" s="148"/>
      <c r="BS94" s="148"/>
      <c r="BT94" s="150" t="str">
        <v/>
      </c>
      <c r="BU94" s="151" t="str">
        <v/>
      </c>
      <c r="BV94" s="136"/>
    </row>
    <row r="95" spans="1:74">
      <c r="A95" s="139"/>
      <c r="C95" s="140"/>
      <c r="D95" s="141"/>
      <c r="E95" s="142"/>
      <c r="F95" s="142"/>
      <c r="G95" s="143"/>
      <c r="H95" s="144"/>
      <c r="I95" s="150" t="str">
        <v/>
      </c>
      <c r="J95" s="141"/>
      <c r="K95" s="142"/>
      <c r="L95" s="142"/>
      <c r="M95" s="143"/>
      <c r="N95" s="144"/>
      <c r="O95" s="144"/>
      <c r="P95" s="150" t="str">
        <v/>
      </c>
      <c r="Q95" s="141"/>
      <c r="R95" s="142"/>
      <c r="S95" s="142"/>
      <c r="T95" s="143"/>
      <c r="U95" s="144"/>
      <c r="V95" s="144"/>
      <c r="W95" s="150" t="str">
        <v/>
      </c>
      <c r="X95" s="145"/>
      <c r="Y95" s="146"/>
      <c r="Z95" s="146"/>
      <c r="AA95" s="147"/>
      <c r="AB95" s="148"/>
      <c r="AC95" s="148"/>
      <c r="AD95" s="150" t="str">
        <v/>
      </c>
      <c r="AE95" s="145"/>
      <c r="AF95" s="146"/>
      <c r="AG95" s="146"/>
      <c r="AH95" s="147"/>
      <c r="AI95" s="148"/>
      <c r="AJ95" s="148"/>
      <c r="AK95" s="150" t="str">
        <v/>
      </c>
      <c r="AL95" s="145"/>
      <c r="AM95" s="146"/>
      <c r="AN95" s="146"/>
      <c r="AO95" s="147"/>
      <c r="AP95" s="148"/>
      <c r="AQ95" s="148"/>
      <c r="AR95" s="150" t="str">
        <v/>
      </c>
      <c r="AS95" s="145"/>
      <c r="AT95" s="146"/>
      <c r="AU95" s="146"/>
      <c r="AV95" s="147"/>
      <c r="AW95" s="148"/>
      <c r="AX95" s="148"/>
      <c r="AY95" s="150" t="str">
        <v/>
      </c>
      <c r="AZ95" s="145"/>
      <c r="BA95" s="146"/>
      <c r="BB95" s="146"/>
      <c r="BC95" s="147"/>
      <c r="BD95" s="148"/>
      <c r="BE95" s="148"/>
      <c r="BF95" s="150" t="str">
        <v/>
      </c>
      <c r="BG95" s="145"/>
      <c r="BH95" s="146"/>
      <c r="BI95" s="146"/>
      <c r="BJ95" s="147"/>
      <c r="BK95" s="148"/>
      <c r="BL95" s="148"/>
      <c r="BM95" s="150" t="str">
        <v/>
      </c>
      <c r="BN95" s="145"/>
      <c r="BO95" s="146"/>
      <c r="BP95" s="146"/>
      <c r="BQ95" s="147"/>
      <c r="BR95" s="148"/>
      <c r="BS95" s="148"/>
      <c r="BT95" s="150" t="str">
        <v/>
      </c>
      <c r="BU95" s="151" t="str">
        <v/>
      </c>
      <c r="BV95" s="136"/>
    </row>
    <row r="96" spans="1:74">
      <c r="A96" s="139"/>
      <c r="C96" s="140"/>
      <c r="D96" s="141"/>
      <c r="E96" s="142"/>
      <c r="F96" s="142"/>
      <c r="G96" s="143"/>
      <c r="H96" s="144"/>
      <c r="I96" s="150" t="str">
        <v/>
      </c>
      <c r="J96" s="141"/>
      <c r="K96" s="142"/>
      <c r="L96" s="142"/>
      <c r="M96" s="143"/>
      <c r="N96" s="144"/>
      <c r="O96" s="144"/>
      <c r="P96" s="150" t="str">
        <v/>
      </c>
      <c r="Q96" s="141"/>
      <c r="R96" s="142"/>
      <c r="S96" s="142"/>
      <c r="T96" s="143"/>
      <c r="U96" s="144"/>
      <c r="V96" s="144"/>
      <c r="W96" s="150" t="str">
        <v/>
      </c>
      <c r="X96" s="145"/>
      <c r="Y96" s="146"/>
      <c r="Z96" s="146"/>
      <c r="AA96" s="147"/>
      <c r="AB96" s="148"/>
      <c r="AC96" s="148"/>
      <c r="AD96" s="150" t="str">
        <v/>
      </c>
      <c r="AE96" s="145"/>
      <c r="AF96" s="146"/>
      <c r="AG96" s="146"/>
      <c r="AH96" s="147"/>
      <c r="AI96" s="148"/>
      <c r="AJ96" s="148"/>
      <c r="AK96" s="150" t="str">
        <v/>
      </c>
      <c r="AL96" s="145"/>
      <c r="AM96" s="146"/>
      <c r="AN96" s="146"/>
      <c r="AO96" s="147"/>
      <c r="AP96" s="148"/>
      <c r="AQ96" s="148"/>
      <c r="AR96" s="150" t="str">
        <v/>
      </c>
      <c r="AS96" s="145"/>
      <c r="AT96" s="146"/>
      <c r="AU96" s="146"/>
      <c r="AV96" s="147"/>
      <c r="AW96" s="148"/>
      <c r="AX96" s="148"/>
      <c r="AY96" s="150" t="str">
        <v/>
      </c>
      <c r="AZ96" s="145"/>
      <c r="BA96" s="146"/>
      <c r="BB96" s="146"/>
      <c r="BC96" s="147"/>
      <c r="BD96" s="148"/>
      <c r="BE96" s="148"/>
      <c r="BF96" s="150" t="str">
        <v/>
      </c>
      <c r="BG96" s="145"/>
      <c r="BH96" s="146"/>
      <c r="BI96" s="146"/>
      <c r="BJ96" s="147"/>
      <c r="BK96" s="148"/>
      <c r="BL96" s="148"/>
      <c r="BM96" s="150" t="str">
        <v/>
      </c>
      <c r="BN96" s="145"/>
      <c r="BO96" s="146"/>
      <c r="BP96" s="146"/>
      <c r="BQ96" s="147"/>
      <c r="BR96" s="148"/>
      <c r="BS96" s="148"/>
      <c r="BT96" s="150" t="str">
        <v/>
      </c>
      <c r="BU96" s="151" t="str">
        <v/>
      </c>
      <c r="BV96" s="136"/>
    </row>
    <row r="97" spans="1:74">
      <c r="A97" s="139"/>
      <c r="C97" s="140"/>
      <c r="D97" s="141"/>
      <c r="E97" s="142"/>
      <c r="F97" s="142"/>
      <c r="G97" s="143"/>
      <c r="H97" s="144"/>
      <c r="I97" s="150" t="str">
        <v/>
      </c>
      <c r="J97" s="141"/>
      <c r="K97" s="142"/>
      <c r="L97" s="142"/>
      <c r="M97" s="143"/>
      <c r="N97" s="144"/>
      <c r="O97" s="144"/>
      <c r="P97" s="150" t="str">
        <v/>
      </c>
      <c r="Q97" s="141"/>
      <c r="R97" s="142"/>
      <c r="S97" s="142"/>
      <c r="T97" s="143"/>
      <c r="U97" s="144"/>
      <c r="V97" s="144"/>
      <c r="W97" s="150" t="str">
        <v/>
      </c>
      <c r="X97" s="145"/>
      <c r="Y97" s="146"/>
      <c r="Z97" s="146"/>
      <c r="AA97" s="147"/>
      <c r="AB97" s="148"/>
      <c r="AC97" s="148"/>
      <c r="AD97" s="150" t="str">
        <v/>
      </c>
      <c r="AE97" s="145"/>
      <c r="AF97" s="146"/>
      <c r="AG97" s="146"/>
      <c r="AH97" s="147"/>
      <c r="AI97" s="148"/>
      <c r="AJ97" s="148"/>
      <c r="AK97" s="150" t="str">
        <v/>
      </c>
      <c r="AL97" s="145"/>
      <c r="AM97" s="146"/>
      <c r="AN97" s="146"/>
      <c r="AO97" s="147"/>
      <c r="AP97" s="148"/>
      <c r="AQ97" s="148"/>
      <c r="AR97" s="150" t="str">
        <v/>
      </c>
      <c r="AS97" s="145"/>
      <c r="AT97" s="146"/>
      <c r="AU97" s="146"/>
      <c r="AV97" s="147"/>
      <c r="AW97" s="148"/>
      <c r="AX97" s="148"/>
      <c r="AY97" s="150" t="str">
        <v/>
      </c>
      <c r="AZ97" s="145"/>
      <c r="BA97" s="146"/>
      <c r="BB97" s="146"/>
      <c r="BC97" s="147"/>
      <c r="BD97" s="148"/>
      <c r="BE97" s="148"/>
      <c r="BF97" s="150" t="str">
        <v/>
      </c>
      <c r="BG97" s="145"/>
      <c r="BH97" s="146"/>
      <c r="BI97" s="146"/>
      <c r="BJ97" s="147"/>
      <c r="BK97" s="148"/>
      <c r="BL97" s="148"/>
      <c r="BM97" s="150" t="str">
        <v/>
      </c>
      <c r="BN97" s="145"/>
      <c r="BO97" s="146"/>
      <c r="BP97" s="146"/>
      <c r="BQ97" s="147"/>
      <c r="BR97" s="148"/>
      <c r="BS97" s="148"/>
      <c r="BT97" s="150" t="str">
        <v/>
      </c>
      <c r="BU97" s="151" t="str">
        <v/>
      </c>
      <c r="BV97" s="136"/>
    </row>
    <row r="98" spans="1:74">
      <c r="A98" s="139"/>
      <c r="C98" s="140"/>
      <c r="D98" s="141"/>
      <c r="E98" s="142"/>
      <c r="F98" s="142"/>
      <c r="G98" s="143"/>
      <c r="H98" s="144"/>
      <c r="I98" s="150" t="str">
        <v/>
      </c>
      <c r="J98" s="141"/>
      <c r="K98" s="142"/>
      <c r="L98" s="142"/>
      <c r="M98" s="143"/>
      <c r="N98" s="144"/>
      <c r="O98" s="144"/>
      <c r="P98" s="150" t="str">
        <v/>
      </c>
      <c r="Q98" s="141"/>
      <c r="R98" s="142"/>
      <c r="S98" s="142"/>
      <c r="T98" s="143"/>
      <c r="U98" s="144"/>
      <c r="V98" s="144"/>
      <c r="W98" s="150" t="str">
        <v/>
      </c>
      <c r="X98" s="145"/>
      <c r="Y98" s="146"/>
      <c r="Z98" s="146"/>
      <c r="AA98" s="147"/>
      <c r="AB98" s="148"/>
      <c r="AC98" s="148"/>
      <c r="AD98" s="150" t="str">
        <v/>
      </c>
      <c r="AE98" s="145"/>
      <c r="AF98" s="146"/>
      <c r="AG98" s="146"/>
      <c r="AH98" s="147"/>
      <c r="AI98" s="148"/>
      <c r="AJ98" s="148"/>
      <c r="AK98" s="150" t="str">
        <v/>
      </c>
      <c r="AL98" s="145"/>
      <c r="AM98" s="146"/>
      <c r="AN98" s="146"/>
      <c r="AO98" s="147"/>
      <c r="AP98" s="148"/>
      <c r="AQ98" s="148"/>
      <c r="AR98" s="150" t="str">
        <v/>
      </c>
      <c r="AS98" s="145"/>
      <c r="AT98" s="146"/>
      <c r="AU98" s="146"/>
      <c r="AV98" s="147"/>
      <c r="AW98" s="148"/>
      <c r="AX98" s="148"/>
      <c r="AY98" s="150" t="str">
        <v/>
      </c>
      <c r="AZ98" s="145"/>
      <c r="BA98" s="146"/>
      <c r="BB98" s="146"/>
      <c r="BC98" s="147"/>
      <c r="BD98" s="148"/>
      <c r="BE98" s="148"/>
      <c r="BF98" s="150" t="str">
        <v/>
      </c>
      <c r="BG98" s="145"/>
      <c r="BH98" s="146"/>
      <c r="BI98" s="146"/>
      <c r="BJ98" s="147"/>
      <c r="BK98" s="148"/>
      <c r="BL98" s="148"/>
      <c r="BM98" s="150" t="str">
        <v/>
      </c>
      <c r="BN98" s="145"/>
      <c r="BO98" s="146"/>
      <c r="BP98" s="146"/>
      <c r="BQ98" s="147"/>
      <c r="BR98" s="148"/>
      <c r="BS98" s="148"/>
      <c r="BT98" s="150" t="str">
        <v/>
      </c>
      <c r="BU98" s="151" t="str">
        <v/>
      </c>
      <c r="BV98" s="136"/>
    </row>
    <row r="99" spans="1:74">
      <c r="A99" s="139"/>
      <c r="C99" s="140"/>
      <c r="D99" s="141"/>
      <c r="E99" s="142"/>
      <c r="F99" s="142"/>
      <c r="G99" s="143"/>
      <c r="H99" s="144"/>
      <c r="I99" s="150" t="str">
        <v/>
      </c>
      <c r="J99" s="141"/>
      <c r="K99" s="142"/>
      <c r="L99" s="142"/>
      <c r="M99" s="143"/>
      <c r="N99" s="144"/>
      <c r="O99" s="144"/>
      <c r="P99" s="150" t="str">
        <v/>
      </c>
      <c r="Q99" s="141"/>
      <c r="R99" s="142"/>
      <c r="S99" s="142"/>
      <c r="T99" s="143"/>
      <c r="U99" s="144"/>
      <c r="V99" s="144"/>
      <c r="W99" s="150" t="str">
        <v/>
      </c>
      <c r="X99" s="145"/>
      <c r="Y99" s="146"/>
      <c r="Z99" s="146"/>
      <c r="AA99" s="147"/>
      <c r="AB99" s="148"/>
      <c r="AC99" s="148"/>
      <c r="AD99" s="150" t="str">
        <v/>
      </c>
      <c r="AE99" s="145"/>
      <c r="AF99" s="146"/>
      <c r="AG99" s="146"/>
      <c r="AH99" s="147"/>
      <c r="AI99" s="148"/>
      <c r="AJ99" s="148"/>
      <c r="AK99" s="150" t="str">
        <v/>
      </c>
      <c r="AL99" s="145"/>
      <c r="AM99" s="146"/>
      <c r="AN99" s="146"/>
      <c r="AO99" s="147"/>
      <c r="AP99" s="148"/>
      <c r="AQ99" s="148"/>
      <c r="AR99" s="150" t="str">
        <v/>
      </c>
      <c r="AS99" s="145"/>
      <c r="AT99" s="146"/>
      <c r="AU99" s="146"/>
      <c r="AV99" s="147"/>
      <c r="AW99" s="148"/>
      <c r="AX99" s="148"/>
      <c r="AY99" s="150" t="str">
        <v/>
      </c>
      <c r="AZ99" s="145"/>
      <c r="BA99" s="146"/>
      <c r="BB99" s="146"/>
      <c r="BC99" s="147"/>
      <c r="BD99" s="148"/>
      <c r="BE99" s="148"/>
      <c r="BF99" s="150" t="str">
        <v/>
      </c>
      <c r="BG99" s="145"/>
      <c r="BH99" s="146"/>
      <c r="BI99" s="146"/>
      <c r="BJ99" s="147"/>
      <c r="BK99" s="148"/>
      <c r="BL99" s="148"/>
      <c r="BM99" s="150" t="str">
        <v/>
      </c>
      <c r="BN99" s="145"/>
      <c r="BO99" s="146"/>
      <c r="BP99" s="146"/>
      <c r="BQ99" s="147"/>
      <c r="BR99" s="148"/>
      <c r="BS99" s="148"/>
      <c r="BT99" s="150" t="str">
        <v/>
      </c>
      <c r="BU99" s="151" t="str">
        <v/>
      </c>
      <c r="BV99" s="136"/>
    </row>
    <row r="100" spans="1:74">
      <c r="A100" s="139"/>
      <c r="C100" s="140"/>
      <c r="D100" s="141"/>
      <c r="E100" s="142"/>
      <c r="F100" s="142"/>
      <c r="G100" s="143"/>
      <c r="H100" s="144"/>
      <c r="I100" s="150" t="str">
        <v/>
      </c>
      <c r="J100" s="141"/>
      <c r="K100" s="142"/>
      <c r="L100" s="142"/>
      <c r="M100" s="143"/>
      <c r="N100" s="144"/>
      <c r="O100" s="144"/>
      <c r="P100" s="150" t="str">
        <v/>
      </c>
      <c r="Q100" s="141"/>
      <c r="R100" s="142"/>
      <c r="S100" s="142"/>
      <c r="T100" s="143"/>
      <c r="U100" s="144"/>
      <c r="V100" s="144"/>
      <c r="W100" s="150" t="str">
        <v/>
      </c>
      <c r="X100" s="145"/>
      <c r="Y100" s="146"/>
      <c r="Z100" s="146"/>
      <c r="AA100" s="147"/>
      <c r="AB100" s="148"/>
      <c r="AC100" s="148"/>
      <c r="AD100" s="150" t="str">
        <v/>
      </c>
      <c r="AE100" s="145"/>
      <c r="AF100" s="146"/>
      <c r="AG100" s="146"/>
      <c r="AH100" s="147"/>
      <c r="AI100" s="148"/>
      <c r="AJ100" s="148"/>
      <c r="AK100" s="150" t="str">
        <v/>
      </c>
      <c r="AL100" s="145"/>
      <c r="AM100" s="146"/>
      <c r="AN100" s="146"/>
      <c r="AO100" s="147"/>
      <c r="AP100" s="148"/>
      <c r="AQ100" s="148"/>
      <c r="AR100" s="150" t="str">
        <v/>
      </c>
      <c r="AS100" s="145"/>
      <c r="AT100" s="146"/>
      <c r="AU100" s="146"/>
      <c r="AV100" s="147"/>
      <c r="AW100" s="148"/>
      <c r="AX100" s="148"/>
      <c r="AY100" s="150" t="str">
        <v/>
      </c>
      <c r="AZ100" s="145"/>
      <c r="BA100" s="146"/>
      <c r="BB100" s="146"/>
      <c r="BC100" s="147"/>
      <c r="BD100" s="148"/>
      <c r="BE100" s="148"/>
      <c r="BF100" s="150" t="str">
        <v/>
      </c>
      <c r="BG100" s="145"/>
      <c r="BH100" s="146"/>
      <c r="BI100" s="146"/>
      <c r="BJ100" s="147"/>
      <c r="BK100" s="148"/>
      <c r="BL100" s="148"/>
      <c r="BM100" s="150" t="str">
        <v/>
      </c>
      <c r="BN100" s="145"/>
      <c r="BO100" s="146"/>
      <c r="BP100" s="146"/>
      <c r="BQ100" s="147"/>
      <c r="BR100" s="148"/>
      <c r="BS100" s="148"/>
      <c r="BT100" s="150" t="str">
        <v/>
      </c>
      <c r="BU100" s="151" t="str">
        <v/>
      </c>
      <c r="BV100" s="13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Actividad_data!#REF!</xm:f>
          </x14:formula1>
          <xm:sqref>D3:D100 J3:J100 Q3:Q100 X3:X100 AE3:AE100 AL3:AL100 AS3:AS100 AZ3:AZ100 BG3:BG100 BN3:BN100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6D7A8"/>
    <outlinePr summaryBelow="0" summaryRight="0"/>
  </sheetPr>
  <dimension ref="A1:O500"/>
  <sheetViews>
    <sheetView workbookViewId="0">
      <pane ySplit="1" topLeftCell="A128" activePane="bottomLeft" state="frozen"/>
      <selection pane="bottomLeft" activeCell="P116" sqref="P116"/>
    </sheetView>
  </sheetViews>
  <sheetFormatPr defaultColWidth="14.42578125" defaultRowHeight="15" customHeight="1"/>
  <cols>
    <col min="6" max="14" width="14.42578125" style="117"/>
  </cols>
  <sheetData>
    <row r="1" spans="1:15" s="110" customFormat="1">
      <c r="A1" s="154" t="s">
        <v>193</v>
      </c>
      <c r="B1" s="154" t="s">
        <v>88</v>
      </c>
      <c r="C1" s="154" t="s">
        <v>194</v>
      </c>
      <c r="D1" s="154" t="s">
        <v>89</v>
      </c>
      <c r="E1" s="154" t="s">
        <v>546</v>
      </c>
      <c r="F1" s="154" t="s">
        <v>195</v>
      </c>
      <c r="G1" s="154" t="s">
        <v>196</v>
      </c>
      <c r="H1" s="154" t="s">
        <v>197</v>
      </c>
      <c r="I1" s="154" t="s">
        <v>198</v>
      </c>
      <c r="J1" s="154" t="s">
        <v>547</v>
      </c>
      <c r="K1" s="154" t="s">
        <v>199</v>
      </c>
      <c r="L1" s="154" t="s">
        <v>200</v>
      </c>
      <c r="M1" s="154" t="s">
        <v>201</v>
      </c>
      <c r="N1" s="154" t="s">
        <v>202</v>
      </c>
      <c r="O1" s="81"/>
    </row>
    <row r="2" spans="1:15">
      <c r="A2" s="82" t="s">
        <v>203</v>
      </c>
      <c r="B2" s="82" t="s">
        <v>204</v>
      </c>
      <c r="C2" s="82" t="s">
        <v>205</v>
      </c>
      <c r="D2" s="82" t="s">
        <v>206</v>
      </c>
      <c r="E2" s="82" t="s">
        <v>548</v>
      </c>
      <c r="F2" s="83">
        <v>19</v>
      </c>
      <c r="G2" s="83">
        <v>1.8</v>
      </c>
      <c r="H2" s="83">
        <v>3.7</v>
      </c>
      <c r="I2" s="83">
        <v>0.2</v>
      </c>
      <c r="J2" s="83">
        <v>0</v>
      </c>
      <c r="K2" s="83">
        <v>1.6</v>
      </c>
      <c r="L2" s="83">
        <v>1.1000000000000001</v>
      </c>
      <c r="M2" s="83">
        <v>210</v>
      </c>
      <c r="N2" s="83">
        <v>0</v>
      </c>
      <c r="O2" s="81"/>
    </row>
    <row r="3" spans="1:15">
      <c r="A3" s="82" t="s">
        <v>207</v>
      </c>
      <c r="B3" s="82" t="s">
        <v>208</v>
      </c>
      <c r="C3" s="82" t="s">
        <v>205</v>
      </c>
      <c r="D3" s="82" t="s">
        <v>206</v>
      </c>
      <c r="E3" s="82" t="s">
        <v>548</v>
      </c>
      <c r="F3" s="83">
        <v>149</v>
      </c>
      <c r="G3" s="83">
        <v>6.4</v>
      </c>
      <c r="H3" s="83">
        <v>33.1</v>
      </c>
      <c r="I3" s="83">
        <v>0.5</v>
      </c>
      <c r="J3" s="83">
        <v>0.1</v>
      </c>
      <c r="K3" s="83">
        <v>2.1</v>
      </c>
      <c r="L3" s="83">
        <v>1</v>
      </c>
      <c r="M3" s="83">
        <v>17</v>
      </c>
      <c r="N3" s="83">
        <v>0</v>
      </c>
      <c r="O3" s="81"/>
    </row>
    <row r="4" spans="1:15">
      <c r="A4" s="82" t="s">
        <v>209</v>
      </c>
      <c r="B4" s="82" t="s">
        <v>210</v>
      </c>
      <c r="C4" s="82" t="s">
        <v>205</v>
      </c>
      <c r="D4" s="82" t="s">
        <v>206</v>
      </c>
      <c r="E4" s="82" t="s">
        <v>548</v>
      </c>
      <c r="F4" s="83">
        <v>47</v>
      </c>
      <c r="G4" s="83">
        <v>3.3</v>
      </c>
      <c r="H4" s="83">
        <v>10.5</v>
      </c>
      <c r="I4" s="83">
        <v>0.2</v>
      </c>
      <c r="J4" s="83">
        <v>0</v>
      </c>
      <c r="K4" s="83">
        <v>5.4</v>
      </c>
      <c r="L4" s="83">
        <v>1</v>
      </c>
      <c r="M4" s="83">
        <v>94</v>
      </c>
      <c r="N4" s="83">
        <v>0</v>
      </c>
      <c r="O4" s="81"/>
    </row>
    <row r="5" spans="1:15">
      <c r="A5" s="82" t="s">
        <v>211</v>
      </c>
      <c r="B5" s="82" t="s">
        <v>212</v>
      </c>
      <c r="C5" s="82" t="s">
        <v>205</v>
      </c>
      <c r="D5" s="82" t="s">
        <v>206</v>
      </c>
      <c r="E5" s="82" t="s">
        <v>548</v>
      </c>
      <c r="F5" s="83">
        <v>16</v>
      </c>
      <c r="G5" s="83">
        <v>0.7</v>
      </c>
      <c r="H5" s="83">
        <v>3</v>
      </c>
      <c r="I5" s="83">
        <v>0.2</v>
      </c>
      <c r="J5" s="83">
        <v>0</v>
      </c>
      <c r="K5" s="83">
        <v>1.6</v>
      </c>
      <c r="L5" s="83">
        <v>1.3</v>
      </c>
      <c r="M5" s="83">
        <v>80</v>
      </c>
      <c r="N5" s="83">
        <v>0</v>
      </c>
      <c r="O5" s="81"/>
    </row>
    <row r="6" spans="1:15">
      <c r="A6" s="82" t="s">
        <v>213</v>
      </c>
      <c r="B6" s="82" t="s">
        <v>214</v>
      </c>
      <c r="C6" s="82" t="s">
        <v>205</v>
      </c>
      <c r="D6" s="82" t="s">
        <v>206</v>
      </c>
      <c r="E6" s="82" t="s">
        <v>548</v>
      </c>
      <c r="F6" s="83">
        <v>25</v>
      </c>
      <c r="G6" s="83">
        <v>1</v>
      </c>
      <c r="H6" s="83">
        <v>6</v>
      </c>
      <c r="I6" s="83">
        <v>0.2</v>
      </c>
      <c r="J6" s="83">
        <v>0</v>
      </c>
      <c r="K6" s="83">
        <v>3</v>
      </c>
      <c r="L6" s="83">
        <v>3.5</v>
      </c>
      <c r="M6" s="83">
        <v>2</v>
      </c>
      <c r="N6" s="83">
        <v>0</v>
      </c>
      <c r="O6" s="81"/>
    </row>
    <row r="7" spans="1:15">
      <c r="A7" s="82" t="s">
        <v>215</v>
      </c>
      <c r="B7" s="82" t="s">
        <v>216</v>
      </c>
      <c r="C7" s="82" t="s">
        <v>205</v>
      </c>
      <c r="D7" s="82" t="s">
        <v>206</v>
      </c>
      <c r="E7" s="82" t="s">
        <v>548</v>
      </c>
      <c r="F7" s="83">
        <v>34</v>
      </c>
      <c r="G7" s="83">
        <v>2.8</v>
      </c>
      <c r="H7" s="83">
        <v>6.6</v>
      </c>
      <c r="I7" s="83">
        <v>0.4</v>
      </c>
      <c r="J7" s="83">
        <v>0.1</v>
      </c>
      <c r="K7" s="83">
        <v>2.6</v>
      </c>
      <c r="L7" s="83">
        <v>1.7</v>
      </c>
      <c r="M7" s="83">
        <v>33</v>
      </c>
      <c r="N7" s="83">
        <v>0</v>
      </c>
      <c r="O7" s="81"/>
    </row>
    <row r="8" spans="1:15">
      <c r="A8" s="82" t="s">
        <v>217</v>
      </c>
      <c r="B8" s="82" t="s">
        <v>218</v>
      </c>
      <c r="C8" s="82" t="s">
        <v>205</v>
      </c>
      <c r="D8" s="82" t="s">
        <v>206</v>
      </c>
      <c r="E8" s="82" t="s">
        <v>548</v>
      </c>
      <c r="F8" s="83">
        <v>17</v>
      </c>
      <c r="G8" s="83">
        <v>1.2</v>
      </c>
      <c r="H8" s="83">
        <v>3.1</v>
      </c>
      <c r="I8" s="83">
        <v>0.3</v>
      </c>
      <c r="J8" s="83">
        <v>0.1</v>
      </c>
      <c r="K8" s="83">
        <v>1</v>
      </c>
      <c r="L8" s="83">
        <v>2.5</v>
      </c>
      <c r="M8" s="83">
        <v>8</v>
      </c>
      <c r="N8" s="83">
        <v>0</v>
      </c>
      <c r="O8" s="81"/>
    </row>
    <row r="9" spans="1:15">
      <c r="A9" s="82" t="s">
        <v>219</v>
      </c>
      <c r="B9" s="82" t="s">
        <v>220</v>
      </c>
      <c r="C9" s="82" t="s">
        <v>205</v>
      </c>
      <c r="D9" s="82" t="s">
        <v>206</v>
      </c>
      <c r="E9" s="82" t="s">
        <v>548</v>
      </c>
      <c r="F9" s="83">
        <v>26</v>
      </c>
      <c r="G9" s="83">
        <v>1</v>
      </c>
      <c r="H9" s="83">
        <v>6.5</v>
      </c>
      <c r="I9" s="83">
        <v>0.1</v>
      </c>
      <c r="J9" s="83">
        <v>0</v>
      </c>
      <c r="K9" s="83">
        <v>0.5</v>
      </c>
      <c r="L9" s="83">
        <v>2.8</v>
      </c>
      <c r="M9" s="83">
        <v>1</v>
      </c>
      <c r="N9" s="83">
        <v>0</v>
      </c>
      <c r="O9" s="81"/>
    </row>
    <row r="10" spans="1:15">
      <c r="A10" s="82" t="s">
        <v>221</v>
      </c>
      <c r="B10" s="82" t="s">
        <v>222</v>
      </c>
      <c r="C10" s="82" t="s">
        <v>205</v>
      </c>
      <c r="D10" s="82" t="s">
        <v>206</v>
      </c>
      <c r="E10" s="82" t="s">
        <v>548</v>
      </c>
      <c r="F10" s="83">
        <v>40</v>
      </c>
      <c r="G10" s="83">
        <v>1.1000000000000001</v>
      </c>
      <c r="H10" s="83">
        <v>9.3000000000000007</v>
      </c>
      <c r="I10" s="83">
        <v>0.1</v>
      </c>
      <c r="J10" s="83">
        <v>0</v>
      </c>
      <c r="K10" s="83">
        <v>1.7</v>
      </c>
      <c r="L10" s="83">
        <v>4.2</v>
      </c>
      <c r="M10" s="83">
        <v>4</v>
      </c>
      <c r="N10" s="83">
        <v>0</v>
      </c>
      <c r="O10" s="81"/>
    </row>
    <row r="11" spans="1:15">
      <c r="A11" s="82" t="s">
        <v>223</v>
      </c>
      <c r="B11" s="82" t="s">
        <v>224</v>
      </c>
      <c r="C11" s="82" t="s">
        <v>205</v>
      </c>
      <c r="D11" s="82" t="s">
        <v>206</v>
      </c>
      <c r="E11" s="82" t="s">
        <v>548</v>
      </c>
      <c r="F11" s="83">
        <v>22</v>
      </c>
      <c r="G11" s="83">
        <v>3.1</v>
      </c>
      <c r="H11" s="83">
        <v>3.3</v>
      </c>
      <c r="I11" s="83">
        <v>0.3</v>
      </c>
      <c r="J11" s="83">
        <v>0.1</v>
      </c>
      <c r="K11" s="83">
        <v>1</v>
      </c>
      <c r="L11" s="83">
        <v>2</v>
      </c>
      <c r="M11" s="83">
        <v>5</v>
      </c>
      <c r="N11" s="83">
        <v>0</v>
      </c>
      <c r="O11" s="81"/>
    </row>
    <row r="12" spans="1:15">
      <c r="A12" s="82" t="s">
        <v>225</v>
      </c>
      <c r="B12" s="82" t="s">
        <v>226</v>
      </c>
      <c r="C12" s="82" t="s">
        <v>205</v>
      </c>
      <c r="D12" s="82" t="s">
        <v>206</v>
      </c>
      <c r="E12" s="82" t="s">
        <v>548</v>
      </c>
      <c r="F12" s="83">
        <v>25</v>
      </c>
      <c r="G12" s="83">
        <v>1.3</v>
      </c>
      <c r="H12" s="83">
        <v>5.8</v>
      </c>
      <c r="I12" s="83">
        <v>0.1</v>
      </c>
      <c r="J12" s="83">
        <v>0</v>
      </c>
      <c r="K12" s="83">
        <v>2.5</v>
      </c>
      <c r="L12" s="83">
        <v>3.2</v>
      </c>
      <c r="M12" s="83">
        <v>18</v>
      </c>
      <c r="N12" s="83">
        <v>0</v>
      </c>
      <c r="O12" s="81"/>
    </row>
    <row r="13" spans="1:15">
      <c r="A13" s="82" t="s">
        <v>227</v>
      </c>
      <c r="B13" s="82" t="s">
        <v>228</v>
      </c>
      <c r="C13" s="82" t="s">
        <v>205</v>
      </c>
      <c r="D13" s="82" t="s">
        <v>206</v>
      </c>
      <c r="E13" s="82" t="s">
        <v>548</v>
      </c>
      <c r="F13" s="83">
        <v>49</v>
      </c>
      <c r="G13" s="83">
        <v>4.3</v>
      </c>
      <c r="H13" s="83">
        <v>8.8000000000000007</v>
      </c>
      <c r="I13" s="83">
        <v>0.9</v>
      </c>
      <c r="J13" s="83">
        <v>0.1</v>
      </c>
      <c r="K13" s="83">
        <v>3.6</v>
      </c>
      <c r="L13" s="83">
        <v>2.2999999999999998</v>
      </c>
      <c r="M13" s="83">
        <v>38</v>
      </c>
      <c r="N13" s="83">
        <v>0</v>
      </c>
      <c r="O13" s="81"/>
    </row>
    <row r="14" spans="1:15">
      <c r="A14" s="82" t="s">
        <v>229</v>
      </c>
      <c r="B14" s="82" t="s">
        <v>230</v>
      </c>
      <c r="C14" s="82" t="s">
        <v>205</v>
      </c>
      <c r="D14" s="82" t="s">
        <v>206</v>
      </c>
      <c r="E14" s="82" t="s">
        <v>548</v>
      </c>
      <c r="F14" s="83">
        <v>43</v>
      </c>
      <c r="G14" s="83">
        <v>3.4</v>
      </c>
      <c r="H14" s="83">
        <v>9</v>
      </c>
      <c r="I14" s="83">
        <v>0.3</v>
      </c>
      <c r="J14" s="83">
        <v>0.1</v>
      </c>
      <c r="K14" s="83">
        <v>3.8</v>
      </c>
      <c r="L14" s="83">
        <v>2.2000000000000002</v>
      </c>
      <c r="M14" s="83">
        <v>25</v>
      </c>
      <c r="N14" s="83">
        <v>0</v>
      </c>
      <c r="O14" s="81"/>
    </row>
    <row r="15" spans="1:15">
      <c r="A15" s="82" t="s">
        <v>231</v>
      </c>
      <c r="B15" s="82" t="s">
        <v>232</v>
      </c>
      <c r="C15" s="82" t="s">
        <v>205</v>
      </c>
      <c r="D15" s="82" t="s">
        <v>206</v>
      </c>
      <c r="E15" s="82" t="s">
        <v>548</v>
      </c>
      <c r="F15" s="83">
        <v>25</v>
      </c>
      <c r="G15" s="83">
        <v>1.9</v>
      </c>
      <c r="H15" s="83">
        <v>5</v>
      </c>
      <c r="I15" s="83">
        <v>0.3</v>
      </c>
      <c r="J15" s="83">
        <v>0.1</v>
      </c>
      <c r="K15" s="83">
        <v>2</v>
      </c>
      <c r="L15" s="83">
        <v>1.9</v>
      </c>
      <c r="M15" s="83">
        <v>30</v>
      </c>
      <c r="N15" s="83">
        <v>0</v>
      </c>
      <c r="O15" s="81"/>
    </row>
    <row r="16" spans="1:15">
      <c r="A16" s="82" t="s">
        <v>233</v>
      </c>
      <c r="B16" s="82" t="s">
        <v>234</v>
      </c>
      <c r="C16" s="82" t="s">
        <v>205</v>
      </c>
      <c r="D16" s="82" t="s">
        <v>206</v>
      </c>
      <c r="E16" s="82" t="s">
        <v>548</v>
      </c>
      <c r="F16" s="83">
        <v>17</v>
      </c>
      <c r="G16" s="83">
        <v>1.3</v>
      </c>
      <c r="H16" s="83">
        <v>3.4</v>
      </c>
      <c r="I16" s="83">
        <v>0.2</v>
      </c>
      <c r="J16" s="83">
        <v>0</v>
      </c>
      <c r="K16" s="83">
        <v>3.1</v>
      </c>
      <c r="L16" s="83">
        <v>0.3</v>
      </c>
      <c r="M16" s="83">
        <v>22</v>
      </c>
      <c r="N16" s="83">
        <v>0</v>
      </c>
      <c r="O16" s="81"/>
    </row>
    <row r="17" spans="1:15">
      <c r="A17" s="82" t="s">
        <v>235</v>
      </c>
      <c r="B17" s="82" t="s">
        <v>236</v>
      </c>
      <c r="C17" s="82" t="s">
        <v>205</v>
      </c>
      <c r="D17" s="82" t="s">
        <v>206</v>
      </c>
      <c r="E17" s="82" t="s">
        <v>548</v>
      </c>
      <c r="F17" s="83">
        <v>20</v>
      </c>
      <c r="G17" s="83">
        <v>2.2000000000000002</v>
      </c>
      <c r="H17" s="83">
        <v>3.9</v>
      </c>
      <c r="I17" s="83">
        <v>0.1</v>
      </c>
      <c r="J17" s="83">
        <v>0</v>
      </c>
      <c r="K17" s="83">
        <v>2.1</v>
      </c>
      <c r="L17" s="83">
        <v>1.9</v>
      </c>
      <c r="M17" s="83">
        <v>2</v>
      </c>
      <c r="N17" s="83">
        <v>0</v>
      </c>
      <c r="O17" s="81"/>
    </row>
    <row r="18" spans="1:15">
      <c r="A18" s="82" t="s">
        <v>237</v>
      </c>
      <c r="B18" s="82" t="s">
        <v>238</v>
      </c>
      <c r="C18" s="82" t="s">
        <v>205</v>
      </c>
      <c r="D18" s="82" t="s">
        <v>206</v>
      </c>
      <c r="E18" s="82" t="s">
        <v>548</v>
      </c>
      <c r="F18" s="83">
        <v>23</v>
      </c>
      <c r="G18" s="83">
        <v>2.9</v>
      </c>
      <c r="H18" s="83">
        <v>3.6</v>
      </c>
      <c r="I18" s="83">
        <v>0.4</v>
      </c>
      <c r="J18" s="83">
        <v>0.1</v>
      </c>
      <c r="K18" s="83">
        <v>2.2000000000000002</v>
      </c>
      <c r="L18" s="83">
        <v>0.4</v>
      </c>
      <c r="M18" s="83">
        <v>79</v>
      </c>
      <c r="N18" s="83">
        <v>0</v>
      </c>
      <c r="O18" s="81"/>
    </row>
    <row r="19" spans="1:15">
      <c r="A19" s="82" t="s">
        <v>241</v>
      </c>
      <c r="B19" s="82" t="s">
        <v>242</v>
      </c>
      <c r="C19" s="82" t="s">
        <v>205</v>
      </c>
      <c r="D19" s="82" t="s">
        <v>206</v>
      </c>
      <c r="E19" s="82" t="s">
        <v>548</v>
      </c>
      <c r="F19" s="83">
        <v>31</v>
      </c>
      <c r="G19" s="83">
        <v>1.8</v>
      </c>
      <c r="H19" s="83">
        <v>7</v>
      </c>
      <c r="I19" s="83">
        <v>0.1</v>
      </c>
      <c r="J19" s="83">
        <v>0</v>
      </c>
      <c r="K19" s="83">
        <v>3.4</v>
      </c>
      <c r="L19" s="83">
        <v>3.3</v>
      </c>
      <c r="M19" s="83">
        <v>6</v>
      </c>
      <c r="N19" s="83">
        <v>0</v>
      </c>
      <c r="O19" s="81"/>
    </row>
    <row r="20" spans="1:15">
      <c r="A20" s="82" t="s">
        <v>243</v>
      </c>
      <c r="B20" s="82" t="s">
        <v>244</v>
      </c>
      <c r="C20" s="82" t="s">
        <v>205</v>
      </c>
      <c r="D20" s="82" t="s">
        <v>206</v>
      </c>
      <c r="E20" s="82" t="s">
        <v>548</v>
      </c>
      <c r="F20" s="83">
        <v>15</v>
      </c>
      <c r="G20" s="83">
        <v>1.4</v>
      </c>
      <c r="H20" s="83">
        <v>2.9</v>
      </c>
      <c r="I20" s="83">
        <v>0.2</v>
      </c>
      <c r="J20" s="83">
        <v>0</v>
      </c>
      <c r="K20" s="83">
        <v>1.3</v>
      </c>
      <c r="L20" s="83">
        <v>0.8</v>
      </c>
      <c r="M20" s="83">
        <v>28</v>
      </c>
      <c r="N20" s="83">
        <v>0</v>
      </c>
      <c r="O20" s="81"/>
    </row>
    <row r="21" spans="1:15">
      <c r="A21" s="82" t="s">
        <v>245</v>
      </c>
      <c r="B21" s="82" t="s">
        <v>246</v>
      </c>
      <c r="C21" s="82" t="s">
        <v>205</v>
      </c>
      <c r="D21" s="82" t="s">
        <v>206</v>
      </c>
      <c r="E21" s="82" t="s">
        <v>548</v>
      </c>
      <c r="F21" s="83">
        <v>96</v>
      </c>
      <c r="G21" s="83">
        <v>3.4</v>
      </c>
      <c r="H21" s="83">
        <v>21</v>
      </c>
      <c r="I21" s="83">
        <v>1.5</v>
      </c>
      <c r="J21" s="83">
        <v>0.2</v>
      </c>
      <c r="K21" s="83">
        <v>2.4</v>
      </c>
      <c r="L21" s="83">
        <v>4.5</v>
      </c>
      <c r="M21" s="83">
        <v>15</v>
      </c>
      <c r="N21" s="83">
        <v>2</v>
      </c>
      <c r="O21" s="81"/>
    </row>
    <row r="22" spans="1:15">
      <c r="A22" s="82" t="s">
        <v>247</v>
      </c>
      <c r="B22" s="82" t="s">
        <v>248</v>
      </c>
      <c r="C22" s="82" t="s">
        <v>205</v>
      </c>
      <c r="D22" s="82" t="s">
        <v>206</v>
      </c>
      <c r="E22" s="82" t="s">
        <v>548</v>
      </c>
      <c r="F22" s="83">
        <v>15</v>
      </c>
      <c r="G22" s="83">
        <v>0.7</v>
      </c>
      <c r="H22" s="83">
        <v>3.6</v>
      </c>
      <c r="I22" s="83">
        <v>0.1</v>
      </c>
      <c r="J22" s="83">
        <v>0</v>
      </c>
      <c r="K22" s="83">
        <v>0.5</v>
      </c>
      <c r="L22" s="83">
        <v>1.7</v>
      </c>
      <c r="M22" s="83">
        <v>2</v>
      </c>
      <c r="N22" s="83">
        <v>0</v>
      </c>
      <c r="O22" s="81"/>
    </row>
    <row r="23" spans="1:15">
      <c r="A23" s="82" t="s">
        <v>249</v>
      </c>
      <c r="B23" s="82" t="s">
        <v>250</v>
      </c>
      <c r="C23" s="82" t="s">
        <v>205</v>
      </c>
      <c r="D23" s="82" t="s">
        <v>206</v>
      </c>
      <c r="E23" s="82" t="s">
        <v>548</v>
      </c>
      <c r="F23" s="83">
        <v>31</v>
      </c>
      <c r="G23" s="83">
        <v>1</v>
      </c>
      <c r="H23" s="83">
        <v>6</v>
      </c>
      <c r="I23" s="83">
        <v>0.3</v>
      </c>
      <c r="J23" s="83">
        <v>0</v>
      </c>
      <c r="K23" s="83">
        <v>2.1</v>
      </c>
      <c r="L23" s="83">
        <v>4.2</v>
      </c>
      <c r="M23" s="83">
        <v>2</v>
      </c>
      <c r="N23" s="83">
        <v>0</v>
      </c>
      <c r="O23" s="81"/>
    </row>
    <row r="24" spans="1:15">
      <c r="A24" s="82" t="s">
        <v>251</v>
      </c>
      <c r="B24" s="82" t="s">
        <v>252</v>
      </c>
      <c r="C24" s="82" t="s">
        <v>205</v>
      </c>
      <c r="D24" s="82" t="s">
        <v>206</v>
      </c>
      <c r="E24" s="82" t="s">
        <v>548</v>
      </c>
      <c r="F24" s="83">
        <v>61</v>
      </c>
      <c r="G24" s="83">
        <v>1.5</v>
      </c>
      <c r="H24" s="83">
        <v>14</v>
      </c>
      <c r="I24" s="83">
        <v>0.3</v>
      </c>
      <c r="J24" s="83">
        <v>0</v>
      </c>
      <c r="K24" s="83">
        <v>1.8</v>
      </c>
      <c r="L24" s="83">
        <v>3.9</v>
      </c>
      <c r="M24" s="83">
        <v>20</v>
      </c>
      <c r="N24" s="83">
        <v>0</v>
      </c>
      <c r="O24" s="81"/>
    </row>
    <row r="25" spans="1:15">
      <c r="A25" s="82" t="s">
        <v>253</v>
      </c>
      <c r="B25" s="82" t="s">
        <v>254</v>
      </c>
      <c r="C25" s="82" t="s">
        <v>205</v>
      </c>
      <c r="D25" s="82" t="s">
        <v>206</v>
      </c>
      <c r="E25" s="82" t="s">
        <v>548</v>
      </c>
      <c r="F25" s="83">
        <v>16</v>
      </c>
      <c r="G25" s="83">
        <v>0.7</v>
      </c>
      <c r="H25" s="83">
        <v>3.4</v>
      </c>
      <c r="I25" s="83">
        <v>0.1</v>
      </c>
      <c r="J25" s="83">
        <v>0</v>
      </c>
      <c r="K25" s="83">
        <v>1.6</v>
      </c>
      <c r="L25" s="83">
        <v>1.9</v>
      </c>
      <c r="M25" s="83">
        <v>39</v>
      </c>
      <c r="N25" s="83">
        <v>0</v>
      </c>
      <c r="O25" s="81"/>
    </row>
    <row r="26" spans="1:15">
      <c r="A26" s="82" t="s">
        <v>255</v>
      </c>
      <c r="B26" s="82" t="s">
        <v>256</v>
      </c>
      <c r="C26" s="82" t="s">
        <v>205</v>
      </c>
      <c r="D26" s="82" t="s">
        <v>206</v>
      </c>
      <c r="E26" s="82" t="s">
        <v>548</v>
      </c>
      <c r="F26" s="83">
        <v>44</v>
      </c>
      <c r="G26" s="83">
        <v>1.7</v>
      </c>
      <c r="H26" s="83">
        <v>10</v>
      </c>
      <c r="I26" s="83">
        <v>0.2</v>
      </c>
      <c r="J26" s="83">
        <v>0</v>
      </c>
      <c r="K26" s="83">
        <v>2</v>
      </c>
      <c r="L26" s="83">
        <v>7</v>
      </c>
      <c r="M26" s="83">
        <v>78</v>
      </c>
      <c r="N26" s="83">
        <v>1</v>
      </c>
      <c r="O26" s="81"/>
    </row>
    <row r="27" spans="1:15">
      <c r="A27" s="82" t="s">
        <v>257</v>
      </c>
      <c r="B27" s="82" t="s">
        <v>258</v>
      </c>
      <c r="C27" s="82" t="s">
        <v>205</v>
      </c>
      <c r="D27" s="82" t="s">
        <v>206</v>
      </c>
      <c r="E27" s="82" t="s">
        <v>548</v>
      </c>
      <c r="F27" s="83">
        <v>18</v>
      </c>
      <c r="G27" s="83">
        <v>0.9</v>
      </c>
      <c r="H27" s="83">
        <v>3.9</v>
      </c>
      <c r="I27" s="83">
        <v>0.2</v>
      </c>
      <c r="J27" s="83">
        <v>0</v>
      </c>
      <c r="K27" s="83">
        <v>1.2</v>
      </c>
      <c r="L27" s="83">
        <v>2.6</v>
      </c>
      <c r="M27" s="83">
        <v>5</v>
      </c>
      <c r="N27" s="83">
        <v>0</v>
      </c>
      <c r="O27" s="81"/>
    </row>
    <row r="28" spans="1:15">
      <c r="A28" s="82" t="s">
        <v>259</v>
      </c>
      <c r="B28" s="82" t="s">
        <v>260</v>
      </c>
      <c r="C28" s="82" t="s">
        <v>205</v>
      </c>
      <c r="D28" s="82" t="s">
        <v>206</v>
      </c>
      <c r="E28" s="82" t="s">
        <v>548</v>
      </c>
      <c r="F28" s="83">
        <v>41</v>
      </c>
      <c r="G28" s="83">
        <v>0.9</v>
      </c>
      <c r="H28" s="83">
        <v>9.6</v>
      </c>
      <c r="I28" s="83">
        <v>0.2</v>
      </c>
      <c r="J28" s="83">
        <v>0</v>
      </c>
      <c r="K28" s="83">
        <v>2.8</v>
      </c>
      <c r="L28" s="83">
        <v>4.7</v>
      </c>
      <c r="M28" s="83">
        <v>69</v>
      </c>
      <c r="N28" s="83">
        <v>0</v>
      </c>
      <c r="O28" s="81"/>
    </row>
    <row r="29" spans="1:15">
      <c r="A29" s="82" t="s">
        <v>261</v>
      </c>
      <c r="B29" s="82" t="s">
        <v>262</v>
      </c>
      <c r="C29" s="82" t="s">
        <v>263</v>
      </c>
      <c r="D29" s="82" t="s">
        <v>206</v>
      </c>
      <c r="E29" s="82" t="s">
        <v>548</v>
      </c>
      <c r="F29" s="83">
        <v>160</v>
      </c>
      <c r="G29" s="83">
        <v>2</v>
      </c>
      <c r="H29" s="83">
        <v>8.5</v>
      </c>
      <c r="I29" s="83">
        <v>14.7</v>
      </c>
      <c r="J29" s="83">
        <v>2.1</v>
      </c>
      <c r="K29" s="83">
        <v>6.7</v>
      </c>
      <c r="L29" s="83">
        <v>0.7</v>
      </c>
      <c r="M29" s="83">
        <v>7</v>
      </c>
      <c r="N29" s="83">
        <v>0</v>
      </c>
      <c r="O29" s="81"/>
    </row>
    <row r="30" spans="1:15">
      <c r="A30" s="82" t="s">
        <v>264</v>
      </c>
      <c r="B30" s="82" t="s">
        <v>265</v>
      </c>
      <c r="C30" s="82" t="s">
        <v>263</v>
      </c>
      <c r="D30" s="82" t="s">
        <v>206</v>
      </c>
      <c r="E30" s="82" t="s">
        <v>548</v>
      </c>
      <c r="F30" s="83">
        <v>48</v>
      </c>
      <c r="G30" s="83">
        <v>1.4</v>
      </c>
      <c r="H30" s="83">
        <v>11.1</v>
      </c>
      <c r="I30" s="83">
        <v>0.4</v>
      </c>
      <c r="J30" s="83">
        <v>0</v>
      </c>
      <c r="K30" s="83">
        <v>2</v>
      </c>
      <c r="L30" s="83">
        <v>9.1999999999999993</v>
      </c>
      <c r="M30" s="83">
        <v>1</v>
      </c>
      <c r="N30" s="83">
        <v>0</v>
      </c>
      <c r="O30" s="81"/>
    </row>
    <row r="31" spans="1:15">
      <c r="A31" s="82" t="s">
        <v>266</v>
      </c>
      <c r="B31" s="82" t="s">
        <v>267</v>
      </c>
      <c r="C31" s="82" t="s">
        <v>263</v>
      </c>
      <c r="D31" s="82" t="s">
        <v>206</v>
      </c>
      <c r="E31" s="82" t="s">
        <v>548</v>
      </c>
      <c r="F31" s="83">
        <v>57</v>
      </c>
      <c r="G31" s="83">
        <v>0.7</v>
      </c>
      <c r="H31" s="83">
        <v>14.5</v>
      </c>
      <c r="I31" s="83">
        <v>0.3</v>
      </c>
      <c r="J31" s="83">
        <v>0</v>
      </c>
      <c r="K31" s="83">
        <v>2.4</v>
      </c>
      <c r="L31" s="83">
        <v>10</v>
      </c>
      <c r="M31" s="83">
        <v>1</v>
      </c>
      <c r="N31" s="83">
        <v>0</v>
      </c>
      <c r="O31" s="81"/>
    </row>
    <row r="32" spans="1:15">
      <c r="A32" s="82" t="s">
        <v>268</v>
      </c>
      <c r="B32" s="82" t="s">
        <v>269</v>
      </c>
      <c r="C32" s="82" t="s">
        <v>263</v>
      </c>
      <c r="D32" s="82" t="s">
        <v>206</v>
      </c>
      <c r="E32" s="82" t="s">
        <v>548</v>
      </c>
      <c r="F32" s="83">
        <v>46</v>
      </c>
      <c r="G32" s="83">
        <v>0.7</v>
      </c>
      <c r="H32" s="83">
        <v>11.4</v>
      </c>
      <c r="I32" s="83">
        <v>0.3</v>
      </c>
      <c r="J32" s="83">
        <v>0</v>
      </c>
      <c r="K32" s="83">
        <v>1.4</v>
      </c>
      <c r="L32" s="83">
        <v>9.9</v>
      </c>
      <c r="M32" s="83">
        <v>0</v>
      </c>
      <c r="N32" s="83">
        <v>0</v>
      </c>
      <c r="O32" s="81"/>
    </row>
    <row r="33" spans="1:15">
      <c r="A33" s="82" t="s">
        <v>270</v>
      </c>
      <c r="B33" s="82" t="s">
        <v>271</v>
      </c>
      <c r="C33" s="82" t="s">
        <v>263</v>
      </c>
      <c r="D33" s="82" t="s">
        <v>206</v>
      </c>
      <c r="E33" s="82" t="s">
        <v>548</v>
      </c>
      <c r="F33" s="83">
        <v>32</v>
      </c>
      <c r="G33" s="83">
        <v>0.7</v>
      </c>
      <c r="H33" s="83">
        <v>7.7</v>
      </c>
      <c r="I33" s="83">
        <v>0.3</v>
      </c>
      <c r="J33" s="83">
        <v>0</v>
      </c>
      <c r="K33" s="83">
        <v>2</v>
      </c>
      <c r="L33" s="83">
        <v>4.9000000000000004</v>
      </c>
      <c r="M33" s="83">
        <v>1</v>
      </c>
      <c r="N33" s="83">
        <v>0</v>
      </c>
      <c r="O33" s="81"/>
    </row>
    <row r="34" spans="1:15">
      <c r="A34" s="82" t="s">
        <v>272</v>
      </c>
      <c r="B34" s="82" t="s">
        <v>273</v>
      </c>
      <c r="C34" s="82" t="s">
        <v>263</v>
      </c>
      <c r="D34" s="82" t="s">
        <v>206</v>
      </c>
      <c r="E34" s="82" t="s">
        <v>548</v>
      </c>
      <c r="F34" s="83">
        <v>45</v>
      </c>
      <c r="G34" s="83">
        <v>1</v>
      </c>
      <c r="H34" s="83">
        <v>10</v>
      </c>
      <c r="I34" s="83">
        <v>0.5</v>
      </c>
      <c r="J34" s="83">
        <v>0</v>
      </c>
      <c r="K34" s="83">
        <v>3.5</v>
      </c>
      <c r="L34" s="83">
        <v>6</v>
      </c>
      <c r="M34" s="83">
        <v>1</v>
      </c>
      <c r="N34" s="83">
        <v>0</v>
      </c>
      <c r="O34" s="81"/>
    </row>
    <row r="35" spans="1:15">
      <c r="A35" s="82" t="s">
        <v>274</v>
      </c>
      <c r="B35" s="82" t="s">
        <v>275</v>
      </c>
      <c r="C35" s="82" t="s">
        <v>263</v>
      </c>
      <c r="D35" s="82" t="s">
        <v>206</v>
      </c>
      <c r="E35" s="82" t="s">
        <v>548</v>
      </c>
      <c r="F35" s="83">
        <v>83</v>
      </c>
      <c r="G35" s="83">
        <v>1.7</v>
      </c>
      <c r="H35" s="83">
        <v>18.7</v>
      </c>
      <c r="I35" s="83">
        <v>1.2</v>
      </c>
      <c r="J35" s="83">
        <v>0.1</v>
      </c>
      <c r="K35" s="83">
        <v>4</v>
      </c>
      <c r="L35" s="83">
        <v>13.7</v>
      </c>
      <c r="M35" s="83">
        <v>3</v>
      </c>
      <c r="N35" s="83">
        <v>0</v>
      </c>
      <c r="O35" s="81"/>
    </row>
    <row r="36" spans="1:15">
      <c r="A36" s="82" t="s">
        <v>276</v>
      </c>
      <c r="B36" s="82" t="s">
        <v>277</v>
      </c>
      <c r="C36" s="82" t="s">
        <v>263</v>
      </c>
      <c r="D36" s="82" t="s">
        <v>206</v>
      </c>
      <c r="E36" s="82" t="s">
        <v>548</v>
      </c>
      <c r="F36" s="83">
        <v>61</v>
      </c>
      <c r="G36" s="83">
        <v>1.1000000000000001</v>
      </c>
      <c r="H36" s="83">
        <v>14.7</v>
      </c>
      <c r="I36" s="83">
        <v>0.5</v>
      </c>
      <c r="J36" s="83">
        <v>0</v>
      </c>
      <c r="K36" s="83">
        <v>3</v>
      </c>
      <c r="L36" s="83">
        <v>9</v>
      </c>
      <c r="M36" s="83">
        <v>3</v>
      </c>
      <c r="N36" s="83">
        <v>0</v>
      </c>
      <c r="O36" s="81"/>
    </row>
    <row r="37" spans="1:15">
      <c r="A37" s="82" t="s">
        <v>278</v>
      </c>
      <c r="B37" s="82" t="s">
        <v>279</v>
      </c>
      <c r="C37" s="82" t="s">
        <v>263</v>
      </c>
      <c r="D37" s="82" t="s">
        <v>206</v>
      </c>
      <c r="E37" s="82" t="s">
        <v>548</v>
      </c>
      <c r="F37" s="83">
        <v>29</v>
      </c>
      <c r="G37" s="83">
        <v>1.1000000000000001</v>
      </c>
      <c r="H37" s="83">
        <v>9.3000000000000007</v>
      </c>
      <c r="I37" s="83">
        <v>0.3</v>
      </c>
      <c r="J37" s="83">
        <v>0</v>
      </c>
      <c r="K37" s="83">
        <v>2.8</v>
      </c>
      <c r="L37" s="83">
        <v>2.5</v>
      </c>
      <c r="M37" s="83">
        <v>2</v>
      </c>
      <c r="N37" s="83">
        <v>0</v>
      </c>
      <c r="O37" s="81"/>
    </row>
    <row r="38" spans="1:15">
      <c r="A38" s="82" t="s">
        <v>280</v>
      </c>
      <c r="B38" s="82" t="s">
        <v>281</v>
      </c>
      <c r="C38" s="82" t="s">
        <v>263</v>
      </c>
      <c r="D38" s="82" t="s">
        <v>206</v>
      </c>
      <c r="E38" s="82" t="s">
        <v>548</v>
      </c>
      <c r="F38" s="83">
        <v>53</v>
      </c>
      <c r="G38" s="83">
        <v>0.8</v>
      </c>
      <c r="H38" s="83">
        <v>13.3</v>
      </c>
      <c r="I38" s="83">
        <v>0.3</v>
      </c>
      <c r="J38" s="83">
        <v>0</v>
      </c>
      <c r="K38" s="83">
        <v>1.8</v>
      </c>
      <c r="L38" s="83">
        <v>10.6</v>
      </c>
      <c r="M38" s="83">
        <v>2</v>
      </c>
      <c r="N38" s="83">
        <v>0</v>
      </c>
      <c r="O38" s="81"/>
    </row>
    <row r="39" spans="1:15">
      <c r="A39" s="82" t="s">
        <v>282</v>
      </c>
      <c r="B39" s="82" t="s">
        <v>283</v>
      </c>
      <c r="C39" s="82" t="s">
        <v>263</v>
      </c>
      <c r="D39" s="82" t="s">
        <v>206</v>
      </c>
      <c r="E39" s="82" t="s">
        <v>548</v>
      </c>
      <c r="F39" s="83">
        <v>52</v>
      </c>
      <c r="G39" s="83">
        <v>0.3</v>
      </c>
      <c r="H39" s="83">
        <v>13.8</v>
      </c>
      <c r="I39" s="83">
        <v>0.2</v>
      </c>
      <c r="J39" s="83">
        <v>0</v>
      </c>
      <c r="K39" s="83">
        <v>2.4</v>
      </c>
      <c r="L39" s="83">
        <v>10.4</v>
      </c>
      <c r="M39" s="83">
        <v>1</v>
      </c>
      <c r="N39" s="83">
        <v>0</v>
      </c>
      <c r="O39" s="81"/>
    </row>
    <row r="40" spans="1:15">
      <c r="A40" s="82" t="s">
        <v>284</v>
      </c>
      <c r="B40" s="82" t="s">
        <v>285</v>
      </c>
      <c r="C40" s="82" t="s">
        <v>263</v>
      </c>
      <c r="D40" s="82" t="s">
        <v>206</v>
      </c>
      <c r="E40" s="82" t="s">
        <v>548</v>
      </c>
      <c r="F40" s="83">
        <v>60</v>
      </c>
      <c r="G40" s="83">
        <v>0.8</v>
      </c>
      <c r="H40" s="83">
        <v>15</v>
      </c>
      <c r="I40" s="83">
        <v>0.4</v>
      </c>
      <c r="J40" s="83">
        <v>0.1</v>
      </c>
      <c r="K40" s="83">
        <v>1.6</v>
      </c>
      <c r="L40" s="83">
        <v>13.7</v>
      </c>
      <c r="M40" s="83">
        <v>1</v>
      </c>
      <c r="N40" s="83">
        <v>0</v>
      </c>
      <c r="O40" s="81"/>
    </row>
    <row r="41" spans="1:15">
      <c r="A41" s="82" t="s">
        <v>286</v>
      </c>
      <c r="B41" s="82" t="s">
        <v>287</v>
      </c>
      <c r="C41" s="82" t="s">
        <v>263</v>
      </c>
      <c r="D41" s="82" t="s">
        <v>206</v>
      </c>
      <c r="E41" s="82" t="s">
        <v>548</v>
      </c>
      <c r="F41" s="83">
        <v>34</v>
      </c>
      <c r="G41" s="83">
        <v>0.8</v>
      </c>
      <c r="H41" s="83">
        <v>8.1999999999999993</v>
      </c>
      <c r="I41" s="83">
        <v>0.2</v>
      </c>
      <c r="J41" s="83">
        <v>0</v>
      </c>
      <c r="K41" s="83">
        <v>0.9</v>
      </c>
      <c r="L41" s="83">
        <v>7.9</v>
      </c>
      <c r="M41" s="83">
        <v>16</v>
      </c>
      <c r="N41" s="83">
        <v>0</v>
      </c>
      <c r="O41" s="81"/>
    </row>
    <row r="42" spans="1:15">
      <c r="A42" s="82" t="s">
        <v>288</v>
      </c>
      <c r="B42" s="82" t="s">
        <v>289</v>
      </c>
      <c r="C42" s="82" t="s">
        <v>263</v>
      </c>
      <c r="D42" s="82" t="s">
        <v>206</v>
      </c>
      <c r="E42" s="82" t="s">
        <v>548</v>
      </c>
      <c r="F42" s="83">
        <v>39</v>
      </c>
      <c r="G42" s="83">
        <v>0.9</v>
      </c>
      <c r="H42" s="83">
        <v>9.5</v>
      </c>
      <c r="I42" s="83">
        <v>0.3</v>
      </c>
      <c r="J42" s="83">
        <v>0</v>
      </c>
      <c r="K42" s="83">
        <v>1.5</v>
      </c>
      <c r="L42" s="83">
        <v>8.4</v>
      </c>
      <c r="M42" s="83">
        <v>0</v>
      </c>
      <c r="N42" s="83">
        <v>0</v>
      </c>
      <c r="O42" s="81"/>
    </row>
    <row r="43" spans="1:15">
      <c r="A43" s="82" t="s">
        <v>290</v>
      </c>
      <c r="B43" s="82" t="s">
        <v>291</v>
      </c>
      <c r="C43" s="82" t="s">
        <v>263</v>
      </c>
      <c r="D43" s="82" t="s">
        <v>206</v>
      </c>
      <c r="E43" s="82" t="s">
        <v>548</v>
      </c>
      <c r="F43" s="83">
        <v>47</v>
      </c>
      <c r="G43" s="83">
        <v>0.9</v>
      </c>
      <c r="H43" s="83">
        <v>11.8</v>
      </c>
      <c r="I43" s="83">
        <v>0.1</v>
      </c>
      <c r="J43" s="83">
        <v>0</v>
      </c>
      <c r="K43" s="83">
        <v>2.4</v>
      </c>
      <c r="L43" s="83">
        <v>9.4</v>
      </c>
      <c r="M43" s="83">
        <v>0</v>
      </c>
      <c r="N43" s="83">
        <v>0</v>
      </c>
      <c r="O43" s="81"/>
    </row>
    <row r="44" spans="1:15">
      <c r="A44" s="82" t="s">
        <v>292</v>
      </c>
      <c r="B44" s="82" t="s">
        <v>293</v>
      </c>
      <c r="C44" s="82" t="s">
        <v>263</v>
      </c>
      <c r="D44" s="82" t="s">
        <v>206</v>
      </c>
      <c r="E44" s="82" t="s">
        <v>548</v>
      </c>
      <c r="F44" s="83">
        <v>57</v>
      </c>
      <c r="G44" s="83">
        <v>0.4</v>
      </c>
      <c r="H44" s="83">
        <v>15.2</v>
      </c>
      <c r="I44" s="83">
        <v>0.1</v>
      </c>
      <c r="J44" s="83">
        <v>0</v>
      </c>
      <c r="K44" s="83">
        <v>3.1</v>
      </c>
      <c r="L44" s="83">
        <v>10</v>
      </c>
      <c r="M44" s="83">
        <v>1</v>
      </c>
      <c r="N44" s="83">
        <v>0</v>
      </c>
      <c r="O44" s="81"/>
    </row>
    <row r="45" spans="1:15">
      <c r="A45" s="82" t="s">
        <v>294</v>
      </c>
      <c r="B45" s="82" t="s">
        <v>295</v>
      </c>
      <c r="C45" s="82" t="s">
        <v>263</v>
      </c>
      <c r="D45" s="82" t="s">
        <v>206</v>
      </c>
      <c r="E45" s="82" t="s">
        <v>548</v>
      </c>
      <c r="F45" s="83">
        <v>50</v>
      </c>
      <c r="G45" s="83">
        <v>0.5</v>
      </c>
      <c r="H45" s="83">
        <v>13.1</v>
      </c>
      <c r="I45" s="83">
        <v>0.1</v>
      </c>
      <c r="J45" s="83">
        <v>0</v>
      </c>
      <c r="K45" s="83">
        <v>1.4</v>
      </c>
      <c r="L45" s="83">
        <v>9.9</v>
      </c>
      <c r="M45" s="83">
        <v>1</v>
      </c>
      <c r="N45" s="83">
        <v>0</v>
      </c>
      <c r="O45" s="81"/>
    </row>
    <row r="46" spans="1:15">
      <c r="A46" s="82" t="s">
        <v>296</v>
      </c>
      <c r="B46" s="82" t="s">
        <v>297</v>
      </c>
      <c r="C46" s="82" t="s">
        <v>263</v>
      </c>
      <c r="D46" s="82" t="s">
        <v>206</v>
      </c>
      <c r="E46" s="82" t="s">
        <v>548</v>
      </c>
      <c r="F46" s="83">
        <v>89</v>
      </c>
      <c r="G46" s="83">
        <v>1.1000000000000001</v>
      </c>
      <c r="H46" s="83">
        <v>22.8</v>
      </c>
      <c r="I46" s="83">
        <v>0.3</v>
      </c>
      <c r="J46" s="83">
        <v>0.1</v>
      </c>
      <c r="K46" s="83">
        <v>2.6</v>
      </c>
      <c r="L46" s="83">
        <v>12.2</v>
      </c>
      <c r="M46" s="83">
        <v>1</v>
      </c>
      <c r="N46" s="83">
        <v>0</v>
      </c>
      <c r="O46" s="81"/>
    </row>
    <row r="47" spans="1:15">
      <c r="A47" s="82" t="s">
        <v>298</v>
      </c>
      <c r="B47" s="82" t="s">
        <v>299</v>
      </c>
      <c r="C47" s="82" t="s">
        <v>263</v>
      </c>
      <c r="D47" s="82" t="s">
        <v>206</v>
      </c>
      <c r="E47" s="82" t="s">
        <v>548</v>
      </c>
      <c r="F47" s="83">
        <v>42</v>
      </c>
      <c r="G47" s="83">
        <v>0.8</v>
      </c>
      <c r="H47" s="83">
        <v>10.7</v>
      </c>
      <c r="I47" s="83">
        <v>0.1</v>
      </c>
      <c r="J47" s="83">
        <v>0</v>
      </c>
      <c r="K47" s="83">
        <v>1.6</v>
      </c>
      <c r="L47" s="83">
        <v>6.9</v>
      </c>
      <c r="M47" s="83">
        <v>0</v>
      </c>
      <c r="N47" s="83">
        <v>0</v>
      </c>
      <c r="O47" s="81"/>
    </row>
    <row r="48" spans="1:15">
      <c r="A48" s="82" t="s">
        <v>300</v>
      </c>
      <c r="B48" s="82" t="s">
        <v>301</v>
      </c>
      <c r="C48" s="82" t="s">
        <v>263</v>
      </c>
      <c r="D48" s="82" t="s">
        <v>206</v>
      </c>
      <c r="E48" s="82" t="s">
        <v>548</v>
      </c>
      <c r="F48" s="83">
        <v>30</v>
      </c>
      <c r="G48" s="83">
        <v>0.6</v>
      </c>
      <c r="H48" s="83">
        <v>7.6</v>
      </c>
      <c r="I48" s="83">
        <v>0.2</v>
      </c>
      <c r="J48" s="83">
        <v>0</v>
      </c>
      <c r="K48" s="83">
        <v>0.4</v>
      </c>
      <c r="L48" s="83">
        <v>6.2</v>
      </c>
      <c r="M48" s="83">
        <v>2</v>
      </c>
      <c r="N48" s="83">
        <v>0</v>
      </c>
      <c r="O48" s="81"/>
    </row>
    <row r="49" spans="1:15">
      <c r="A49" s="82" t="s">
        <v>302</v>
      </c>
      <c r="B49" s="82" t="s">
        <v>303</v>
      </c>
      <c r="C49" s="82" t="s">
        <v>263</v>
      </c>
      <c r="D49" s="82" t="s">
        <v>206</v>
      </c>
      <c r="E49" s="82" t="s">
        <v>548</v>
      </c>
      <c r="F49" s="83">
        <v>69</v>
      </c>
      <c r="G49" s="83">
        <v>0.7</v>
      </c>
      <c r="H49" s="83">
        <v>18.100000000000001</v>
      </c>
      <c r="I49" s="83">
        <v>0.2</v>
      </c>
      <c r="J49" s="83">
        <v>0.1</v>
      </c>
      <c r="K49" s="83">
        <v>0.9</v>
      </c>
      <c r="L49" s="83">
        <v>15.5</v>
      </c>
      <c r="M49" s="83">
        <v>2</v>
      </c>
      <c r="N49" s="83">
        <v>0</v>
      </c>
      <c r="O49" s="81"/>
    </row>
    <row r="50" spans="1:15">
      <c r="A50" s="82" t="s">
        <v>304</v>
      </c>
      <c r="B50" s="82" t="s">
        <v>305</v>
      </c>
      <c r="C50" s="82" t="s">
        <v>306</v>
      </c>
      <c r="D50" s="82" t="s">
        <v>206</v>
      </c>
      <c r="E50" s="82" t="s">
        <v>548</v>
      </c>
      <c r="F50" s="83">
        <v>110</v>
      </c>
      <c r="G50" s="83">
        <v>7.5</v>
      </c>
      <c r="H50" s="83">
        <v>19.7</v>
      </c>
      <c r="I50" s="83">
        <v>0.5</v>
      </c>
      <c r="J50" s="83">
        <v>0.1</v>
      </c>
      <c r="K50" s="83">
        <v>6.3</v>
      </c>
      <c r="L50" s="83">
        <v>0.6</v>
      </c>
      <c r="M50" s="83">
        <v>5</v>
      </c>
      <c r="N50" s="83">
        <v>1</v>
      </c>
      <c r="O50" s="81"/>
    </row>
    <row r="51" spans="1:15">
      <c r="A51" s="82" t="s">
        <v>307</v>
      </c>
      <c r="B51" s="82" t="s">
        <v>308</v>
      </c>
      <c r="C51" s="82" t="s">
        <v>306</v>
      </c>
      <c r="D51" s="82" t="s">
        <v>206</v>
      </c>
      <c r="E51" s="82" t="s">
        <v>548</v>
      </c>
      <c r="F51" s="83">
        <v>121</v>
      </c>
      <c r="G51" s="83">
        <v>11.9</v>
      </c>
      <c r="H51" s="83">
        <v>8.9</v>
      </c>
      <c r="I51" s="83">
        <v>5.2</v>
      </c>
      <c r="J51" s="83">
        <v>0.7</v>
      </c>
      <c r="K51" s="83">
        <v>5.2</v>
      </c>
      <c r="L51" s="83">
        <v>2.2000000000000002</v>
      </c>
      <c r="M51" s="83">
        <v>6</v>
      </c>
      <c r="N51" s="83">
        <v>2</v>
      </c>
      <c r="O51" s="81"/>
    </row>
    <row r="52" spans="1:15">
      <c r="A52" s="82" t="s">
        <v>309</v>
      </c>
      <c r="B52" s="82" t="s">
        <v>310</v>
      </c>
      <c r="C52" s="82" t="s">
        <v>306</v>
      </c>
      <c r="D52" s="82" t="s">
        <v>206</v>
      </c>
      <c r="E52" s="82" t="s">
        <v>548</v>
      </c>
      <c r="F52" s="83">
        <v>164</v>
      </c>
      <c r="G52" s="83">
        <v>8.9</v>
      </c>
      <c r="H52" s="83">
        <v>27.4</v>
      </c>
      <c r="I52" s="83">
        <v>2.6</v>
      </c>
      <c r="J52" s="83">
        <v>0.3</v>
      </c>
      <c r="K52" s="83">
        <v>7.6</v>
      </c>
      <c r="L52" s="83">
        <v>4.8</v>
      </c>
      <c r="M52" s="83">
        <v>7</v>
      </c>
      <c r="N52" s="83">
        <v>1</v>
      </c>
      <c r="O52" s="81"/>
    </row>
    <row r="53" spans="1:15">
      <c r="A53" s="82" t="s">
        <v>239</v>
      </c>
      <c r="B53" s="82" t="s">
        <v>240</v>
      </c>
      <c r="C53" s="82" t="s">
        <v>306</v>
      </c>
      <c r="D53" s="82" t="s">
        <v>206</v>
      </c>
      <c r="E53" s="82" t="s">
        <v>548</v>
      </c>
      <c r="F53" s="83">
        <v>81</v>
      </c>
      <c r="G53" s="83">
        <v>5.4</v>
      </c>
      <c r="H53" s="83">
        <v>14.5</v>
      </c>
      <c r="I53" s="83">
        <v>0.4</v>
      </c>
      <c r="J53" s="83">
        <v>0.1</v>
      </c>
      <c r="K53" s="83">
        <v>5.0999999999999996</v>
      </c>
      <c r="L53" s="83">
        <v>5.7</v>
      </c>
      <c r="M53" s="83">
        <v>5</v>
      </c>
      <c r="N53" s="83">
        <v>0</v>
      </c>
      <c r="O53" s="81"/>
    </row>
    <row r="54" spans="1:15">
      <c r="A54" s="82" t="s">
        <v>311</v>
      </c>
      <c r="B54" s="82" t="s">
        <v>312</v>
      </c>
      <c r="C54" s="82" t="s">
        <v>306</v>
      </c>
      <c r="D54" s="82" t="s">
        <v>206</v>
      </c>
      <c r="E54" s="82" t="s">
        <v>548</v>
      </c>
      <c r="F54" s="83">
        <v>166</v>
      </c>
      <c r="G54" s="83">
        <v>7.9</v>
      </c>
      <c r="H54" s="83">
        <v>14.3</v>
      </c>
      <c r="I54" s="83">
        <v>9.6</v>
      </c>
      <c r="J54" s="83">
        <v>1.4</v>
      </c>
      <c r="K54" s="83">
        <v>6</v>
      </c>
      <c r="L54" s="83">
        <v>0.3</v>
      </c>
      <c r="M54" s="83">
        <v>300</v>
      </c>
      <c r="N54" s="83">
        <v>4</v>
      </c>
      <c r="O54" s="81"/>
    </row>
    <row r="55" spans="1:15">
      <c r="A55" s="82" t="s">
        <v>313</v>
      </c>
      <c r="B55" s="82" t="s">
        <v>314</v>
      </c>
      <c r="C55" s="82" t="s">
        <v>306</v>
      </c>
      <c r="D55" s="82" t="s">
        <v>206</v>
      </c>
      <c r="E55" s="82" t="s">
        <v>548</v>
      </c>
      <c r="F55" s="83">
        <v>116</v>
      </c>
      <c r="G55" s="83">
        <v>9</v>
      </c>
      <c r="H55" s="83">
        <v>20.100000000000001</v>
      </c>
      <c r="I55" s="83">
        <v>0.4</v>
      </c>
      <c r="J55" s="83">
        <v>0.1</v>
      </c>
      <c r="K55" s="83">
        <v>7.9</v>
      </c>
      <c r="L55" s="83">
        <v>1.8</v>
      </c>
      <c r="M55" s="83">
        <v>2</v>
      </c>
      <c r="N55" s="83">
        <v>1</v>
      </c>
      <c r="O55" s="81"/>
    </row>
    <row r="56" spans="1:15">
      <c r="A56" s="82" t="s">
        <v>315</v>
      </c>
      <c r="B56" s="82" t="s">
        <v>316</v>
      </c>
      <c r="C56" s="82" t="s">
        <v>306</v>
      </c>
      <c r="D56" s="82" t="s">
        <v>206</v>
      </c>
      <c r="E56" s="82" t="s">
        <v>548</v>
      </c>
      <c r="F56" s="83">
        <v>130</v>
      </c>
      <c r="G56" s="83">
        <v>2.7</v>
      </c>
      <c r="H56" s="83">
        <v>28.2</v>
      </c>
      <c r="I56" s="83">
        <v>0.3</v>
      </c>
      <c r="J56" s="83">
        <v>0.1</v>
      </c>
      <c r="K56" s="83">
        <v>0.4</v>
      </c>
      <c r="L56" s="83">
        <v>0.1</v>
      </c>
      <c r="M56" s="83">
        <v>1</v>
      </c>
      <c r="N56" s="83">
        <v>1</v>
      </c>
      <c r="O56" s="81"/>
    </row>
    <row r="57" spans="1:15">
      <c r="A57" s="82" t="s">
        <v>317</v>
      </c>
      <c r="B57" s="82" t="s">
        <v>318</v>
      </c>
      <c r="C57" s="82" t="s">
        <v>306</v>
      </c>
      <c r="D57" s="82" t="s">
        <v>206</v>
      </c>
      <c r="E57" s="82" t="s">
        <v>548</v>
      </c>
      <c r="F57" s="83">
        <v>123</v>
      </c>
      <c r="G57" s="83">
        <v>2.7</v>
      </c>
      <c r="H57" s="83">
        <v>25.6</v>
      </c>
      <c r="I57" s="83">
        <v>1</v>
      </c>
      <c r="J57" s="83">
        <v>0.2</v>
      </c>
      <c r="K57" s="83">
        <v>1.8</v>
      </c>
      <c r="L57" s="83">
        <v>0.4</v>
      </c>
      <c r="M57" s="83">
        <v>2</v>
      </c>
      <c r="N57" s="83">
        <v>1</v>
      </c>
      <c r="O57" s="81"/>
    </row>
    <row r="58" spans="1:15">
      <c r="A58" s="82" t="s">
        <v>319</v>
      </c>
      <c r="B58" s="82" t="s">
        <v>320</v>
      </c>
      <c r="C58" s="82" t="s">
        <v>306</v>
      </c>
      <c r="D58" s="82" t="s">
        <v>206</v>
      </c>
      <c r="E58" s="82" t="s">
        <v>548</v>
      </c>
      <c r="F58" s="83">
        <v>389</v>
      </c>
      <c r="G58" s="83">
        <v>16.899999999999999</v>
      </c>
      <c r="H58" s="83">
        <v>66.3</v>
      </c>
      <c r="I58" s="83">
        <v>6.9</v>
      </c>
      <c r="J58" s="83">
        <v>1.2</v>
      </c>
      <c r="K58" s="83">
        <v>10.6</v>
      </c>
      <c r="L58" s="83">
        <v>0.9</v>
      </c>
      <c r="M58" s="83">
        <v>2</v>
      </c>
      <c r="N58" s="83">
        <v>1</v>
      </c>
      <c r="O58" s="81"/>
    </row>
    <row r="59" spans="1:15">
      <c r="A59" s="82" t="s">
        <v>321</v>
      </c>
      <c r="B59" s="82" t="s">
        <v>322</v>
      </c>
      <c r="C59" s="82" t="s">
        <v>306</v>
      </c>
      <c r="D59" s="82" t="s">
        <v>206</v>
      </c>
      <c r="E59" s="82" t="s">
        <v>548</v>
      </c>
      <c r="F59" s="83">
        <v>90</v>
      </c>
      <c r="G59" s="83">
        <v>2</v>
      </c>
      <c r="H59" s="83">
        <v>21</v>
      </c>
      <c r="I59" s="83">
        <v>0.2</v>
      </c>
      <c r="J59" s="83">
        <v>0</v>
      </c>
      <c r="K59" s="83">
        <v>3</v>
      </c>
      <c r="L59" s="83">
        <v>4.2</v>
      </c>
      <c r="M59" s="83">
        <v>36</v>
      </c>
      <c r="N59" s="83">
        <v>0</v>
      </c>
      <c r="O59" s="81"/>
    </row>
    <row r="60" spans="1:15">
      <c r="A60" s="82" t="s">
        <v>323</v>
      </c>
      <c r="B60" s="82" t="s">
        <v>324</v>
      </c>
      <c r="C60" s="82" t="s">
        <v>306</v>
      </c>
      <c r="D60" s="82" t="s">
        <v>206</v>
      </c>
      <c r="E60" s="82" t="s">
        <v>548</v>
      </c>
      <c r="F60" s="83">
        <v>112</v>
      </c>
      <c r="G60" s="83">
        <v>3.8</v>
      </c>
      <c r="H60" s="83">
        <v>23.2</v>
      </c>
      <c r="I60" s="83">
        <v>0.2</v>
      </c>
      <c r="J60" s="83">
        <v>0</v>
      </c>
      <c r="K60" s="83">
        <v>1.4</v>
      </c>
      <c r="L60" s="83">
        <v>0.1</v>
      </c>
      <c r="M60" s="83">
        <v>5</v>
      </c>
      <c r="N60" s="83">
        <v>2</v>
      </c>
      <c r="O60" s="81"/>
    </row>
    <row r="61" spans="1:15">
      <c r="A61" s="82" t="s">
        <v>325</v>
      </c>
      <c r="B61" s="82" t="s">
        <v>326</v>
      </c>
      <c r="C61" s="82" t="s">
        <v>306</v>
      </c>
      <c r="D61" s="82" t="s">
        <v>206</v>
      </c>
      <c r="E61" s="82" t="s">
        <v>548</v>
      </c>
      <c r="F61" s="83">
        <v>250</v>
      </c>
      <c r="G61" s="83">
        <v>9</v>
      </c>
      <c r="H61" s="83">
        <v>49</v>
      </c>
      <c r="I61" s="83">
        <v>3.2</v>
      </c>
      <c r="J61" s="83">
        <v>0.7</v>
      </c>
      <c r="K61" s="83">
        <v>2.7</v>
      </c>
      <c r="L61" s="83">
        <v>5</v>
      </c>
      <c r="M61" s="83">
        <v>490</v>
      </c>
      <c r="N61" s="83">
        <v>5</v>
      </c>
      <c r="O61" s="81"/>
    </row>
    <row r="62" spans="1:15">
      <c r="A62" s="82" t="s">
        <v>327</v>
      </c>
      <c r="B62" s="82" t="s">
        <v>328</v>
      </c>
      <c r="C62" s="82" t="s">
        <v>306</v>
      </c>
      <c r="D62" s="82" t="s">
        <v>206</v>
      </c>
      <c r="E62" s="82" t="s">
        <v>548</v>
      </c>
      <c r="F62" s="83">
        <v>259</v>
      </c>
      <c r="G62" s="83">
        <v>8.5</v>
      </c>
      <c r="H62" s="83">
        <v>48</v>
      </c>
      <c r="I62" s="83">
        <v>3.3</v>
      </c>
      <c r="J62" s="83">
        <v>0.6</v>
      </c>
      <c r="K62" s="83">
        <v>6</v>
      </c>
      <c r="L62" s="83">
        <v>5</v>
      </c>
      <c r="M62" s="83">
        <v>600</v>
      </c>
      <c r="N62" s="83">
        <v>5</v>
      </c>
      <c r="O62" s="81"/>
    </row>
    <row r="63" spans="1:15">
      <c r="A63" s="82" t="s">
        <v>329</v>
      </c>
      <c r="B63" s="82" t="s">
        <v>330</v>
      </c>
      <c r="C63" s="82" t="s">
        <v>306</v>
      </c>
      <c r="D63" s="82" t="s">
        <v>206</v>
      </c>
      <c r="E63" s="82" t="s">
        <v>548</v>
      </c>
      <c r="F63" s="83">
        <v>240</v>
      </c>
      <c r="G63" s="83">
        <v>9</v>
      </c>
      <c r="H63" s="83">
        <v>42</v>
      </c>
      <c r="I63" s="83">
        <v>4</v>
      </c>
      <c r="J63" s="83">
        <v>0.8</v>
      </c>
      <c r="K63" s="83">
        <v>6</v>
      </c>
      <c r="L63" s="83">
        <v>5</v>
      </c>
      <c r="M63" s="83">
        <v>450</v>
      </c>
      <c r="N63" s="83">
        <v>4</v>
      </c>
      <c r="O63" s="81"/>
    </row>
    <row r="64" spans="1:15">
      <c r="A64" s="82" t="s">
        <v>549</v>
      </c>
      <c r="B64" s="82" t="s">
        <v>550</v>
      </c>
      <c r="C64" s="82" t="s">
        <v>306</v>
      </c>
      <c r="D64" s="82" t="s">
        <v>206</v>
      </c>
      <c r="E64" s="82" t="s">
        <v>548</v>
      </c>
      <c r="F64" s="83">
        <v>250</v>
      </c>
      <c r="G64" s="83">
        <v>10</v>
      </c>
      <c r="H64" s="83">
        <v>41</v>
      </c>
      <c r="I64" s="83">
        <v>4.5</v>
      </c>
      <c r="J64" s="83">
        <v>0.8</v>
      </c>
      <c r="K64" s="83">
        <v>7</v>
      </c>
      <c r="L64" s="83">
        <v>5</v>
      </c>
      <c r="M64" s="83">
        <v>470</v>
      </c>
      <c r="N64" s="83">
        <v>5</v>
      </c>
      <c r="O64" s="81"/>
    </row>
    <row r="65" spans="1:15">
      <c r="A65" s="82" t="s">
        <v>331</v>
      </c>
      <c r="B65" s="82" t="s">
        <v>332</v>
      </c>
      <c r="C65" s="82" t="s">
        <v>306</v>
      </c>
      <c r="D65" s="82" t="s">
        <v>206</v>
      </c>
      <c r="E65" s="82" t="s">
        <v>548</v>
      </c>
      <c r="F65" s="83">
        <v>124</v>
      </c>
      <c r="G65" s="83">
        <v>5</v>
      </c>
      <c r="H65" s="83">
        <v>26</v>
      </c>
      <c r="I65" s="83">
        <v>0.9</v>
      </c>
      <c r="J65" s="83">
        <v>0.2</v>
      </c>
      <c r="K65" s="83">
        <v>3</v>
      </c>
      <c r="L65" s="83">
        <v>1</v>
      </c>
      <c r="M65" s="83">
        <v>6</v>
      </c>
      <c r="N65" s="83">
        <v>3</v>
      </c>
      <c r="O65" s="81"/>
    </row>
    <row r="66" spans="1:15">
      <c r="A66" s="82" t="s">
        <v>333</v>
      </c>
      <c r="B66" s="82" t="s">
        <v>334</v>
      </c>
      <c r="C66" s="82" t="s">
        <v>306</v>
      </c>
      <c r="D66" s="82" t="s">
        <v>206</v>
      </c>
      <c r="E66" s="82" t="s">
        <v>548</v>
      </c>
      <c r="F66" s="83">
        <v>87</v>
      </c>
      <c r="G66" s="83">
        <v>2</v>
      </c>
      <c r="H66" s="83">
        <v>20.100000000000001</v>
      </c>
      <c r="I66" s="83">
        <v>0.1</v>
      </c>
      <c r="J66" s="83">
        <v>0</v>
      </c>
      <c r="K66" s="83">
        <v>1.8</v>
      </c>
      <c r="L66" s="83">
        <v>0.9</v>
      </c>
      <c r="M66" s="83">
        <v>7</v>
      </c>
      <c r="N66" s="83">
        <v>0</v>
      </c>
      <c r="O66" s="81"/>
    </row>
    <row r="67" spans="1:15">
      <c r="A67" s="82" t="s">
        <v>335</v>
      </c>
      <c r="B67" s="82" t="s">
        <v>336</v>
      </c>
      <c r="C67" s="82" t="s">
        <v>306</v>
      </c>
      <c r="D67" s="82" t="s">
        <v>206</v>
      </c>
      <c r="E67" s="82" t="s">
        <v>548</v>
      </c>
      <c r="F67" s="83">
        <v>120</v>
      </c>
      <c r="G67" s="83">
        <v>4.4000000000000004</v>
      </c>
      <c r="H67" s="83">
        <v>21.3</v>
      </c>
      <c r="I67" s="83">
        <v>1.9</v>
      </c>
      <c r="J67" s="83">
        <v>0.2</v>
      </c>
      <c r="K67" s="83">
        <v>2.8</v>
      </c>
      <c r="L67" s="83">
        <v>0.9</v>
      </c>
      <c r="M67" s="83">
        <v>7</v>
      </c>
      <c r="N67" s="83">
        <v>1</v>
      </c>
      <c r="O67" s="81"/>
    </row>
    <row r="68" spans="1:15">
      <c r="A68" s="82" t="s">
        <v>551</v>
      </c>
      <c r="B68" s="82" t="s">
        <v>552</v>
      </c>
      <c r="C68" s="82" t="s">
        <v>306</v>
      </c>
      <c r="D68" s="82" t="s">
        <v>206</v>
      </c>
      <c r="E68" s="82" t="s">
        <v>548</v>
      </c>
      <c r="F68" s="83">
        <v>310</v>
      </c>
      <c r="G68" s="83">
        <v>8</v>
      </c>
      <c r="H68" s="83">
        <v>52</v>
      </c>
      <c r="I68" s="83">
        <v>8</v>
      </c>
      <c r="J68" s="83">
        <v>2</v>
      </c>
      <c r="K68" s="83">
        <v>3</v>
      </c>
      <c r="L68" s="83">
        <v>2</v>
      </c>
      <c r="M68" s="83">
        <v>620</v>
      </c>
      <c r="N68" s="83">
        <v>6</v>
      </c>
      <c r="O68" s="81"/>
    </row>
    <row r="69" spans="1:15">
      <c r="A69" s="82" t="s">
        <v>553</v>
      </c>
      <c r="B69" s="82" t="s">
        <v>554</v>
      </c>
      <c r="C69" s="82" t="s">
        <v>306</v>
      </c>
      <c r="D69" s="82" t="s">
        <v>206</v>
      </c>
      <c r="E69" s="82" t="s">
        <v>548</v>
      </c>
      <c r="F69" s="83">
        <v>290</v>
      </c>
      <c r="G69" s="83">
        <v>9</v>
      </c>
      <c r="H69" s="83">
        <v>48</v>
      </c>
      <c r="I69" s="83">
        <v>7</v>
      </c>
      <c r="J69" s="83">
        <v>1.5</v>
      </c>
      <c r="K69" s="83">
        <v>6</v>
      </c>
      <c r="L69" s="83">
        <v>3</v>
      </c>
      <c r="M69" s="83">
        <v>560</v>
      </c>
      <c r="N69" s="83">
        <v>5</v>
      </c>
      <c r="O69" s="81"/>
    </row>
    <row r="70" spans="1:15">
      <c r="A70" s="82" t="s">
        <v>337</v>
      </c>
      <c r="B70" s="82" t="s">
        <v>338</v>
      </c>
      <c r="C70" s="82" t="s">
        <v>339</v>
      </c>
      <c r="D70" s="82" t="s">
        <v>206</v>
      </c>
      <c r="E70" s="82" t="s">
        <v>548</v>
      </c>
      <c r="F70" s="83">
        <v>109</v>
      </c>
      <c r="G70" s="83">
        <v>24</v>
      </c>
      <c r="H70" s="83">
        <v>0</v>
      </c>
      <c r="I70" s="83">
        <v>1</v>
      </c>
      <c r="J70" s="83">
        <v>0.3</v>
      </c>
      <c r="K70" s="83">
        <v>0</v>
      </c>
      <c r="L70" s="83">
        <v>0</v>
      </c>
      <c r="M70" s="83">
        <v>50</v>
      </c>
      <c r="N70" s="83">
        <v>2</v>
      </c>
      <c r="O70" s="81"/>
    </row>
    <row r="71" spans="1:15">
      <c r="A71" s="82" t="s">
        <v>340</v>
      </c>
      <c r="B71" s="82" t="s">
        <v>341</v>
      </c>
      <c r="C71" s="82" t="s">
        <v>339</v>
      </c>
      <c r="D71" s="82" t="s">
        <v>206</v>
      </c>
      <c r="E71" s="82" t="s">
        <v>548</v>
      </c>
      <c r="F71" s="83">
        <v>116</v>
      </c>
      <c r="G71" s="83">
        <v>26</v>
      </c>
      <c r="H71" s="83">
        <v>0</v>
      </c>
      <c r="I71" s="83">
        <v>1</v>
      </c>
      <c r="J71" s="83">
        <v>0.3</v>
      </c>
      <c r="K71" s="83">
        <v>0</v>
      </c>
      <c r="L71" s="83">
        <v>0</v>
      </c>
      <c r="M71" s="83">
        <v>300</v>
      </c>
      <c r="N71" s="83">
        <v>5</v>
      </c>
      <c r="O71" s="81"/>
    </row>
    <row r="72" spans="1:15">
      <c r="A72" s="82" t="s">
        <v>555</v>
      </c>
      <c r="B72" s="82" t="s">
        <v>556</v>
      </c>
      <c r="C72" s="82" t="s">
        <v>339</v>
      </c>
      <c r="D72" s="82" t="s">
        <v>206</v>
      </c>
      <c r="E72" s="82" t="s">
        <v>548</v>
      </c>
      <c r="F72" s="83">
        <v>198</v>
      </c>
      <c r="G72" s="83">
        <v>24</v>
      </c>
      <c r="H72" s="83">
        <v>0</v>
      </c>
      <c r="I72" s="83">
        <v>11</v>
      </c>
      <c r="J72" s="83">
        <v>1.8</v>
      </c>
      <c r="K72" s="83">
        <v>0</v>
      </c>
      <c r="L72" s="83">
        <v>0</v>
      </c>
      <c r="M72" s="83">
        <v>320</v>
      </c>
      <c r="N72" s="83">
        <v>6</v>
      </c>
      <c r="O72" s="81"/>
    </row>
    <row r="73" spans="1:15">
      <c r="A73" s="82" t="s">
        <v>342</v>
      </c>
      <c r="B73" s="82" t="s">
        <v>343</v>
      </c>
      <c r="C73" s="82" t="s">
        <v>339</v>
      </c>
      <c r="D73" s="82" t="s">
        <v>206</v>
      </c>
      <c r="E73" s="82" t="s">
        <v>548</v>
      </c>
      <c r="F73" s="83">
        <v>82</v>
      </c>
      <c r="G73" s="83">
        <v>18</v>
      </c>
      <c r="H73" s="83">
        <v>0</v>
      </c>
      <c r="I73" s="83">
        <v>0.7</v>
      </c>
      <c r="J73" s="83">
        <v>0.1</v>
      </c>
      <c r="K73" s="83">
        <v>0</v>
      </c>
      <c r="L73" s="83">
        <v>0</v>
      </c>
      <c r="M73" s="83">
        <v>54</v>
      </c>
      <c r="N73" s="83">
        <v>1</v>
      </c>
      <c r="O73" s="81"/>
    </row>
    <row r="74" spans="1:15">
      <c r="A74" s="82" t="s">
        <v>344</v>
      </c>
      <c r="B74" s="82" t="s">
        <v>345</v>
      </c>
      <c r="C74" s="82" t="s">
        <v>339</v>
      </c>
      <c r="D74" s="82" t="s">
        <v>206</v>
      </c>
      <c r="E74" s="82" t="s">
        <v>548</v>
      </c>
      <c r="F74" s="83">
        <v>140</v>
      </c>
      <c r="G74" s="83">
        <v>24</v>
      </c>
      <c r="H74" s="83">
        <v>0</v>
      </c>
      <c r="I74" s="83">
        <v>5</v>
      </c>
      <c r="J74" s="83">
        <v>1.3</v>
      </c>
      <c r="K74" s="83">
        <v>0</v>
      </c>
      <c r="L74" s="83">
        <v>0</v>
      </c>
      <c r="M74" s="83">
        <v>60</v>
      </c>
      <c r="N74" s="83">
        <v>1</v>
      </c>
      <c r="O74" s="81"/>
    </row>
    <row r="75" spans="1:15">
      <c r="A75" s="82" t="s">
        <v>346</v>
      </c>
      <c r="B75" s="82" t="s">
        <v>347</v>
      </c>
      <c r="C75" s="82" t="s">
        <v>339</v>
      </c>
      <c r="D75" s="82" t="s">
        <v>206</v>
      </c>
      <c r="E75" s="82" t="s">
        <v>548</v>
      </c>
      <c r="F75" s="83">
        <v>92</v>
      </c>
      <c r="G75" s="83">
        <v>15.6</v>
      </c>
      <c r="H75" s="83">
        <v>3.1</v>
      </c>
      <c r="I75" s="83">
        <v>1.4</v>
      </c>
      <c r="J75" s="83">
        <v>0.4</v>
      </c>
      <c r="K75" s="83">
        <v>0</v>
      </c>
      <c r="L75" s="83">
        <v>0</v>
      </c>
      <c r="M75" s="83">
        <v>44</v>
      </c>
      <c r="N75" s="83">
        <v>1</v>
      </c>
      <c r="O75" s="81"/>
    </row>
    <row r="76" spans="1:15">
      <c r="A76" s="82" t="s">
        <v>348</v>
      </c>
      <c r="B76" s="82" t="s">
        <v>349</v>
      </c>
      <c r="C76" s="82" t="s">
        <v>339</v>
      </c>
      <c r="D76" s="82" t="s">
        <v>206</v>
      </c>
      <c r="E76" s="82" t="s">
        <v>548</v>
      </c>
      <c r="F76" s="83">
        <v>136</v>
      </c>
      <c r="G76" s="83">
        <v>21</v>
      </c>
      <c r="H76" s="83">
        <v>0</v>
      </c>
      <c r="I76" s="83">
        <v>5.5</v>
      </c>
      <c r="J76" s="83">
        <v>1.5</v>
      </c>
      <c r="K76" s="83">
        <v>0</v>
      </c>
      <c r="L76" s="83">
        <v>0</v>
      </c>
      <c r="M76" s="83">
        <v>45</v>
      </c>
      <c r="N76" s="83">
        <v>1</v>
      </c>
      <c r="O76" s="81"/>
    </row>
    <row r="77" spans="1:15">
      <c r="A77" s="82" t="s">
        <v>350</v>
      </c>
      <c r="B77" s="82" t="s">
        <v>351</v>
      </c>
      <c r="C77" s="82" t="s">
        <v>339</v>
      </c>
      <c r="D77" s="82" t="s">
        <v>206</v>
      </c>
      <c r="E77" s="82" t="s">
        <v>548</v>
      </c>
      <c r="F77" s="83">
        <v>250</v>
      </c>
      <c r="G77" s="83">
        <v>25</v>
      </c>
      <c r="H77" s="83">
        <v>0</v>
      </c>
      <c r="I77" s="83">
        <v>20</v>
      </c>
      <c r="J77" s="83">
        <v>9</v>
      </c>
      <c r="K77" s="83">
        <v>0</v>
      </c>
      <c r="L77" s="83">
        <v>0</v>
      </c>
      <c r="M77" s="83">
        <v>70</v>
      </c>
      <c r="N77" s="83">
        <v>2</v>
      </c>
      <c r="O77" s="81"/>
    </row>
    <row r="78" spans="1:15">
      <c r="A78" s="82" t="s">
        <v>352</v>
      </c>
      <c r="B78" s="82" t="s">
        <v>353</v>
      </c>
      <c r="C78" s="82" t="s">
        <v>339</v>
      </c>
      <c r="D78" s="82" t="s">
        <v>206</v>
      </c>
      <c r="E78" s="82" t="s">
        <v>548</v>
      </c>
      <c r="F78" s="83">
        <v>140</v>
      </c>
      <c r="G78" s="83">
        <v>26</v>
      </c>
      <c r="H78" s="83">
        <v>0</v>
      </c>
      <c r="I78" s="83">
        <v>4</v>
      </c>
      <c r="J78" s="83">
        <v>1.5</v>
      </c>
      <c r="K78" s="83">
        <v>0</v>
      </c>
      <c r="L78" s="83">
        <v>0</v>
      </c>
      <c r="M78" s="83">
        <v>70</v>
      </c>
      <c r="N78" s="83">
        <v>2</v>
      </c>
      <c r="O78" s="81"/>
    </row>
    <row r="79" spans="1:15">
      <c r="A79" s="82" t="s">
        <v>354</v>
      </c>
      <c r="B79" s="82" t="s">
        <v>355</v>
      </c>
      <c r="C79" s="82" t="s">
        <v>339</v>
      </c>
      <c r="D79" s="82" t="s">
        <v>206</v>
      </c>
      <c r="E79" s="82" t="s">
        <v>548</v>
      </c>
      <c r="F79" s="83">
        <v>52</v>
      </c>
      <c r="G79" s="83">
        <v>11</v>
      </c>
      <c r="H79" s="83">
        <v>1</v>
      </c>
      <c r="I79" s="83">
        <v>0.2</v>
      </c>
      <c r="J79" s="83">
        <v>0</v>
      </c>
      <c r="K79" s="83">
        <v>0</v>
      </c>
      <c r="L79" s="83">
        <v>1</v>
      </c>
      <c r="M79" s="83">
        <v>166</v>
      </c>
      <c r="N79" s="83">
        <v>3</v>
      </c>
      <c r="O79" s="81"/>
    </row>
    <row r="80" spans="1:15">
      <c r="A80" s="82" t="s">
        <v>356</v>
      </c>
      <c r="B80" s="82" t="s">
        <v>357</v>
      </c>
      <c r="C80" s="82" t="s">
        <v>339</v>
      </c>
      <c r="D80" s="82" t="s">
        <v>206</v>
      </c>
      <c r="E80" s="82" t="s">
        <v>548</v>
      </c>
      <c r="F80" s="83">
        <v>99</v>
      </c>
      <c r="G80" s="83">
        <v>24</v>
      </c>
      <c r="H80" s="83">
        <v>0.2</v>
      </c>
      <c r="I80" s="83">
        <v>0.3</v>
      </c>
      <c r="J80" s="83">
        <v>0.1</v>
      </c>
      <c r="K80" s="83">
        <v>0</v>
      </c>
      <c r="L80" s="83">
        <v>0</v>
      </c>
      <c r="M80" s="83">
        <v>150</v>
      </c>
      <c r="N80" s="83">
        <v>1</v>
      </c>
      <c r="O80" s="81"/>
    </row>
    <row r="81" spans="1:15">
      <c r="A81" s="82" t="s">
        <v>358</v>
      </c>
      <c r="B81" s="82" t="s">
        <v>359</v>
      </c>
      <c r="C81" s="82" t="s">
        <v>339</v>
      </c>
      <c r="D81" s="82" t="s">
        <v>206</v>
      </c>
      <c r="E81" s="82" t="s">
        <v>548</v>
      </c>
      <c r="F81" s="83">
        <v>170</v>
      </c>
      <c r="G81" s="83">
        <v>20</v>
      </c>
      <c r="H81" s="83">
        <v>2</v>
      </c>
      <c r="I81" s="83">
        <v>10</v>
      </c>
      <c r="J81" s="83">
        <v>4</v>
      </c>
      <c r="K81" s="83">
        <v>0</v>
      </c>
      <c r="L81" s="83">
        <v>0.5</v>
      </c>
      <c r="M81" s="83">
        <v>450</v>
      </c>
      <c r="N81" s="83">
        <v>6</v>
      </c>
      <c r="O81" s="81"/>
    </row>
    <row r="82" spans="1:15">
      <c r="A82" s="82" t="s">
        <v>360</v>
      </c>
      <c r="B82" s="82" t="s">
        <v>361</v>
      </c>
      <c r="C82" s="82" t="s">
        <v>339</v>
      </c>
      <c r="D82" s="82" t="s">
        <v>362</v>
      </c>
      <c r="E82" s="82" t="s">
        <v>89</v>
      </c>
      <c r="F82" s="83">
        <v>78</v>
      </c>
      <c r="G82" s="83">
        <v>6.5</v>
      </c>
      <c r="H82" s="83">
        <v>0.6</v>
      </c>
      <c r="I82" s="83">
        <v>5.3</v>
      </c>
      <c r="J82" s="83">
        <v>1.6</v>
      </c>
      <c r="K82" s="83">
        <v>0</v>
      </c>
      <c r="L82" s="83">
        <v>0.6</v>
      </c>
      <c r="M82" s="83">
        <v>62</v>
      </c>
      <c r="N82" s="83">
        <v>1</v>
      </c>
      <c r="O82" s="81"/>
    </row>
    <row r="83" spans="1:15">
      <c r="A83" s="82" t="s">
        <v>363</v>
      </c>
      <c r="B83" s="82" t="s">
        <v>364</v>
      </c>
      <c r="C83" s="82" t="s">
        <v>339</v>
      </c>
      <c r="D83" s="82" t="s">
        <v>206</v>
      </c>
      <c r="E83" s="82" t="s">
        <v>548</v>
      </c>
      <c r="F83" s="83">
        <v>143</v>
      </c>
      <c r="G83" s="83">
        <v>22</v>
      </c>
      <c r="H83" s="83">
        <v>0</v>
      </c>
      <c r="I83" s="83">
        <v>5.9</v>
      </c>
      <c r="J83" s="83">
        <v>2</v>
      </c>
      <c r="K83" s="83">
        <v>0</v>
      </c>
      <c r="L83" s="83">
        <v>0</v>
      </c>
      <c r="M83" s="83">
        <v>62</v>
      </c>
      <c r="N83" s="83">
        <v>2</v>
      </c>
      <c r="O83" s="81"/>
    </row>
    <row r="84" spans="1:15">
      <c r="A84" s="82" t="s">
        <v>365</v>
      </c>
      <c r="B84" s="82" t="s">
        <v>366</v>
      </c>
      <c r="C84" s="82" t="s">
        <v>339</v>
      </c>
      <c r="D84" s="82" t="s">
        <v>206</v>
      </c>
      <c r="E84" s="82" t="s">
        <v>548</v>
      </c>
      <c r="F84" s="83">
        <v>172</v>
      </c>
      <c r="G84" s="83">
        <v>24</v>
      </c>
      <c r="H84" s="83">
        <v>7.4</v>
      </c>
      <c r="I84" s="83">
        <v>4.5</v>
      </c>
      <c r="J84" s="83">
        <v>1.2</v>
      </c>
      <c r="K84" s="83">
        <v>0</v>
      </c>
      <c r="L84" s="83">
        <v>0</v>
      </c>
      <c r="M84" s="83">
        <v>286</v>
      </c>
      <c r="N84" s="83">
        <v>1</v>
      </c>
      <c r="O84" s="81"/>
    </row>
    <row r="85" spans="1:15">
      <c r="A85" s="82" t="s">
        <v>367</v>
      </c>
      <c r="B85" s="82" t="s">
        <v>368</v>
      </c>
      <c r="C85" s="82" t="s">
        <v>339</v>
      </c>
      <c r="D85" s="82" t="s">
        <v>206</v>
      </c>
      <c r="E85" s="82" t="s">
        <v>548</v>
      </c>
      <c r="F85" s="83">
        <v>73</v>
      </c>
      <c r="G85" s="83">
        <v>16</v>
      </c>
      <c r="H85" s="83">
        <v>0</v>
      </c>
      <c r="I85" s="83">
        <v>1</v>
      </c>
      <c r="J85" s="83">
        <v>0.2</v>
      </c>
      <c r="K85" s="83">
        <v>0</v>
      </c>
      <c r="L85" s="83">
        <v>0</v>
      </c>
      <c r="M85" s="83">
        <v>60</v>
      </c>
      <c r="N85" s="83">
        <v>1</v>
      </c>
      <c r="O85" s="81"/>
    </row>
    <row r="86" spans="1:15">
      <c r="A86" s="82" t="s">
        <v>369</v>
      </c>
      <c r="B86" s="82" t="s">
        <v>370</v>
      </c>
      <c r="C86" s="82" t="s">
        <v>339</v>
      </c>
      <c r="D86" s="82" t="s">
        <v>206</v>
      </c>
      <c r="E86" s="82" t="s">
        <v>548</v>
      </c>
      <c r="F86" s="83">
        <v>110</v>
      </c>
      <c r="G86" s="83">
        <v>24</v>
      </c>
      <c r="H86" s="83">
        <v>0</v>
      </c>
      <c r="I86" s="83">
        <v>1</v>
      </c>
      <c r="J86" s="83">
        <v>0.3</v>
      </c>
      <c r="K86" s="83">
        <v>0</v>
      </c>
      <c r="L86" s="83">
        <v>0</v>
      </c>
      <c r="M86" s="83">
        <v>70</v>
      </c>
      <c r="N86" s="83">
        <v>1</v>
      </c>
      <c r="O86" s="81"/>
    </row>
    <row r="87" spans="1:15">
      <c r="A87" s="82" t="s">
        <v>371</v>
      </c>
      <c r="B87" s="82" t="s">
        <v>372</v>
      </c>
      <c r="C87" s="82" t="s">
        <v>339</v>
      </c>
      <c r="D87" s="82" t="s">
        <v>206</v>
      </c>
      <c r="E87" s="82" t="s">
        <v>548</v>
      </c>
      <c r="F87" s="83">
        <v>165</v>
      </c>
      <c r="G87" s="83">
        <v>31</v>
      </c>
      <c r="H87" s="83">
        <v>0</v>
      </c>
      <c r="I87" s="83">
        <v>2</v>
      </c>
      <c r="J87" s="83">
        <v>1</v>
      </c>
      <c r="K87" s="83">
        <v>0</v>
      </c>
      <c r="L87" s="83">
        <v>0</v>
      </c>
      <c r="M87" s="83">
        <v>74</v>
      </c>
      <c r="N87" s="83">
        <v>1</v>
      </c>
      <c r="O87" s="81"/>
    </row>
    <row r="88" spans="1:15">
      <c r="A88" s="82" t="s">
        <v>373</v>
      </c>
      <c r="B88" s="82" t="s">
        <v>374</v>
      </c>
      <c r="C88" s="82" t="s">
        <v>339</v>
      </c>
      <c r="D88" s="82" t="s">
        <v>206</v>
      </c>
      <c r="E88" s="82" t="s">
        <v>548</v>
      </c>
      <c r="F88" s="83">
        <v>135</v>
      </c>
      <c r="G88" s="83">
        <v>29</v>
      </c>
      <c r="H88" s="83">
        <v>0</v>
      </c>
      <c r="I88" s="83">
        <v>1.6</v>
      </c>
      <c r="J88" s="83">
        <v>0.4</v>
      </c>
      <c r="K88" s="83">
        <v>0</v>
      </c>
      <c r="L88" s="83">
        <v>0</v>
      </c>
      <c r="M88" s="83">
        <v>80</v>
      </c>
      <c r="N88" s="83">
        <v>2</v>
      </c>
      <c r="O88" s="81"/>
    </row>
    <row r="89" spans="1:15">
      <c r="A89" s="82" t="s">
        <v>375</v>
      </c>
      <c r="B89" s="82" t="s">
        <v>376</v>
      </c>
      <c r="C89" s="82" t="s">
        <v>339</v>
      </c>
      <c r="D89" s="82" t="s">
        <v>206</v>
      </c>
      <c r="E89" s="82" t="s">
        <v>548</v>
      </c>
      <c r="F89" s="83">
        <v>200</v>
      </c>
      <c r="G89" s="83">
        <v>20</v>
      </c>
      <c r="H89" s="83">
        <v>0</v>
      </c>
      <c r="I89" s="83">
        <v>13</v>
      </c>
      <c r="J89" s="83">
        <v>3</v>
      </c>
      <c r="K89" s="83">
        <v>0</v>
      </c>
      <c r="L89" s="83">
        <v>0</v>
      </c>
      <c r="M89" s="83">
        <v>70</v>
      </c>
      <c r="N89" s="83">
        <v>1</v>
      </c>
      <c r="O89" s="81"/>
    </row>
    <row r="90" spans="1:15">
      <c r="A90" s="82" t="s">
        <v>377</v>
      </c>
      <c r="B90" s="82" t="s">
        <v>378</v>
      </c>
      <c r="C90" s="82" t="s">
        <v>339</v>
      </c>
      <c r="D90" s="82" t="s">
        <v>206</v>
      </c>
      <c r="E90" s="82" t="s">
        <v>548</v>
      </c>
      <c r="F90" s="83">
        <v>90</v>
      </c>
      <c r="G90" s="83">
        <v>20</v>
      </c>
      <c r="H90" s="83">
        <v>0</v>
      </c>
      <c r="I90" s="83">
        <v>1</v>
      </c>
      <c r="J90" s="83">
        <v>0.2</v>
      </c>
      <c r="K90" s="83">
        <v>0</v>
      </c>
      <c r="L90" s="83">
        <v>0</v>
      </c>
      <c r="M90" s="83">
        <v>70</v>
      </c>
      <c r="N90" s="83">
        <v>1</v>
      </c>
      <c r="O90" s="81"/>
    </row>
    <row r="91" spans="1:15">
      <c r="A91" s="82" t="s">
        <v>379</v>
      </c>
      <c r="B91" s="82" t="s">
        <v>380</v>
      </c>
      <c r="C91" s="82" t="s">
        <v>339</v>
      </c>
      <c r="D91" s="82" t="s">
        <v>206</v>
      </c>
      <c r="E91" s="82" t="s">
        <v>548</v>
      </c>
      <c r="F91" s="83">
        <v>165</v>
      </c>
      <c r="G91" s="83">
        <v>31</v>
      </c>
      <c r="H91" s="83">
        <v>0</v>
      </c>
      <c r="I91" s="83">
        <v>3.6</v>
      </c>
      <c r="J91" s="83">
        <v>1</v>
      </c>
      <c r="K91" s="83">
        <v>0</v>
      </c>
      <c r="L91" s="83">
        <v>0</v>
      </c>
      <c r="M91" s="83">
        <v>74</v>
      </c>
      <c r="N91" s="83">
        <v>1</v>
      </c>
      <c r="O91" s="81"/>
    </row>
    <row r="92" spans="1:15">
      <c r="A92" s="82" t="s">
        <v>381</v>
      </c>
      <c r="B92" s="82" t="s">
        <v>382</v>
      </c>
      <c r="C92" s="82" t="s">
        <v>339</v>
      </c>
      <c r="D92" s="82" t="s">
        <v>206</v>
      </c>
      <c r="E92" s="82" t="s">
        <v>548</v>
      </c>
      <c r="F92" s="83">
        <v>82</v>
      </c>
      <c r="G92" s="83">
        <v>15</v>
      </c>
      <c r="H92" s="83">
        <v>2</v>
      </c>
      <c r="I92" s="83">
        <v>1</v>
      </c>
      <c r="J92" s="83">
        <v>0.2</v>
      </c>
      <c r="K92" s="83">
        <v>0</v>
      </c>
      <c r="L92" s="83">
        <v>0</v>
      </c>
      <c r="M92" s="83">
        <v>230</v>
      </c>
      <c r="N92" s="83">
        <v>1</v>
      </c>
      <c r="O92" s="81"/>
    </row>
    <row r="93" spans="1:15">
      <c r="A93" s="82" t="s">
        <v>383</v>
      </c>
      <c r="B93" s="82" t="s">
        <v>384</v>
      </c>
      <c r="C93" s="82" t="s">
        <v>339</v>
      </c>
      <c r="D93" s="82" t="s">
        <v>206</v>
      </c>
      <c r="E93" s="82" t="s">
        <v>548</v>
      </c>
      <c r="F93" s="83">
        <v>208</v>
      </c>
      <c r="G93" s="83">
        <v>20</v>
      </c>
      <c r="H93" s="83">
        <v>0</v>
      </c>
      <c r="I93" s="83">
        <v>13</v>
      </c>
      <c r="J93" s="83">
        <v>3.1</v>
      </c>
      <c r="K93" s="83">
        <v>0</v>
      </c>
      <c r="L93" s="83">
        <v>0</v>
      </c>
      <c r="M93" s="83">
        <v>59</v>
      </c>
      <c r="N93" s="83">
        <v>1</v>
      </c>
      <c r="O93" s="81"/>
    </row>
    <row r="94" spans="1:15">
      <c r="A94" s="82" t="s">
        <v>385</v>
      </c>
      <c r="B94" s="82" t="s">
        <v>386</v>
      </c>
      <c r="C94" s="82" t="s">
        <v>339</v>
      </c>
      <c r="D94" s="82" t="s">
        <v>206</v>
      </c>
      <c r="E94" s="82" t="s">
        <v>548</v>
      </c>
      <c r="F94" s="83">
        <v>208</v>
      </c>
      <c r="G94" s="83">
        <v>25</v>
      </c>
      <c r="H94" s="83">
        <v>0</v>
      </c>
      <c r="I94" s="83">
        <v>11</v>
      </c>
      <c r="J94" s="83">
        <v>2</v>
      </c>
      <c r="K94" s="83">
        <v>0</v>
      </c>
      <c r="L94" s="83">
        <v>0</v>
      </c>
      <c r="M94" s="83">
        <v>120</v>
      </c>
      <c r="N94" s="83">
        <v>2</v>
      </c>
      <c r="O94" s="81"/>
    </row>
    <row r="95" spans="1:15">
      <c r="A95" s="82" t="s">
        <v>387</v>
      </c>
      <c r="B95" s="82" t="s">
        <v>388</v>
      </c>
      <c r="C95" s="82" t="s">
        <v>339</v>
      </c>
      <c r="D95" s="82" t="s">
        <v>206</v>
      </c>
      <c r="E95" s="82" t="s">
        <v>548</v>
      </c>
      <c r="F95" s="83">
        <v>193</v>
      </c>
      <c r="G95" s="83">
        <v>20</v>
      </c>
      <c r="H95" s="83">
        <v>9</v>
      </c>
      <c r="I95" s="83">
        <v>11</v>
      </c>
      <c r="J95" s="83">
        <v>2.2000000000000002</v>
      </c>
      <c r="K95" s="83">
        <v>1.4</v>
      </c>
      <c r="L95" s="83">
        <v>0.5</v>
      </c>
      <c r="M95" s="83">
        <v>9</v>
      </c>
      <c r="N95" s="83">
        <v>3</v>
      </c>
      <c r="O95" s="81"/>
    </row>
    <row r="96" spans="1:15">
      <c r="A96" s="82" t="s">
        <v>389</v>
      </c>
      <c r="B96" s="82" t="s">
        <v>390</v>
      </c>
      <c r="C96" s="82" t="s">
        <v>339</v>
      </c>
      <c r="D96" s="82" t="s">
        <v>206</v>
      </c>
      <c r="E96" s="82" t="s">
        <v>548</v>
      </c>
      <c r="F96" s="83">
        <v>170</v>
      </c>
      <c r="G96" s="83">
        <v>26</v>
      </c>
      <c r="H96" s="83">
        <v>0</v>
      </c>
      <c r="I96" s="83">
        <v>7</v>
      </c>
      <c r="J96" s="83">
        <v>3</v>
      </c>
      <c r="K96" s="83">
        <v>0</v>
      </c>
      <c r="L96" s="83">
        <v>0</v>
      </c>
      <c r="M96" s="83">
        <v>72</v>
      </c>
      <c r="N96" s="83">
        <v>2</v>
      </c>
      <c r="O96" s="81"/>
    </row>
    <row r="97" spans="1:15">
      <c r="A97" s="82" t="s">
        <v>391</v>
      </c>
      <c r="B97" s="82" t="s">
        <v>392</v>
      </c>
      <c r="C97" s="82" t="s">
        <v>339</v>
      </c>
      <c r="D97" s="82" t="s">
        <v>206</v>
      </c>
      <c r="E97" s="82" t="s">
        <v>548</v>
      </c>
      <c r="F97" s="83">
        <v>76</v>
      </c>
      <c r="G97" s="83">
        <v>8</v>
      </c>
      <c r="H97" s="83">
        <v>1.9</v>
      </c>
      <c r="I97" s="83">
        <v>4.8</v>
      </c>
      <c r="J97" s="83">
        <v>0.7</v>
      </c>
      <c r="K97" s="83">
        <v>0.3</v>
      </c>
      <c r="L97" s="83">
        <v>0.3</v>
      </c>
      <c r="M97" s="83">
        <v>7</v>
      </c>
      <c r="N97" s="83">
        <v>2</v>
      </c>
      <c r="O97" s="81"/>
    </row>
    <row r="98" spans="1:15">
      <c r="A98" s="82" t="s">
        <v>393</v>
      </c>
      <c r="B98" s="82" t="s">
        <v>394</v>
      </c>
      <c r="C98" s="82" t="s">
        <v>395</v>
      </c>
      <c r="D98" s="82" t="s">
        <v>206</v>
      </c>
      <c r="E98" s="82" t="s">
        <v>548</v>
      </c>
      <c r="F98" s="83">
        <v>60</v>
      </c>
      <c r="G98" s="83">
        <v>3.5</v>
      </c>
      <c r="H98" s="83">
        <v>4.8</v>
      </c>
      <c r="I98" s="83">
        <v>3.3</v>
      </c>
      <c r="J98" s="83">
        <v>2.1</v>
      </c>
      <c r="K98" s="83">
        <v>0</v>
      </c>
      <c r="L98" s="83">
        <v>4.8</v>
      </c>
      <c r="M98" s="83">
        <v>40</v>
      </c>
      <c r="N98" s="83">
        <v>4</v>
      </c>
      <c r="O98" s="81"/>
    </row>
    <row r="99" spans="1:15">
      <c r="A99" s="82" t="s">
        <v>557</v>
      </c>
      <c r="B99" s="82" t="s">
        <v>558</v>
      </c>
      <c r="C99" s="82" t="s">
        <v>395</v>
      </c>
      <c r="D99" s="82" t="s">
        <v>206</v>
      </c>
      <c r="E99" s="82" t="s">
        <v>548</v>
      </c>
      <c r="F99" s="83">
        <v>61</v>
      </c>
      <c r="G99" s="83">
        <v>3.3</v>
      </c>
      <c r="H99" s="83">
        <v>4.8</v>
      </c>
      <c r="I99" s="83">
        <v>3.3</v>
      </c>
      <c r="J99" s="83">
        <v>2.1</v>
      </c>
      <c r="K99" s="83">
        <v>0</v>
      </c>
      <c r="L99" s="83">
        <v>4.8</v>
      </c>
      <c r="M99" s="83">
        <v>43</v>
      </c>
      <c r="N99" s="83">
        <v>2</v>
      </c>
      <c r="O99" s="81"/>
    </row>
    <row r="100" spans="1:15">
      <c r="A100" s="82" t="s">
        <v>559</v>
      </c>
      <c r="B100" s="82" t="s">
        <v>560</v>
      </c>
      <c r="C100" s="82" t="s">
        <v>395</v>
      </c>
      <c r="D100" s="82" t="s">
        <v>206</v>
      </c>
      <c r="E100" s="82" t="s">
        <v>548</v>
      </c>
      <c r="F100" s="83">
        <v>46</v>
      </c>
      <c r="G100" s="83">
        <v>3.3</v>
      </c>
      <c r="H100" s="83">
        <v>4.9000000000000004</v>
      </c>
      <c r="I100" s="83">
        <v>1.6</v>
      </c>
      <c r="J100" s="83">
        <v>1</v>
      </c>
      <c r="K100" s="83">
        <v>0</v>
      </c>
      <c r="L100" s="83">
        <v>4.9000000000000004</v>
      </c>
      <c r="M100" s="83">
        <v>44</v>
      </c>
      <c r="N100" s="83">
        <v>2</v>
      </c>
      <c r="O100" s="81"/>
    </row>
    <row r="101" spans="1:15">
      <c r="A101" s="82" t="s">
        <v>561</v>
      </c>
      <c r="B101" s="82" t="s">
        <v>562</v>
      </c>
      <c r="C101" s="82" t="s">
        <v>395</v>
      </c>
      <c r="D101" s="82" t="s">
        <v>206</v>
      </c>
      <c r="E101" s="82" t="s">
        <v>548</v>
      </c>
      <c r="F101" s="83">
        <v>35</v>
      </c>
      <c r="G101" s="83">
        <v>3.4</v>
      </c>
      <c r="H101" s="83">
        <v>5</v>
      </c>
      <c r="I101" s="83">
        <v>0.2</v>
      </c>
      <c r="J101" s="83">
        <v>0.1</v>
      </c>
      <c r="K101" s="83">
        <v>0</v>
      </c>
      <c r="L101" s="83">
        <v>5</v>
      </c>
      <c r="M101" s="83">
        <v>45</v>
      </c>
      <c r="N101" s="83">
        <v>2</v>
      </c>
      <c r="O101" s="81"/>
    </row>
    <row r="102" spans="1:15">
      <c r="A102" s="82" t="s">
        <v>396</v>
      </c>
      <c r="B102" s="82" t="s">
        <v>397</v>
      </c>
      <c r="C102" s="82" t="s">
        <v>395</v>
      </c>
      <c r="D102" s="82" t="s">
        <v>206</v>
      </c>
      <c r="E102" s="82" t="s">
        <v>548</v>
      </c>
      <c r="F102" s="83">
        <v>280</v>
      </c>
      <c r="G102" s="83">
        <v>28</v>
      </c>
      <c r="H102" s="83">
        <v>3</v>
      </c>
      <c r="I102" s="83">
        <v>17</v>
      </c>
      <c r="J102" s="83">
        <v>10</v>
      </c>
      <c r="K102" s="83">
        <v>0</v>
      </c>
      <c r="L102" s="83">
        <v>1</v>
      </c>
      <c r="M102" s="83">
        <v>620</v>
      </c>
      <c r="N102" s="83">
        <v>6</v>
      </c>
      <c r="O102" s="81"/>
    </row>
    <row r="103" spans="1:15">
      <c r="A103" s="82" t="s">
        <v>398</v>
      </c>
      <c r="B103" s="82" t="s">
        <v>399</v>
      </c>
      <c r="C103" s="82" t="s">
        <v>395</v>
      </c>
      <c r="D103" s="82" t="s">
        <v>206</v>
      </c>
      <c r="E103" s="82" t="s">
        <v>548</v>
      </c>
      <c r="F103" s="83">
        <v>380</v>
      </c>
      <c r="G103" s="83">
        <v>29</v>
      </c>
      <c r="H103" s="83">
        <v>4</v>
      </c>
      <c r="I103" s="83">
        <v>29</v>
      </c>
      <c r="J103" s="83">
        <v>18</v>
      </c>
      <c r="K103" s="83">
        <v>0</v>
      </c>
      <c r="L103" s="83">
        <v>0.5</v>
      </c>
      <c r="M103" s="83">
        <v>300</v>
      </c>
      <c r="N103" s="83">
        <v>6</v>
      </c>
      <c r="O103" s="81"/>
    </row>
    <row r="104" spans="1:15">
      <c r="A104" s="82" t="s">
        <v>400</v>
      </c>
      <c r="B104" s="82" t="s">
        <v>401</v>
      </c>
      <c r="C104" s="82" t="s">
        <v>395</v>
      </c>
      <c r="D104" s="82" t="s">
        <v>206</v>
      </c>
      <c r="E104" s="82" t="s">
        <v>548</v>
      </c>
      <c r="F104" s="83">
        <v>98</v>
      </c>
      <c r="G104" s="83">
        <v>11</v>
      </c>
      <c r="H104" s="83">
        <v>3</v>
      </c>
      <c r="I104" s="83">
        <v>4</v>
      </c>
      <c r="J104" s="83">
        <v>2.5</v>
      </c>
      <c r="K104" s="83">
        <v>0</v>
      </c>
      <c r="L104" s="83">
        <v>3</v>
      </c>
      <c r="M104" s="83">
        <v>400</v>
      </c>
      <c r="N104" s="83">
        <v>4</v>
      </c>
      <c r="O104" s="81"/>
    </row>
    <row r="105" spans="1:15">
      <c r="A105" s="82" t="s">
        <v>563</v>
      </c>
      <c r="B105" s="82" t="s">
        <v>564</v>
      </c>
      <c r="C105" s="82" t="s">
        <v>395</v>
      </c>
      <c r="D105" s="82" t="s">
        <v>206</v>
      </c>
      <c r="E105" s="82" t="s">
        <v>548</v>
      </c>
      <c r="F105" s="83">
        <v>280</v>
      </c>
      <c r="G105" s="83">
        <v>16</v>
      </c>
      <c r="H105" s="83">
        <v>6</v>
      </c>
      <c r="I105" s="83">
        <v>22</v>
      </c>
      <c r="J105" s="83">
        <v>14</v>
      </c>
      <c r="K105" s="83">
        <v>0</v>
      </c>
      <c r="L105" s="83">
        <v>2</v>
      </c>
      <c r="M105" s="83">
        <v>950</v>
      </c>
      <c r="N105" s="83">
        <v>8</v>
      </c>
      <c r="O105" s="81"/>
    </row>
    <row r="106" spans="1:15">
      <c r="A106" s="82" t="s">
        <v>565</v>
      </c>
      <c r="B106" s="82" t="s">
        <v>566</v>
      </c>
      <c r="C106" s="82" t="s">
        <v>395</v>
      </c>
      <c r="D106" s="82" t="s">
        <v>206</v>
      </c>
      <c r="E106" s="82" t="s">
        <v>548</v>
      </c>
      <c r="F106" s="83">
        <v>190</v>
      </c>
      <c r="G106" s="83">
        <v>24</v>
      </c>
      <c r="H106" s="83">
        <v>6</v>
      </c>
      <c r="I106" s="83">
        <v>8</v>
      </c>
      <c r="J106" s="83">
        <v>5</v>
      </c>
      <c r="K106" s="83">
        <v>0</v>
      </c>
      <c r="L106" s="83">
        <v>2</v>
      </c>
      <c r="M106" s="83">
        <v>980</v>
      </c>
      <c r="N106" s="83">
        <v>8</v>
      </c>
      <c r="O106" s="81"/>
    </row>
    <row r="107" spans="1:15">
      <c r="A107" s="82" t="s">
        <v>402</v>
      </c>
      <c r="B107" s="82" t="s">
        <v>403</v>
      </c>
      <c r="C107" s="82" t="s">
        <v>395</v>
      </c>
      <c r="D107" s="82" t="s">
        <v>206</v>
      </c>
      <c r="E107" s="82" t="s">
        <v>548</v>
      </c>
      <c r="F107" s="83">
        <v>120</v>
      </c>
      <c r="G107" s="83">
        <v>10</v>
      </c>
      <c r="H107" s="83">
        <v>4</v>
      </c>
      <c r="I107" s="83">
        <v>8</v>
      </c>
      <c r="J107" s="83">
        <v>5</v>
      </c>
      <c r="K107" s="83">
        <v>0</v>
      </c>
      <c r="L107" s="83">
        <v>4</v>
      </c>
      <c r="M107" s="83">
        <v>40</v>
      </c>
      <c r="N107" s="83">
        <v>4</v>
      </c>
      <c r="O107" s="81"/>
    </row>
    <row r="108" spans="1:15">
      <c r="A108" s="82" t="s">
        <v>404</v>
      </c>
      <c r="B108" s="82" t="s">
        <v>405</v>
      </c>
      <c r="C108" s="82" t="s">
        <v>395</v>
      </c>
      <c r="D108" s="82" t="s">
        <v>206</v>
      </c>
      <c r="E108" s="82" t="s">
        <v>548</v>
      </c>
      <c r="F108" s="83">
        <v>60</v>
      </c>
      <c r="G108" s="83">
        <v>4</v>
      </c>
      <c r="H108" s="83">
        <v>5</v>
      </c>
      <c r="I108" s="83">
        <v>3</v>
      </c>
      <c r="J108" s="83">
        <v>2</v>
      </c>
      <c r="K108" s="83">
        <v>0</v>
      </c>
      <c r="L108" s="83">
        <v>5</v>
      </c>
      <c r="M108" s="83">
        <v>36</v>
      </c>
      <c r="N108" s="83">
        <v>3</v>
      </c>
      <c r="O108" s="81"/>
    </row>
    <row r="109" spans="1:15">
      <c r="A109" s="82" t="s">
        <v>406</v>
      </c>
      <c r="B109" s="82" t="s">
        <v>407</v>
      </c>
      <c r="C109" s="82" t="s">
        <v>408</v>
      </c>
      <c r="D109" s="82" t="s">
        <v>206</v>
      </c>
      <c r="E109" s="82" t="s">
        <v>548</v>
      </c>
      <c r="F109" s="83">
        <v>900</v>
      </c>
      <c r="G109" s="83">
        <v>0</v>
      </c>
      <c r="H109" s="83">
        <v>0</v>
      </c>
      <c r="I109" s="83">
        <v>100</v>
      </c>
      <c r="J109" s="83">
        <v>14</v>
      </c>
      <c r="K109" s="83">
        <v>0</v>
      </c>
      <c r="L109" s="83">
        <v>0</v>
      </c>
      <c r="M109" s="83">
        <v>0</v>
      </c>
      <c r="N109" s="83">
        <v>2</v>
      </c>
      <c r="O109" s="81"/>
    </row>
    <row r="110" spans="1:15">
      <c r="A110" s="82" t="s">
        <v>409</v>
      </c>
      <c r="B110" s="82" t="s">
        <v>410</v>
      </c>
      <c r="C110" s="82" t="s">
        <v>408</v>
      </c>
      <c r="D110" s="82" t="s">
        <v>206</v>
      </c>
      <c r="E110" s="82" t="s">
        <v>548</v>
      </c>
      <c r="F110" s="83">
        <v>145</v>
      </c>
      <c r="G110" s="83">
        <v>1</v>
      </c>
      <c r="H110" s="83">
        <v>3.8</v>
      </c>
      <c r="I110" s="83">
        <v>15.3</v>
      </c>
      <c r="J110" s="83">
        <v>2</v>
      </c>
      <c r="K110" s="83">
        <v>3.3</v>
      </c>
      <c r="L110" s="83">
        <v>0</v>
      </c>
      <c r="M110" s="83">
        <v>735</v>
      </c>
      <c r="N110" s="83">
        <v>6</v>
      </c>
      <c r="O110" s="81"/>
    </row>
    <row r="111" spans="1:15">
      <c r="A111" s="82" t="s">
        <v>411</v>
      </c>
      <c r="B111" s="82" t="s">
        <v>412</v>
      </c>
      <c r="C111" s="82" t="s">
        <v>408</v>
      </c>
      <c r="D111" s="82" t="s">
        <v>206</v>
      </c>
      <c r="E111" s="82" t="s">
        <v>548</v>
      </c>
      <c r="F111" s="83">
        <v>579</v>
      </c>
      <c r="G111" s="83">
        <v>21</v>
      </c>
      <c r="H111" s="83">
        <v>22</v>
      </c>
      <c r="I111" s="83">
        <v>50</v>
      </c>
      <c r="J111" s="83">
        <v>3.8</v>
      </c>
      <c r="K111" s="83">
        <v>12.5</v>
      </c>
      <c r="L111" s="83">
        <v>4.4000000000000004</v>
      </c>
      <c r="M111" s="83">
        <v>1</v>
      </c>
      <c r="N111" s="83">
        <v>1</v>
      </c>
      <c r="O111" s="81"/>
    </row>
    <row r="112" spans="1:15">
      <c r="A112" s="82" t="s">
        <v>413</v>
      </c>
      <c r="B112" s="82" t="s">
        <v>414</v>
      </c>
      <c r="C112" s="82" t="s">
        <v>408</v>
      </c>
      <c r="D112" s="82" t="s">
        <v>206</v>
      </c>
      <c r="E112" s="82" t="s">
        <v>548</v>
      </c>
      <c r="F112" s="83">
        <v>567</v>
      </c>
      <c r="G112" s="83">
        <v>26</v>
      </c>
      <c r="H112" s="83">
        <v>16</v>
      </c>
      <c r="I112" s="83">
        <v>49</v>
      </c>
      <c r="J112" s="83">
        <v>7</v>
      </c>
      <c r="K112" s="83">
        <v>8.5</v>
      </c>
      <c r="L112" s="83">
        <v>4.7</v>
      </c>
      <c r="M112" s="83">
        <v>18</v>
      </c>
      <c r="N112" s="83">
        <v>3</v>
      </c>
      <c r="O112" s="81"/>
    </row>
    <row r="113" spans="1:15">
      <c r="A113" s="82" t="s">
        <v>415</v>
      </c>
      <c r="B113" s="82" t="s">
        <v>416</v>
      </c>
      <c r="C113" s="82" t="s">
        <v>408</v>
      </c>
      <c r="D113" s="82" t="s">
        <v>206</v>
      </c>
      <c r="E113" s="82" t="s">
        <v>548</v>
      </c>
      <c r="F113" s="83">
        <v>600</v>
      </c>
      <c r="G113" s="83">
        <v>18</v>
      </c>
      <c r="H113" s="83">
        <v>16</v>
      </c>
      <c r="I113" s="83">
        <v>55</v>
      </c>
      <c r="J113" s="83">
        <v>7</v>
      </c>
      <c r="K113" s="83">
        <v>8</v>
      </c>
      <c r="L113" s="83">
        <v>4</v>
      </c>
      <c r="M113" s="83">
        <v>5</v>
      </c>
      <c r="N113" s="83">
        <v>3</v>
      </c>
      <c r="O113" s="81"/>
    </row>
    <row r="114" spans="1:15">
      <c r="A114" s="82" t="s">
        <v>417</v>
      </c>
      <c r="B114" s="82" t="s">
        <v>418</v>
      </c>
      <c r="C114" s="82" t="s">
        <v>408</v>
      </c>
      <c r="D114" s="82" t="s">
        <v>206</v>
      </c>
      <c r="E114" s="82" t="s">
        <v>548</v>
      </c>
      <c r="F114" s="83">
        <v>717</v>
      </c>
      <c r="G114" s="83">
        <v>0.9</v>
      </c>
      <c r="H114" s="83">
        <v>0.1</v>
      </c>
      <c r="I114" s="83">
        <v>81</v>
      </c>
      <c r="J114" s="83">
        <v>51</v>
      </c>
      <c r="K114" s="83">
        <v>0</v>
      </c>
      <c r="L114" s="83">
        <v>0.1</v>
      </c>
      <c r="M114" s="83">
        <v>11</v>
      </c>
      <c r="N114" s="83">
        <v>6</v>
      </c>
      <c r="O114" s="81"/>
    </row>
    <row r="115" spans="1:15">
      <c r="A115" s="82" t="s">
        <v>419</v>
      </c>
      <c r="B115" s="82" t="s">
        <v>420</v>
      </c>
      <c r="C115" s="82" t="s">
        <v>408</v>
      </c>
      <c r="D115" s="82" t="s">
        <v>206</v>
      </c>
      <c r="E115" s="82" t="s">
        <v>548</v>
      </c>
      <c r="F115" s="83">
        <v>654</v>
      </c>
      <c r="G115" s="83">
        <v>15</v>
      </c>
      <c r="H115" s="83">
        <v>14</v>
      </c>
      <c r="I115" s="83">
        <v>65</v>
      </c>
      <c r="J115" s="83">
        <v>6</v>
      </c>
      <c r="K115" s="83">
        <v>6.7</v>
      </c>
      <c r="L115" s="83">
        <v>2.6</v>
      </c>
      <c r="M115" s="83">
        <v>2</v>
      </c>
      <c r="N115" s="83">
        <v>1</v>
      </c>
      <c r="O115" s="81"/>
    </row>
    <row r="116" spans="1:15">
      <c r="A116" s="82" t="s">
        <v>421</v>
      </c>
      <c r="B116" s="82" t="s">
        <v>422</v>
      </c>
      <c r="C116" s="82" t="s">
        <v>408</v>
      </c>
      <c r="D116" s="82" t="s">
        <v>206</v>
      </c>
      <c r="E116" s="82" t="s">
        <v>548</v>
      </c>
      <c r="F116" s="83">
        <v>486</v>
      </c>
      <c r="G116" s="83">
        <v>17</v>
      </c>
      <c r="H116" s="83">
        <v>42</v>
      </c>
      <c r="I116" s="83">
        <v>31</v>
      </c>
      <c r="J116" s="83">
        <v>3.3</v>
      </c>
      <c r="K116" s="83">
        <v>34</v>
      </c>
      <c r="L116" s="83">
        <v>0</v>
      </c>
      <c r="M116" s="83">
        <v>16</v>
      </c>
      <c r="N116" s="83">
        <v>1</v>
      </c>
      <c r="O116" s="81"/>
    </row>
    <row r="117" spans="1:15">
      <c r="A117" s="82" t="s">
        <v>423</v>
      </c>
      <c r="B117" s="82" t="s">
        <v>424</v>
      </c>
      <c r="C117" s="82" t="s">
        <v>425</v>
      </c>
      <c r="D117" s="82" t="s">
        <v>206</v>
      </c>
      <c r="E117" s="82" t="s">
        <v>548</v>
      </c>
      <c r="F117" s="83">
        <v>247</v>
      </c>
      <c r="G117" s="83">
        <v>4</v>
      </c>
      <c r="H117" s="83">
        <v>81</v>
      </c>
      <c r="I117" s="83">
        <v>1.2</v>
      </c>
      <c r="J117" s="83">
        <v>0.3</v>
      </c>
      <c r="K117" s="83">
        <v>53</v>
      </c>
      <c r="L117" s="83">
        <v>2.2000000000000002</v>
      </c>
      <c r="M117" s="83">
        <v>10</v>
      </c>
      <c r="N117" s="83">
        <v>2</v>
      </c>
      <c r="O117" s="81"/>
    </row>
    <row r="118" spans="1:15">
      <c r="A118" s="82" t="s">
        <v>426</v>
      </c>
      <c r="B118" s="82" t="s">
        <v>427</v>
      </c>
      <c r="C118" s="82" t="s">
        <v>425</v>
      </c>
      <c r="D118" s="82" t="s">
        <v>206</v>
      </c>
      <c r="E118" s="82" t="s">
        <v>548</v>
      </c>
      <c r="F118" s="83">
        <v>375</v>
      </c>
      <c r="G118" s="83">
        <v>18</v>
      </c>
      <c r="H118" s="83">
        <v>44</v>
      </c>
      <c r="I118" s="83">
        <v>22</v>
      </c>
      <c r="J118" s="83">
        <v>1.5</v>
      </c>
      <c r="K118" s="83">
        <v>10.5</v>
      </c>
      <c r="L118" s="83">
        <v>2.2999999999999998</v>
      </c>
      <c r="M118" s="83">
        <v>168</v>
      </c>
      <c r="N118" s="83">
        <v>2</v>
      </c>
      <c r="O118" s="81"/>
    </row>
    <row r="119" spans="1:15">
      <c r="A119" s="82" t="s">
        <v>428</v>
      </c>
      <c r="B119" s="82" t="s">
        <v>429</v>
      </c>
      <c r="C119" s="82" t="s">
        <v>425</v>
      </c>
      <c r="D119" s="82" t="s">
        <v>206</v>
      </c>
      <c r="E119" s="82" t="s">
        <v>548</v>
      </c>
      <c r="F119" s="83">
        <v>325</v>
      </c>
      <c r="G119" s="83">
        <v>14</v>
      </c>
      <c r="H119" s="83">
        <v>58</v>
      </c>
      <c r="I119" s="83">
        <v>14</v>
      </c>
      <c r="J119" s="83">
        <v>2.1</v>
      </c>
      <c r="K119" s="83">
        <v>33</v>
      </c>
      <c r="L119" s="83">
        <v>2.8</v>
      </c>
      <c r="M119" s="83">
        <v>52</v>
      </c>
      <c r="N119" s="83">
        <v>3</v>
      </c>
      <c r="O119" s="81"/>
    </row>
    <row r="120" spans="1:15">
      <c r="A120" s="82" t="s">
        <v>567</v>
      </c>
      <c r="B120" s="82" t="s">
        <v>568</v>
      </c>
      <c r="C120" s="82" t="s">
        <v>425</v>
      </c>
      <c r="D120" s="82" t="s">
        <v>206</v>
      </c>
      <c r="E120" s="82" t="s">
        <v>548</v>
      </c>
      <c r="F120" s="83">
        <v>36</v>
      </c>
      <c r="G120" s="83">
        <v>3</v>
      </c>
      <c r="H120" s="83">
        <v>6.3</v>
      </c>
      <c r="I120" s="83">
        <v>0.8</v>
      </c>
      <c r="J120" s="83">
        <v>0.1</v>
      </c>
      <c r="K120" s="83">
        <v>3.3</v>
      </c>
      <c r="L120" s="83">
        <v>0.9</v>
      </c>
      <c r="M120" s="83">
        <v>56</v>
      </c>
      <c r="N120" s="83">
        <v>1</v>
      </c>
      <c r="O120" s="81"/>
    </row>
    <row r="121" spans="1:15">
      <c r="A121" s="82" t="s">
        <v>569</v>
      </c>
      <c r="B121" s="82" t="s">
        <v>570</v>
      </c>
      <c r="C121" s="82" t="s">
        <v>425</v>
      </c>
      <c r="D121" s="82" t="s">
        <v>206</v>
      </c>
      <c r="E121" s="82" t="s">
        <v>548</v>
      </c>
      <c r="F121" s="83">
        <v>387</v>
      </c>
      <c r="G121" s="83">
        <v>0</v>
      </c>
      <c r="H121" s="83">
        <v>100</v>
      </c>
      <c r="I121" s="83">
        <v>0</v>
      </c>
      <c r="J121" s="83">
        <v>0</v>
      </c>
      <c r="K121" s="83">
        <v>0</v>
      </c>
      <c r="L121" s="83">
        <v>100</v>
      </c>
      <c r="M121" s="83">
        <v>1</v>
      </c>
      <c r="N121" s="83">
        <v>3</v>
      </c>
      <c r="O121" s="81"/>
    </row>
    <row r="122" spans="1:15">
      <c r="A122" s="82" t="s">
        <v>571</v>
      </c>
      <c r="B122" s="82" t="s">
        <v>572</v>
      </c>
      <c r="C122" s="82" t="s">
        <v>425</v>
      </c>
      <c r="D122" s="82" t="s">
        <v>206</v>
      </c>
      <c r="E122" s="82" t="s">
        <v>548</v>
      </c>
      <c r="F122" s="83">
        <v>0</v>
      </c>
      <c r="G122" s="83">
        <v>0</v>
      </c>
      <c r="H122" s="83">
        <v>0</v>
      </c>
      <c r="I122" s="83">
        <v>0</v>
      </c>
      <c r="J122" s="83">
        <v>0</v>
      </c>
      <c r="K122" s="83">
        <v>0</v>
      </c>
      <c r="L122" s="83">
        <v>0</v>
      </c>
      <c r="M122" s="83">
        <v>0</v>
      </c>
      <c r="N122" s="83">
        <v>5</v>
      </c>
      <c r="O122" s="81"/>
    </row>
    <row r="123" spans="1:15">
      <c r="A123" s="82" t="s">
        <v>573</v>
      </c>
      <c r="B123" s="82" t="s">
        <v>574</v>
      </c>
      <c r="C123" s="82" t="s">
        <v>425</v>
      </c>
      <c r="D123" s="82" t="s">
        <v>206</v>
      </c>
      <c r="E123" s="82" t="s">
        <v>548</v>
      </c>
      <c r="F123" s="83">
        <v>112</v>
      </c>
      <c r="G123" s="83">
        <v>1.3</v>
      </c>
      <c r="H123" s="83">
        <v>25</v>
      </c>
      <c r="I123" s="83">
        <v>0.2</v>
      </c>
      <c r="J123" s="83">
        <v>0</v>
      </c>
      <c r="K123" s="83">
        <v>0.3</v>
      </c>
      <c r="L123" s="83">
        <v>22</v>
      </c>
      <c r="M123" s="83">
        <v>900</v>
      </c>
      <c r="N123" s="83">
        <v>7</v>
      </c>
      <c r="O123" s="81"/>
    </row>
    <row r="124" spans="1:15">
      <c r="A124" s="82" t="s">
        <v>575</v>
      </c>
      <c r="B124" s="82" t="s">
        <v>576</v>
      </c>
      <c r="C124" s="82" t="s">
        <v>425</v>
      </c>
      <c r="D124" s="82" t="s">
        <v>206</v>
      </c>
      <c r="E124" s="82" t="s">
        <v>548</v>
      </c>
      <c r="F124" s="83">
        <v>680</v>
      </c>
      <c r="G124" s="83">
        <v>1</v>
      </c>
      <c r="H124" s="83">
        <v>1</v>
      </c>
      <c r="I124" s="83">
        <v>75</v>
      </c>
      <c r="J124" s="83">
        <v>11</v>
      </c>
      <c r="K124" s="83">
        <v>0</v>
      </c>
      <c r="L124" s="83">
        <v>1</v>
      </c>
      <c r="M124" s="83">
        <v>700</v>
      </c>
      <c r="N124" s="83">
        <v>8</v>
      </c>
      <c r="O124" s="81"/>
    </row>
    <row r="125" spans="1:15">
      <c r="A125" s="82" t="s">
        <v>430</v>
      </c>
      <c r="B125" s="82" t="s">
        <v>431</v>
      </c>
      <c r="C125" s="82" t="s">
        <v>425</v>
      </c>
      <c r="D125" s="82" t="s">
        <v>206</v>
      </c>
      <c r="E125" s="82" t="s">
        <v>548</v>
      </c>
      <c r="F125" s="83">
        <v>66</v>
      </c>
      <c r="G125" s="83">
        <v>4.4000000000000004</v>
      </c>
      <c r="H125" s="83">
        <v>5.8</v>
      </c>
      <c r="I125" s="83">
        <v>4.4000000000000004</v>
      </c>
      <c r="J125" s="83">
        <v>0.2</v>
      </c>
      <c r="K125" s="83">
        <v>3.3</v>
      </c>
      <c r="L125" s="83">
        <v>1.8</v>
      </c>
      <c r="M125" s="83">
        <v>1135</v>
      </c>
      <c r="N125" s="83">
        <v>7</v>
      </c>
      <c r="O125" s="81"/>
    </row>
    <row r="126" spans="1:15">
      <c r="A126" s="82" t="s">
        <v>432</v>
      </c>
      <c r="B126" s="82" t="s">
        <v>433</v>
      </c>
      <c r="C126" s="82" t="s">
        <v>425</v>
      </c>
      <c r="D126" s="82" t="s">
        <v>206</v>
      </c>
      <c r="E126" s="82" t="s">
        <v>548</v>
      </c>
      <c r="F126" s="83">
        <v>265</v>
      </c>
      <c r="G126" s="83">
        <v>9</v>
      </c>
      <c r="H126" s="83">
        <v>69</v>
      </c>
      <c r="I126" s="83">
        <v>4.3</v>
      </c>
      <c r="J126" s="83">
        <v>1.6</v>
      </c>
      <c r="K126" s="83">
        <v>42</v>
      </c>
      <c r="L126" s="83">
        <v>4.0999999999999996</v>
      </c>
      <c r="M126" s="83">
        <v>25</v>
      </c>
      <c r="N126" s="83">
        <v>2</v>
      </c>
      <c r="O126" s="81"/>
    </row>
    <row r="127" spans="1:15">
      <c r="A127" s="82" t="s">
        <v>434</v>
      </c>
      <c r="B127" s="82" t="s">
        <v>435</v>
      </c>
      <c r="C127" s="82" t="s">
        <v>425</v>
      </c>
      <c r="D127" s="82" t="s">
        <v>206</v>
      </c>
      <c r="E127" s="82" t="s">
        <v>548</v>
      </c>
      <c r="F127" s="83">
        <v>282</v>
      </c>
      <c r="G127" s="83">
        <v>14</v>
      </c>
      <c r="H127" s="83">
        <v>54</v>
      </c>
      <c r="I127" s="83">
        <v>13</v>
      </c>
      <c r="J127" s="83">
        <v>2.1</v>
      </c>
      <c r="K127" s="83">
        <v>35</v>
      </c>
      <c r="L127" s="83">
        <v>10.3</v>
      </c>
      <c r="M127" s="83">
        <v>68</v>
      </c>
      <c r="N127" s="83">
        <v>2</v>
      </c>
      <c r="O127" s="81"/>
    </row>
    <row r="128" spans="1:15">
      <c r="A128" s="82" t="s">
        <v>436</v>
      </c>
      <c r="B128" s="82" t="s">
        <v>437</v>
      </c>
      <c r="C128" s="82" t="s">
        <v>425</v>
      </c>
      <c r="D128" s="82" t="s">
        <v>206</v>
      </c>
      <c r="E128" s="82" t="s">
        <v>548</v>
      </c>
      <c r="F128" s="83">
        <v>251</v>
      </c>
      <c r="G128" s="83">
        <v>10.4</v>
      </c>
      <c r="H128" s="83">
        <v>64</v>
      </c>
      <c r="I128" s="83">
        <v>3.3</v>
      </c>
      <c r="J128" s="83">
        <v>1.4</v>
      </c>
      <c r="K128" s="83">
        <v>26.5</v>
      </c>
      <c r="L128" s="83">
        <v>0.6</v>
      </c>
      <c r="M128" s="83">
        <v>20</v>
      </c>
      <c r="N128" s="83">
        <v>2</v>
      </c>
      <c r="O128" s="81"/>
    </row>
    <row r="129" spans="1:15">
      <c r="A129" s="82" t="s">
        <v>438</v>
      </c>
      <c r="B129" s="82" t="s">
        <v>439</v>
      </c>
      <c r="C129" s="82" t="s">
        <v>425</v>
      </c>
      <c r="D129" s="82" t="s">
        <v>206</v>
      </c>
      <c r="E129" s="82" t="s">
        <v>548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3">
        <v>0</v>
      </c>
      <c r="L129" s="83">
        <v>0</v>
      </c>
      <c r="M129" s="83">
        <v>38758</v>
      </c>
      <c r="N129" s="83">
        <v>3</v>
      </c>
      <c r="O129" s="81"/>
    </row>
    <row r="130" spans="1:15">
      <c r="A130" s="82" t="s">
        <v>577</v>
      </c>
      <c r="B130" s="82" t="s">
        <v>578</v>
      </c>
      <c r="C130" s="82" t="s">
        <v>425</v>
      </c>
      <c r="D130" s="82" t="s">
        <v>206</v>
      </c>
      <c r="E130" s="82" t="s">
        <v>548</v>
      </c>
      <c r="F130" s="83">
        <v>53</v>
      </c>
      <c r="G130" s="83">
        <v>8.1</v>
      </c>
      <c r="H130" s="83">
        <v>4.9000000000000004</v>
      </c>
      <c r="I130" s="83">
        <v>0.1</v>
      </c>
      <c r="J130" s="83">
        <v>0</v>
      </c>
      <c r="K130" s="83">
        <v>0.8</v>
      </c>
      <c r="L130" s="83">
        <v>0.4</v>
      </c>
      <c r="M130" s="83">
        <v>5490</v>
      </c>
      <c r="N130" s="83">
        <v>7</v>
      </c>
      <c r="O130" s="81"/>
    </row>
    <row r="131" spans="1:15">
      <c r="A131" s="82" t="s">
        <v>440</v>
      </c>
      <c r="B131" s="82" t="s">
        <v>441</v>
      </c>
      <c r="C131" s="82" t="s">
        <v>425</v>
      </c>
      <c r="D131" s="82" t="s">
        <v>206</v>
      </c>
      <c r="E131" s="82" t="s">
        <v>548</v>
      </c>
      <c r="F131" s="83">
        <v>18</v>
      </c>
      <c r="G131" s="83">
        <v>0</v>
      </c>
      <c r="H131" s="83">
        <v>0.04</v>
      </c>
      <c r="I131" s="83">
        <v>0</v>
      </c>
      <c r="J131" s="83">
        <v>0</v>
      </c>
      <c r="K131" s="83">
        <v>0</v>
      </c>
      <c r="L131" s="83">
        <v>0.04</v>
      </c>
      <c r="M131" s="83">
        <v>2</v>
      </c>
      <c r="N131" s="83">
        <v>2</v>
      </c>
      <c r="O131" s="81"/>
    </row>
    <row r="132" spans="1:15">
      <c r="A132" s="81" t="s">
        <v>442</v>
      </c>
      <c r="B132" s="81" t="s">
        <v>443</v>
      </c>
      <c r="C132" s="81" t="s">
        <v>425</v>
      </c>
      <c r="D132" s="81" t="s">
        <v>206</v>
      </c>
      <c r="E132" s="81" t="s">
        <v>548</v>
      </c>
      <c r="F132" s="153">
        <v>88</v>
      </c>
      <c r="G132" s="153">
        <v>0.5</v>
      </c>
      <c r="H132" s="153">
        <v>17</v>
      </c>
      <c r="I132" s="153">
        <v>0</v>
      </c>
      <c r="J132" s="153">
        <v>0</v>
      </c>
      <c r="K132" s="153">
        <v>0</v>
      </c>
      <c r="L132" s="153">
        <v>15</v>
      </c>
      <c r="M132" s="153">
        <v>23</v>
      </c>
      <c r="N132" s="153">
        <v>4</v>
      </c>
      <c r="O132" s="81"/>
    </row>
    <row r="133" spans="1:15">
      <c r="A133" s="81" t="s">
        <v>444</v>
      </c>
      <c r="B133" s="81" t="s">
        <v>445</v>
      </c>
      <c r="C133" s="81" t="s">
        <v>425</v>
      </c>
      <c r="D133" s="81" t="s">
        <v>206</v>
      </c>
      <c r="E133" s="81" t="s">
        <v>548</v>
      </c>
      <c r="F133" s="153">
        <v>304</v>
      </c>
      <c r="G133" s="153">
        <v>0.3</v>
      </c>
      <c r="H133" s="153">
        <v>82.4</v>
      </c>
      <c r="I133" s="153">
        <v>0</v>
      </c>
      <c r="J133" s="153">
        <v>0</v>
      </c>
      <c r="K133" s="153">
        <v>0.2</v>
      </c>
      <c r="L133" s="153">
        <v>82.1</v>
      </c>
      <c r="M133" s="153">
        <v>4</v>
      </c>
      <c r="N133" s="153">
        <v>2</v>
      </c>
      <c r="O133" s="81"/>
    </row>
    <row r="134" spans="1:15">
      <c r="A134" s="81" t="s">
        <v>579</v>
      </c>
      <c r="B134" s="81" t="s">
        <v>580</v>
      </c>
      <c r="C134" s="81" t="s">
        <v>448</v>
      </c>
      <c r="D134" s="81" t="s">
        <v>362</v>
      </c>
      <c r="E134" s="81" t="s">
        <v>89</v>
      </c>
      <c r="F134" s="153">
        <v>143</v>
      </c>
      <c r="G134" s="153">
        <v>1.3</v>
      </c>
      <c r="H134" s="153">
        <v>11</v>
      </c>
      <c r="I134" s="153">
        <v>0</v>
      </c>
      <c r="J134" s="153">
        <v>0</v>
      </c>
      <c r="K134" s="153">
        <v>0</v>
      </c>
      <c r="L134" s="153">
        <v>0</v>
      </c>
      <c r="M134" s="153">
        <v>14</v>
      </c>
      <c r="N134" s="153">
        <v>5</v>
      </c>
      <c r="O134" s="81"/>
    </row>
    <row r="135" spans="1:15">
      <c r="A135" s="81" t="s">
        <v>581</v>
      </c>
      <c r="B135" s="81" t="s">
        <v>582</v>
      </c>
      <c r="C135" s="81" t="s">
        <v>448</v>
      </c>
      <c r="D135" s="81" t="s">
        <v>362</v>
      </c>
      <c r="E135" s="81" t="s">
        <v>89</v>
      </c>
      <c r="F135" s="153">
        <v>125</v>
      </c>
      <c r="G135" s="153">
        <v>0.1</v>
      </c>
      <c r="H135" s="153">
        <v>4</v>
      </c>
      <c r="I135" s="153">
        <v>0</v>
      </c>
      <c r="J135" s="153">
        <v>0</v>
      </c>
      <c r="K135" s="153">
        <v>0</v>
      </c>
      <c r="L135" s="153">
        <v>1</v>
      </c>
      <c r="M135" s="153">
        <v>7</v>
      </c>
      <c r="N135" s="153">
        <v>4</v>
      </c>
      <c r="O135" s="81"/>
    </row>
    <row r="136" spans="1:15">
      <c r="A136" s="81" t="s">
        <v>583</v>
      </c>
      <c r="B136" s="81" t="s">
        <v>584</v>
      </c>
      <c r="C136" s="81" t="s">
        <v>448</v>
      </c>
      <c r="D136" s="81" t="s">
        <v>362</v>
      </c>
      <c r="E136" s="81" t="s">
        <v>89</v>
      </c>
      <c r="F136" s="153">
        <v>139</v>
      </c>
      <c r="G136" s="153">
        <v>0</v>
      </c>
      <c r="H136" s="153">
        <v>35</v>
      </c>
      <c r="I136" s="153">
        <v>0</v>
      </c>
      <c r="J136" s="153">
        <v>0</v>
      </c>
      <c r="K136" s="153">
        <v>0</v>
      </c>
      <c r="L136" s="153">
        <v>35</v>
      </c>
      <c r="M136" s="153">
        <v>11</v>
      </c>
      <c r="N136" s="153">
        <v>8</v>
      </c>
      <c r="O136" s="81"/>
    </row>
    <row r="137" spans="1:15">
      <c r="A137" s="81" t="s">
        <v>585</v>
      </c>
      <c r="B137" s="81" t="s">
        <v>586</v>
      </c>
      <c r="C137" s="81" t="s">
        <v>448</v>
      </c>
      <c r="D137" s="81" t="s">
        <v>362</v>
      </c>
      <c r="E137" s="81" t="s">
        <v>89</v>
      </c>
      <c r="F137" s="153">
        <v>1</v>
      </c>
      <c r="G137" s="153">
        <v>0</v>
      </c>
      <c r="H137" s="153">
        <v>0.1</v>
      </c>
      <c r="I137" s="153">
        <v>0</v>
      </c>
      <c r="J137" s="153">
        <v>0</v>
      </c>
      <c r="K137" s="153">
        <v>0</v>
      </c>
      <c r="L137" s="153">
        <v>0</v>
      </c>
      <c r="M137" s="153">
        <v>15</v>
      </c>
      <c r="N137" s="153">
        <v>7</v>
      </c>
      <c r="O137" s="81"/>
    </row>
    <row r="138" spans="1:15">
      <c r="A138" s="81" t="s">
        <v>587</v>
      </c>
      <c r="B138" s="81" t="s">
        <v>588</v>
      </c>
      <c r="C138" s="81" t="s">
        <v>448</v>
      </c>
      <c r="D138" s="81" t="s">
        <v>362</v>
      </c>
      <c r="E138" s="81" t="s">
        <v>89</v>
      </c>
      <c r="F138" s="153">
        <v>132</v>
      </c>
      <c r="G138" s="153">
        <v>0</v>
      </c>
      <c r="H138" s="153">
        <v>33</v>
      </c>
      <c r="I138" s="153">
        <v>0</v>
      </c>
      <c r="J138" s="153">
        <v>0</v>
      </c>
      <c r="K138" s="153">
        <v>0</v>
      </c>
      <c r="L138" s="153">
        <v>33</v>
      </c>
      <c r="M138" s="153">
        <v>20</v>
      </c>
      <c r="N138" s="153">
        <v>8</v>
      </c>
      <c r="O138" s="81"/>
    </row>
    <row r="139" spans="1:15">
      <c r="A139" s="81" t="s">
        <v>589</v>
      </c>
      <c r="B139" s="81" t="s">
        <v>590</v>
      </c>
      <c r="C139" s="81" t="s">
        <v>448</v>
      </c>
      <c r="D139" s="81" t="s">
        <v>362</v>
      </c>
      <c r="E139" s="81" t="s">
        <v>89</v>
      </c>
      <c r="F139" s="153">
        <v>2</v>
      </c>
      <c r="G139" s="153">
        <v>0</v>
      </c>
      <c r="H139" s="153">
        <v>0.3</v>
      </c>
      <c r="I139" s="153">
        <v>0</v>
      </c>
      <c r="J139" s="153">
        <v>0</v>
      </c>
      <c r="K139" s="153">
        <v>0</v>
      </c>
      <c r="L139" s="153">
        <v>0</v>
      </c>
      <c r="M139" s="153">
        <v>15</v>
      </c>
      <c r="N139" s="153">
        <v>7</v>
      </c>
      <c r="O139" s="81"/>
    </row>
    <row r="140" spans="1:15">
      <c r="A140" s="81" t="s">
        <v>591</v>
      </c>
      <c r="B140" s="81" t="s">
        <v>592</v>
      </c>
      <c r="C140" s="81" t="s">
        <v>448</v>
      </c>
      <c r="D140" s="81" t="s">
        <v>362</v>
      </c>
      <c r="E140" s="81" t="s">
        <v>89</v>
      </c>
      <c r="F140" s="153">
        <v>180</v>
      </c>
      <c r="G140" s="153">
        <v>7</v>
      </c>
      <c r="H140" s="153">
        <v>26</v>
      </c>
      <c r="I140" s="153">
        <v>5</v>
      </c>
      <c r="J140" s="153">
        <v>3</v>
      </c>
      <c r="K140" s="153">
        <v>0</v>
      </c>
      <c r="L140" s="153">
        <v>24</v>
      </c>
      <c r="M140" s="153">
        <v>120</v>
      </c>
      <c r="N140" s="153">
        <v>8</v>
      </c>
      <c r="O140" s="81"/>
    </row>
    <row r="141" spans="1:15">
      <c r="A141" s="81" t="s">
        <v>593</v>
      </c>
      <c r="B141" s="81" t="s">
        <v>594</v>
      </c>
      <c r="C141" s="81" t="s">
        <v>448</v>
      </c>
      <c r="D141" s="81" t="s">
        <v>362</v>
      </c>
      <c r="E141" s="81" t="s">
        <v>89</v>
      </c>
      <c r="F141" s="153">
        <v>110</v>
      </c>
      <c r="G141" s="153">
        <v>1.5</v>
      </c>
      <c r="H141" s="153">
        <v>25</v>
      </c>
      <c r="I141" s="153">
        <v>0.2</v>
      </c>
      <c r="J141" s="153">
        <v>0</v>
      </c>
      <c r="K141" s="153">
        <v>0.5</v>
      </c>
      <c r="L141" s="153">
        <v>21</v>
      </c>
      <c r="M141" s="153">
        <v>5</v>
      </c>
      <c r="N141" s="153">
        <v>3</v>
      </c>
      <c r="O141" s="81"/>
    </row>
    <row r="142" spans="1:15">
      <c r="A142" s="81" t="s">
        <v>595</v>
      </c>
      <c r="B142" s="81" t="s">
        <v>596</v>
      </c>
      <c r="C142" s="81" t="s">
        <v>448</v>
      </c>
      <c r="D142" s="81" t="s">
        <v>362</v>
      </c>
      <c r="E142" s="81" t="s">
        <v>89</v>
      </c>
      <c r="F142" s="153">
        <v>115</v>
      </c>
      <c r="G142" s="153">
        <v>0.5</v>
      </c>
      <c r="H142" s="153">
        <v>27</v>
      </c>
      <c r="I142" s="153">
        <v>0</v>
      </c>
      <c r="J142" s="153">
        <v>0</v>
      </c>
      <c r="K142" s="153">
        <v>0.1</v>
      </c>
      <c r="L142" s="153">
        <v>26</v>
      </c>
      <c r="M142" s="153">
        <v>15</v>
      </c>
      <c r="N142" s="153">
        <v>6</v>
      </c>
      <c r="O142" s="81"/>
    </row>
    <row r="143" spans="1:15">
      <c r="A143" s="81" t="s">
        <v>597</v>
      </c>
      <c r="B143" s="81" t="s">
        <v>598</v>
      </c>
      <c r="C143" s="81" t="s">
        <v>448</v>
      </c>
      <c r="D143" s="81" t="s">
        <v>362</v>
      </c>
      <c r="E143" s="81" t="s">
        <v>89</v>
      </c>
      <c r="F143" s="153">
        <v>48</v>
      </c>
      <c r="G143" s="153">
        <v>0.5</v>
      </c>
      <c r="H143" s="153">
        <v>11</v>
      </c>
      <c r="I143" s="153">
        <v>0</v>
      </c>
      <c r="J143" s="153">
        <v>0</v>
      </c>
      <c r="K143" s="153">
        <v>0</v>
      </c>
      <c r="L143" s="153">
        <v>10</v>
      </c>
      <c r="M143" s="153">
        <v>105</v>
      </c>
      <c r="N143" s="153">
        <v>4</v>
      </c>
      <c r="O143" s="81"/>
    </row>
    <row r="144" spans="1:15">
      <c r="A144" s="81" t="s">
        <v>599</v>
      </c>
      <c r="B144" s="81" t="s">
        <v>600</v>
      </c>
      <c r="C144" s="81" t="s">
        <v>448</v>
      </c>
      <c r="D144" s="81" t="s">
        <v>362</v>
      </c>
      <c r="E144" s="81" t="s">
        <v>89</v>
      </c>
      <c r="F144" s="153">
        <v>112</v>
      </c>
      <c r="G144" s="153">
        <v>0</v>
      </c>
      <c r="H144" s="153">
        <v>27</v>
      </c>
      <c r="I144" s="153">
        <v>0</v>
      </c>
      <c r="J144" s="153">
        <v>0</v>
      </c>
      <c r="K144" s="153">
        <v>0</v>
      </c>
      <c r="L144" s="153">
        <v>27</v>
      </c>
      <c r="M144" s="153">
        <v>200</v>
      </c>
      <c r="N144" s="153">
        <v>8</v>
      </c>
      <c r="O144" s="81"/>
    </row>
    <row r="145" spans="1:15">
      <c r="A145" s="81" t="s">
        <v>601</v>
      </c>
      <c r="B145" s="81" t="s">
        <v>602</v>
      </c>
      <c r="C145" s="81" t="s">
        <v>448</v>
      </c>
      <c r="D145" s="81" t="s">
        <v>362</v>
      </c>
      <c r="E145" s="81" t="s">
        <v>89</v>
      </c>
      <c r="F145" s="153">
        <v>0</v>
      </c>
      <c r="G145" s="153">
        <v>0</v>
      </c>
      <c r="H145" s="153">
        <v>0</v>
      </c>
      <c r="I145" s="153">
        <v>0</v>
      </c>
      <c r="J145" s="153">
        <v>0</v>
      </c>
      <c r="K145" s="153">
        <v>0</v>
      </c>
      <c r="L145" s="153">
        <v>0</v>
      </c>
      <c r="M145" s="153">
        <v>3</v>
      </c>
      <c r="N145" s="153">
        <v>1</v>
      </c>
      <c r="O145" s="81"/>
    </row>
    <row r="146" spans="1:15">
      <c r="A146" s="81" t="s">
        <v>603</v>
      </c>
      <c r="B146" s="81" t="s">
        <v>604</v>
      </c>
      <c r="C146" s="81" t="s">
        <v>448</v>
      </c>
      <c r="D146" s="81" t="s">
        <v>362</v>
      </c>
      <c r="E146" s="81" t="s">
        <v>89</v>
      </c>
      <c r="F146" s="153">
        <v>112</v>
      </c>
      <c r="G146" s="153">
        <v>0</v>
      </c>
      <c r="H146" s="153">
        <v>28</v>
      </c>
      <c r="I146" s="153">
        <v>0</v>
      </c>
      <c r="J146" s="153">
        <v>0</v>
      </c>
      <c r="K146" s="153">
        <v>0</v>
      </c>
      <c r="L146" s="153">
        <v>28</v>
      </c>
      <c r="M146" s="153">
        <v>33</v>
      </c>
      <c r="N146" s="153">
        <v>7</v>
      </c>
      <c r="O146" s="81"/>
    </row>
    <row r="147" spans="1:15">
      <c r="A147" s="81" t="s">
        <v>446</v>
      </c>
      <c r="B147" s="81" t="s">
        <v>447</v>
      </c>
      <c r="C147" s="81" t="s">
        <v>448</v>
      </c>
      <c r="D147" s="81" t="s">
        <v>362</v>
      </c>
      <c r="E147" s="81" t="s">
        <v>89</v>
      </c>
      <c r="F147" s="153">
        <v>0</v>
      </c>
      <c r="G147" s="153">
        <v>0</v>
      </c>
      <c r="H147" s="153">
        <v>0</v>
      </c>
      <c r="I147" s="153">
        <v>0</v>
      </c>
      <c r="J147" s="153">
        <v>0</v>
      </c>
      <c r="K147" s="153">
        <v>0</v>
      </c>
      <c r="L147" s="153">
        <v>0</v>
      </c>
      <c r="M147" s="153">
        <v>5</v>
      </c>
      <c r="N147" s="153">
        <v>1</v>
      </c>
      <c r="O147" s="81"/>
    </row>
    <row r="148" spans="1:15">
      <c r="A148" s="81" t="s">
        <v>449</v>
      </c>
      <c r="B148" s="81" t="s">
        <v>450</v>
      </c>
      <c r="C148" s="81" t="s">
        <v>448</v>
      </c>
      <c r="D148" s="81" t="s">
        <v>362</v>
      </c>
      <c r="E148" s="81" t="s">
        <v>89</v>
      </c>
      <c r="F148" s="153">
        <v>0</v>
      </c>
      <c r="G148" s="153">
        <v>0</v>
      </c>
      <c r="H148" s="153">
        <v>0</v>
      </c>
      <c r="I148" s="153">
        <v>0</v>
      </c>
      <c r="J148" s="153">
        <v>0</v>
      </c>
      <c r="K148" s="153">
        <v>0</v>
      </c>
      <c r="L148" s="153">
        <v>0</v>
      </c>
      <c r="M148" s="153">
        <v>5</v>
      </c>
      <c r="N148" s="153">
        <v>1</v>
      </c>
      <c r="O148" s="81"/>
    </row>
    <row r="149" spans="1:15">
      <c r="A149" s="81" t="s">
        <v>451</v>
      </c>
      <c r="B149" s="81" t="s">
        <v>452</v>
      </c>
      <c r="C149" s="81" t="s">
        <v>205</v>
      </c>
      <c r="D149" s="81" t="s">
        <v>206</v>
      </c>
      <c r="E149" s="81" t="s">
        <v>548</v>
      </c>
      <c r="F149" s="153">
        <v>20</v>
      </c>
      <c r="G149" s="153">
        <v>1.2</v>
      </c>
      <c r="H149" s="153">
        <v>3.5</v>
      </c>
      <c r="I149" s="153">
        <v>0.2</v>
      </c>
      <c r="J149" s="153">
        <v>0</v>
      </c>
      <c r="K149" s="153">
        <v>1.5</v>
      </c>
      <c r="L149" s="153">
        <v>1.8</v>
      </c>
      <c r="M149" s="153">
        <v>25</v>
      </c>
      <c r="N149" s="153">
        <v>1</v>
      </c>
      <c r="O149" s="81"/>
    </row>
    <row r="150" spans="1:15">
      <c r="A150" s="81" t="s">
        <v>453</v>
      </c>
      <c r="B150" s="81" t="s">
        <v>454</v>
      </c>
      <c r="C150" s="81" t="s">
        <v>263</v>
      </c>
      <c r="D150" s="81" t="s">
        <v>206</v>
      </c>
      <c r="E150" s="81" t="s">
        <v>548</v>
      </c>
      <c r="F150" s="153">
        <v>55</v>
      </c>
      <c r="G150" s="153">
        <v>0.7</v>
      </c>
      <c r="H150" s="153">
        <v>13</v>
      </c>
      <c r="I150" s="153">
        <v>0.2</v>
      </c>
      <c r="J150" s="153">
        <v>0</v>
      </c>
      <c r="K150" s="153">
        <v>2</v>
      </c>
      <c r="L150" s="153">
        <v>10</v>
      </c>
      <c r="M150" s="153">
        <v>2</v>
      </c>
      <c r="N150" s="153">
        <v>1</v>
      </c>
      <c r="O150" s="81"/>
    </row>
    <row r="151" spans="1:15">
      <c r="A151" s="81" t="s">
        <v>455</v>
      </c>
      <c r="B151" s="81" t="s">
        <v>456</v>
      </c>
      <c r="C151" s="81" t="s">
        <v>205</v>
      </c>
      <c r="D151" s="81" t="s">
        <v>206</v>
      </c>
      <c r="E151" s="81" t="s">
        <v>548</v>
      </c>
      <c r="F151" s="153">
        <v>30</v>
      </c>
      <c r="G151" s="153">
        <v>2</v>
      </c>
      <c r="H151" s="153">
        <v>6</v>
      </c>
      <c r="I151" s="153">
        <v>0.3</v>
      </c>
      <c r="J151" s="153">
        <v>0</v>
      </c>
      <c r="K151" s="153">
        <v>2</v>
      </c>
      <c r="L151" s="153">
        <v>3</v>
      </c>
      <c r="M151" s="153">
        <v>20</v>
      </c>
      <c r="N151" s="153">
        <v>1</v>
      </c>
      <c r="O151" s="81"/>
    </row>
    <row r="152" spans="1:15">
      <c r="A152" s="81" t="s">
        <v>457</v>
      </c>
      <c r="B152" s="81" t="s">
        <v>458</v>
      </c>
      <c r="C152" s="81" t="s">
        <v>339</v>
      </c>
      <c r="D152" s="81" t="s">
        <v>206</v>
      </c>
      <c r="E152" s="81" t="s">
        <v>548</v>
      </c>
      <c r="F152" s="153">
        <v>250</v>
      </c>
      <c r="G152" s="153">
        <v>33</v>
      </c>
      <c r="H152" s="153">
        <v>0</v>
      </c>
      <c r="I152" s="153">
        <v>13</v>
      </c>
      <c r="J152" s="153">
        <v>4.5</v>
      </c>
      <c r="K152" s="153">
        <v>0</v>
      </c>
      <c r="L152" s="153">
        <v>0</v>
      </c>
      <c r="M152" s="153">
        <v>1800</v>
      </c>
      <c r="N152" s="153">
        <v>7</v>
      </c>
      <c r="O152" s="81"/>
    </row>
    <row r="153" spans="1:15">
      <c r="A153" s="81" t="s">
        <v>459</v>
      </c>
      <c r="B153" s="81" t="s">
        <v>460</v>
      </c>
      <c r="C153" s="81" t="s">
        <v>339</v>
      </c>
      <c r="D153" s="81" t="s">
        <v>206</v>
      </c>
      <c r="E153" s="81" t="s">
        <v>548</v>
      </c>
      <c r="F153" s="153">
        <v>110</v>
      </c>
      <c r="G153" s="153">
        <v>18</v>
      </c>
      <c r="H153" s="153">
        <v>2</v>
      </c>
      <c r="I153" s="153">
        <v>3</v>
      </c>
      <c r="J153" s="153">
        <v>1</v>
      </c>
      <c r="K153" s="153">
        <v>0</v>
      </c>
      <c r="L153" s="153">
        <v>1</v>
      </c>
      <c r="M153" s="153">
        <v>1000</v>
      </c>
      <c r="N153" s="153">
        <v>7</v>
      </c>
      <c r="O153" s="81"/>
    </row>
    <row r="154" spans="1:15">
      <c r="A154" s="81" t="s">
        <v>605</v>
      </c>
      <c r="B154" s="81" t="s">
        <v>606</v>
      </c>
      <c r="C154" s="81" t="s">
        <v>339</v>
      </c>
      <c r="D154" s="81" t="s">
        <v>206</v>
      </c>
      <c r="E154" s="81" t="s">
        <v>548</v>
      </c>
      <c r="F154" s="153">
        <v>105</v>
      </c>
      <c r="G154" s="153">
        <v>19</v>
      </c>
      <c r="H154" s="153">
        <v>2</v>
      </c>
      <c r="I154" s="153">
        <v>2</v>
      </c>
      <c r="J154" s="153">
        <v>0.7</v>
      </c>
      <c r="K154" s="153">
        <v>0</v>
      </c>
      <c r="L154" s="153">
        <v>1.5</v>
      </c>
      <c r="M154" s="153">
        <v>1100</v>
      </c>
      <c r="N154" s="153">
        <v>7</v>
      </c>
      <c r="O154" s="81"/>
    </row>
    <row r="155" spans="1:15">
      <c r="A155" s="81" t="s">
        <v>607</v>
      </c>
      <c r="B155" s="81" t="s">
        <v>608</v>
      </c>
      <c r="C155" s="81" t="s">
        <v>339</v>
      </c>
      <c r="D155" s="81" t="s">
        <v>206</v>
      </c>
      <c r="E155" s="81" t="s">
        <v>548</v>
      </c>
      <c r="F155" s="153">
        <v>455</v>
      </c>
      <c r="G155" s="153">
        <v>24</v>
      </c>
      <c r="H155" s="153">
        <v>1.5</v>
      </c>
      <c r="I155" s="153">
        <v>38</v>
      </c>
      <c r="J155" s="153">
        <v>14</v>
      </c>
      <c r="K155" s="153">
        <v>0</v>
      </c>
      <c r="L155" s="153">
        <v>1</v>
      </c>
      <c r="M155" s="153">
        <v>1600</v>
      </c>
      <c r="N155" s="153">
        <v>9</v>
      </c>
      <c r="O155" s="81"/>
    </row>
    <row r="156" spans="1:15">
      <c r="A156" s="81" t="s">
        <v>609</v>
      </c>
      <c r="B156" s="81" t="s">
        <v>610</v>
      </c>
      <c r="C156" s="81" t="s">
        <v>339</v>
      </c>
      <c r="D156" s="81" t="s">
        <v>206</v>
      </c>
      <c r="E156" s="81" t="s">
        <v>548</v>
      </c>
      <c r="F156" s="153">
        <v>420</v>
      </c>
      <c r="G156" s="153">
        <v>25</v>
      </c>
      <c r="H156" s="153">
        <v>1</v>
      </c>
      <c r="I156" s="153">
        <v>35</v>
      </c>
      <c r="J156" s="153">
        <v>12</v>
      </c>
      <c r="K156" s="153">
        <v>0</v>
      </c>
      <c r="L156" s="153">
        <v>0.5</v>
      </c>
      <c r="M156" s="153">
        <v>1700</v>
      </c>
      <c r="N156" s="153">
        <v>9</v>
      </c>
      <c r="O156" s="81"/>
    </row>
    <row r="157" spans="1:15">
      <c r="A157" s="81" t="s">
        <v>611</v>
      </c>
      <c r="B157" s="81" t="s">
        <v>612</v>
      </c>
      <c r="C157" s="81" t="s">
        <v>339</v>
      </c>
      <c r="D157" s="81" t="s">
        <v>206</v>
      </c>
      <c r="E157" s="81" t="s">
        <v>548</v>
      </c>
      <c r="F157" s="153">
        <v>541</v>
      </c>
      <c r="G157" s="153">
        <v>37</v>
      </c>
      <c r="H157" s="153">
        <v>1.5</v>
      </c>
      <c r="I157" s="153">
        <v>42</v>
      </c>
      <c r="J157" s="153">
        <v>14</v>
      </c>
      <c r="K157" s="153">
        <v>0</v>
      </c>
      <c r="L157" s="153">
        <v>1</v>
      </c>
      <c r="M157" s="153">
        <v>1700</v>
      </c>
      <c r="N157" s="153">
        <v>9</v>
      </c>
      <c r="O157" s="81"/>
    </row>
    <row r="158" spans="1:15">
      <c r="A158" s="81" t="s">
        <v>613</v>
      </c>
      <c r="B158" s="81" t="s">
        <v>614</v>
      </c>
      <c r="C158" s="81" t="s">
        <v>339</v>
      </c>
      <c r="D158" s="81" t="s">
        <v>206</v>
      </c>
      <c r="E158" s="81" t="s">
        <v>548</v>
      </c>
      <c r="F158" s="153">
        <v>290</v>
      </c>
      <c r="G158" s="153">
        <v>12</v>
      </c>
      <c r="H158" s="153">
        <v>2</v>
      </c>
      <c r="I158" s="153">
        <v>25</v>
      </c>
      <c r="J158" s="153">
        <v>9</v>
      </c>
      <c r="K158" s="153">
        <v>0</v>
      </c>
      <c r="L158" s="153">
        <v>1</v>
      </c>
      <c r="M158" s="153">
        <v>1000</v>
      </c>
      <c r="N158" s="153">
        <v>9</v>
      </c>
      <c r="O158" s="81"/>
    </row>
    <row r="159" spans="1:15">
      <c r="A159" s="81" t="s">
        <v>461</v>
      </c>
      <c r="B159" s="81" t="s">
        <v>462</v>
      </c>
      <c r="C159" s="81" t="s">
        <v>463</v>
      </c>
      <c r="D159" s="81" t="s">
        <v>206</v>
      </c>
      <c r="E159" s="81" t="s">
        <v>548</v>
      </c>
      <c r="F159" s="153">
        <v>536</v>
      </c>
      <c r="G159" s="153">
        <v>7</v>
      </c>
      <c r="H159" s="153">
        <v>53</v>
      </c>
      <c r="I159" s="153">
        <v>35</v>
      </c>
      <c r="J159" s="153">
        <v>5</v>
      </c>
      <c r="K159" s="153">
        <v>4</v>
      </c>
      <c r="L159" s="153">
        <v>0.5</v>
      </c>
      <c r="M159" s="153">
        <v>525</v>
      </c>
      <c r="N159" s="153">
        <v>9</v>
      </c>
      <c r="O159" s="81"/>
    </row>
    <row r="160" spans="1:15">
      <c r="A160" s="81" t="s">
        <v>464</v>
      </c>
      <c r="B160" s="81" t="s">
        <v>465</v>
      </c>
      <c r="C160" s="81" t="s">
        <v>205</v>
      </c>
      <c r="D160" s="81" t="s">
        <v>206</v>
      </c>
      <c r="E160" s="81" t="s">
        <v>548</v>
      </c>
      <c r="F160" s="153">
        <v>11</v>
      </c>
      <c r="G160" s="153">
        <v>0.5</v>
      </c>
      <c r="H160" s="153">
        <v>2.2999999999999998</v>
      </c>
      <c r="I160" s="153">
        <v>0.2</v>
      </c>
      <c r="J160" s="153">
        <v>0</v>
      </c>
      <c r="K160" s="153">
        <v>1.2</v>
      </c>
      <c r="L160" s="153">
        <v>1.2</v>
      </c>
      <c r="M160" s="153">
        <v>1200</v>
      </c>
      <c r="N160" s="153">
        <v>6</v>
      </c>
      <c r="O160" s="81"/>
    </row>
    <row r="161" spans="1:15">
      <c r="A161" s="81" t="s">
        <v>466</v>
      </c>
      <c r="B161" s="81" t="s">
        <v>467</v>
      </c>
      <c r="C161" s="81" t="s">
        <v>339</v>
      </c>
      <c r="D161" s="81" t="s">
        <v>206</v>
      </c>
      <c r="E161" s="81" t="s">
        <v>548</v>
      </c>
      <c r="F161" s="153">
        <v>117</v>
      </c>
      <c r="G161" s="153">
        <v>18.3</v>
      </c>
      <c r="H161" s="153">
        <v>0</v>
      </c>
      <c r="I161" s="153">
        <v>4.3</v>
      </c>
      <c r="J161" s="153">
        <v>0.9</v>
      </c>
      <c r="K161" s="153">
        <v>0</v>
      </c>
      <c r="L161" s="153">
        <v>0</v>
      </c>
      <c r="M161" s="153">
        <v>1200</v>
      </c>
      <c r="N161" s="153">
        <v>7</v>
      </c>
      <c r="O161" s="81"/>
    </row>
    <row r="162" spans="1:15">
      <c r="A162" s="81" t="s">
        <v>468</v>
      </c>
      <c r="B162" s="81" t="s">
        <v>469</v>
      </c>
      <c r="C162" s="81" t="s">
        <v>339</v>
      </c>
      <c r="D162" s="81" t="s">
        <v>206</v>
      </c>
      <c r="E162" s="81" t="s">
        <v>548</v>
      </c>
      <c r="F162" s="153">
        <v>95</v>
      </c>
      <c r="G162" s="153">
        <v>7.5</v>
      </c>
      <c r="H162" s="153">
        <v>15</v>
      </c>
      <c r="I162" s="153">
        <v>0.5</v>
      </c>
      <c r="J162" s="153">
        <v>0.1</v>
      </c>
      <c r="K162" s="153">
        <v>0.5</v>
      </c>
      <c r="L162" s="153">
        <v>6.5</v>
      </c>
      <c r="M162" s="153">
        <v>700</v>
      </c>
      <c r="N162" s="153">
        <v>8</v>
      </c>
      <c r="O162" s="81"/>
    </row>
    <row r="163" spans="1:15">
      <c r="A163" s="81" t="s">
        <v>615</v>
      </c>
      <c r="B163" s="81" t="s">
        <v>616</v>
      </c>
      <c r="C163" s="81" t="s">
        <v>470</v>
      </c>
      <c r="D163" s="81" t="s">
        <v>206</v>
      </c>
      <c r="E163" s="81" t="s">
        <v>548</v>
      </c>
      <c r="F163" s="153">
        <v>0</v>
      </c>
      <c r="G163" s="153">
        <v>0</v>
      </c>
      <c r="H163" s="153">
        <v>0</v>
      </c>
      <c r="I163" s="153">
        <v>0</v>
      </c>
      <c r="J163" s="153">
        <v>0</v>
      </c>
      <c r="K163" s="153">
        <v>0</v>
      </c>
      <c r="L163" s="153">
        <v>0</v>
      </c>
      <c r="M163" s="153">
        <v>0</v>
      </c>
      <c r="N163" s="153">
        <v>6</v>
      </c>
      <c r="O163" s="81"/>
    </row>
    <row r="164" spans="1:15">
      <c r="A164" s="81" t="s">
        <v>617</v>
      </c>
      <c r="B164" s="81" t="s">
        <v>618</v>
      </c>
      <c r="C164" s="81" t="s">
        <v>470</v>
      </c>
      <c r="D164" s="81" t="s">
        <v>206</v>
      </c>
      <c r="E164" s="81" t="s">
        <v>548</v>
      </c>
      <c r="F164" s="153">
        <v>400</v>
      </c>
      <c r="G164" s="153">
        <v>80</v>
      </c>
      <c r="H164" s="153">
        <v>8</v>
      </c>
      <c r="I164" s="153">
        <v>6</v>
      </c>
      <c r="J164" s="153">
        <v>2</v>
      </c>
      <c r="K164" s="153">
        <v>2</v>
      </c>
      <c r="L164" s="153">
        <v>3</v>
      </c>
      <c r="M164" s="153">
        <v>500</v>
      </c>
      <c r="N164" s="153">
        <v>7</v>
      </c>
      <c r="O164" s="81"/>
    </row>
    <row r="165" spans="1:15">
      <c r="A165" s="81" t="s">
        <v>619</v>
      </c>
      <c r="B165" s="81" t="s">
        <v>620</v>
      </c>
      <c r="C165" s="81" t="s">
        <v>470</v>
      </c>
      <c r="D165" s="81" t="s">
        <v>206</v>
      </c>
      <c r="E165" s="81" t="s">
        <v>548</v>
      </c>
      <c r="F165" s="153">
        <v>375</v>
      </c>
      <c r="G165" s="153">
        <v>90</v>
      </c>
      <c r="H165" s="153">
        <v>3</v>
      </c>
      <c r="I165" s="153">
        <v>1.5</v>
      </c>
      <c r="J165" s="153">
        <v>0.6</v>
      </c>
      <c r="K165" s="153">
        <v>0</v>
      </c>
      <c r="L165" s="153">
        <v>1</v>
      </c>
      <c r="M165" s="153">
        <v>350</v>
      </c>
      <c r="N165" s="153">
        <v>7</v>
      </c>
      <c r="O165" s="81"/>
    </row>
    <row r="166" spans="1:15">
      <c r="A166" s="81" t="s">
        <v>621</v>
      </c>
      <c r="B166" s="81" t="s">
        <v>622</v>
      </c>
      <c r="C166" s="81" t="s">
        <v>470</v>
      </c>
      <c r="D166" s="81" t="s">
        <v>206</v>
      </c>
      <c r="E166" s="81" t="s">
        <v>548</v>
      </c>
      <c r="F166" s="153">
        <v>370</v>
      </c>
      <c r="G166" s="153">
        <v>82</v>
      </c>
      <c r="H166" s="153">
        <v>7</v>
      </c>
      <c r="I166" s="153">
        <v>2.5</v>
      </c>
      <c r="J166" s="153">
        <v>1.2</v>
      </c>
      <c r="K166" s="153">
        <v>0</v>
      </c>
      <c r="L166" s="153">
        <v>4</v>
      </c>
      <c r="M166" s="153">
        <v>420</v>
      </c>
      <c r="N166" s="153">
        <v>7</v>
      </c>
      <c r="O166" s="81"/>
    </row>
    <row r="167" spans="1:15">
      <c r="A167" s="81"/>
      <c r="B167" s="81"/>
      <c r="C167" s="81"/>
      <c r="D167" s="81"/>
      <c r="E167" s="81"/>
      <c r="F167" s="153"/>
      <c r="G167" s="153"/>
      <c r="H167" s="153"/>
      <c r="I167" s="153"/>
      <c r="J167" s="153"/>
      <c r="K167" s="153"/>
      <c r="L167" s="153"/>
      <c r="M167" s="153"/>
      <c r="N167" s="153"/>
      <c r="O167" s="81"/>
    </row>
    <row r="168" spans="1:15">
      <c r="A168" s="81"/>
      <c r="B168" s="81"/>
      <c r="C168" s="81"/>
      <c r="D168" s="81"/>
      <c r="E168" s="81"/>
      <c r="F168" s="153"/>
      <c r="G168" s="153"/>
      <c r="H168" s="153"/>
      <c r="I168" s="153"/>
      <c r="J168" s="153"/>
      <c r="K168" s="153"/>
      <c r="L168" s="153"/>
      <c r="M168" s="153"/>
      <c r="N168" s="153"/>
      <c r="O168" s="81"/>
    </row>
    <row r="169" spans="1:15">
      <c r="A169" s="81"/>
      <c r="B169" s="81"/>
      <c r="C169" s="81"/>
      <c r="D169" s="81"/>
      <c r="E169" s="81"/>
      <c r="F169" s="153"/>
      <c r="G169" s="153"/>
      <c r="H169" s="153"/>
      <c r="I169" s="153"/>
      <c r="J169" s="153"/>
      <c r="K169" s="153"/>
      <c r="L169" s="153"/>
      <c r="M169" s="153"/>
      <c r="N169" s="153"/>
      <c r="O169" s="81"/>
    </row>
    <row r="170" spans="1:15">
      <c r="A170" s="81"/>
      <c r="B170" s="81"/>
      <c r="C170" s="81"/>
      <c r="D170" s="81"/>
      <c r="E170" s="81"/>
      <c r="F170" s="153"/>
      <c r="G170" s="153"/>
      <c r="H170" s="153"/>
      <c r="I170" s="153"/>
      <c r="J170" s="153"/>
      <c r="K170" s="153"/>
      <c r="L170" s="153"/>
      <c r="M170" s="153"/>
      <c r="N170" s="153"/>
      <c r="O170" s="81"/>
    </row>
    <row r="171" spans="1:15">
      <c r="A171" s="81"/>
      <c r="B171" s="81"/>
      <c r="C171" s="81"/>
      <c r="D171" s="81"/>
      <c r="E171" s="81"/>
      <c r="F171" s="153"/>
      <c r="G171" s="153"/>
      <c r="H171" s="153"/>
      <c r="I171" s="153"/>
      <c r="J171" s="153"/>
      <c r="K171" s="153"/>
      <c r="L171" s="153"/>
      <c r="M171" s="153"/>
      <c r="N171" s="153"/>
      <c r="O171" s="81"/>
    </row>
    <row r="172" spans="1:15">
      <c r="A172" s="81"/>
      <c r="B172" s="81"/>
      <c r="C172" s="81"/>
      <c r="D172" s="81"/>
      <c r="E172" s="81"/>
      <c r="F172" s="153"/>
      <c r="G172" s="153"/>
      <c r="H172" s="153"/>
      <c r="I172" s="153"/>
      <c r="J172" s="153"/>
      <c r="K172" s="153"/>
      <c r="L172" s="153"/>
      <c r="M172" s="153"/>
      <c r="N172" s="153"/>
      <c r="O172" s="81"/>
    </row>
    <row r="173" spans="1:15">
      <c r="A173" s="81"/>
      <c r="B173" s="81"/>
      <c r="C173" s="81"/>
      <c r="D173" s="81"/>
      <c r="E173" s="81"/>
      <c r="F173" s="153"/>
      <c r="G173" s="153"/>
      <c r="H173" s="153"/>
      <c r="I173" s="153"/>
      <c r="J173" s="153"/>
      <c r="K173" s="153"/>
      <c r="L173" s="153"/>
      <c r="M173" s="153"/>
      <c r="N173" s="153"/>
      <c r="O173" s="81"/>
    </row>
    <row r="174" spans="1:15">
      <c r="A174" s="81"/>
      <c r="B174" s="81"/>
      <c r="C174" s="81"/>
      <c r="D174" s="81"/>
      <c r="E174" s="81"/>
      <c r="F174" s="153"/>
      <c r="G174" s="153"/>
      <c r="H174" s="153"/>
      <c r="I174" s="153"/>
      <c r="J174" s="153"/>
      <c r="K174" s="153"/>
      <c r="L174" s="153"/>
      <c r="M174" s="153"/>
      <c r="N174" s="153"/>
      <c r="O174" s="81"/>
    </row>
    <row r="175" spans="1:15">
      <c r="A175" s="81"/>
      <c r="B175" s="81"/>
      <c r="C175" s="81"/>
      <c r="D175" s="81"/>
      <c r="E175" s="81"/>
      <c r="F175" s="153"/>
      <c r="G175" s="153"/>
      <c r="H175" s="153"/>
      <c r="I175" s="153"/>
      <c r="J175" s="153"/>
      <c r="K175" s="153"/>
      <c r="L175" s="153"/>
      <c r="M175" s="153"/>
      <c r="N175" s="153"/>
      <c r="O175" s="81"/>
    </row>
    <row r="176" spans="1:15">
      <c r="A176" s="81"/>
      <c r="B176" s="81"/>
      <c r="C176" s="81"/>
      <c r="D176" s="81"/>
      <c r="E176" s="81"/>
      <c r="F176" s="153"/>
      <c r="G176" s="153"/>
      <c r="H176" s="153"/>
      <c r="I176" s="153"/>
      <c r="J176" s="153"/>
      <c r="K176" s="153"/>
      <c r="L176" s="153"/>
      <c r="M176" s="153"/>
      <c r="N176" s="153"/>
      <c r="O176" s="81"/>
    </row>
    <row r="177" spans="1:15">
      <c r="A177" s="81"/>
      <c r="B177" s="81"/>
      <c r="C177" s="81"/>
      <c r="D177" s="81"/>
      <c r="E177" s="81"/>
      <c r="F177" s="153"/>
      <c r="G177" s="153"/>
      <c r="H177" s="153"/>
      <c r="I177" s="153"/>
      <c r="J177" s="153"/>
      <c r="K177" s="153"/>
      <c r="L177" s="153"/>
      <c r="M177" s="153"/>
      <c r="N177" s="153"/>
      <c r="O177" s="81"/>
    </row>
    <row r="178" spans="1:15">
      <c r="A178" s="81"/>
      <c r="B178" s="81"/>
      <c r="C178" s="81"/>
      <c r="D178" s="81"/>
      <c r="E178" s="81"/>
      <c r="F178" s="153"/>
      <c r="G178" s="153"/>
      <c r="H178" s="153"/>
      <c r="I178" s="153"/>
      <c r="J178" s="153"/>
      <c r="K178" s="153"/>
      <c r="L178" s="153"/>
      <c r="M178" s="153"/>
      <c r="N178" s="153"/>
      <c r="O178" s="81"/>
    </row>
    <row r="179" spans="1:15">
      <c r="A179" s="81"/>
      <c r="B179" s="81"/>
      <c r="C179" s="81"/>
      <c r="D179" s="81"/>
      <c r="E179" s="81"/>
      <c r="F179" s="153"/>
      <c r="G179" s="153"/>
      <c r="H179" s="153"/>
      <c r="I179" s="153"/>
      <c r="J179" s="153"/>
      <c r="K179" s="153"/>
      <c r="L179" s="153"/>
      <c r="M179" s="153"/>
      <c r="N179" s="153"/>
      <c r="O179" s="81"/>
    </row>
    <row r="180" spans="1:15">
      <c r="A180" s="81"/>
      <c r="B180" s="81"/>
      <c r="C180" s="81"/>
      <c r="D180" s="81"/>
      <c r="E180" s="81"/>
      <c r="F180" s="153"/>
      <c r="G180" s="153"/>
      <c r="H180" s="153"/>
      <c r="I180" s="153"/>
      <c r="J180" s="153"/>
      <c r="K180" s="153"/>
      <c r="L180" s="153"/>
      <c r="M180" s="153"/>
      <c r="N180" s="153"/>
      <c r="O180" s="81"/>
    </row>
    <row r="181" spans="1:15">
      <c r="A181" s="81"/>
      <c r="B181" s="81"/>
      <c r="C181" s="81"/>
      <c r="D181" s="81"/>
      <c r="E181" s="81"/>
      <c r="F181" s="153"/>
      <c r="G181" s="153"/>
      <c r="H181" s="153"/>
      <c r="I181" s="153"/>
      <c r="J181" s="153"/>
      <c r="K181" s="153"/>
      <c r="L181" s="153"/>
      <c r="M181" s="153"/>
      <c r="N181" s="153"/>
      <c r="O181" s="81"/>
    </row>
    <row r="182" spans="1:15">
      <c r="A182" s="81"/>
      <c r="B182" s="81"/>
      <c r="C182" s="81"/>
      <c r="D182" s="81"/>
      <c r="E182" s="81"/>
      <c r="F182" s="153"/>
      <c r="G182" s="153"/>
      <c r="H182" s="153"/>
      <c r="I182" s="153"/>
      <c r="J182" s="153"/>
      <c r="K182" s="153"/>
      <c r="L182" s="153"/>
      <c r="M182" s="153"/>
      <c r="N182" s="153"/>
      <c r="O182" s="81"/>
    </row>
    <row r="183" spans="1:15">
      <c r="A183" s="81"/>
      <c r="B183" s="81"/>
      <c r="C183" s="81"/>
      <c r="D183" s="81"/>
      <c r="E183" s="81"/>
      <c r="F183" s="153"/>
      <c r="G183" s="153"/>
      <c r="H183" s="153"/>
      <c r="I183" s="153"/>
      <c r="J183" s="153"/>
      <c r="K183" s="153"/>
      <c r="L183" s="153"/>
      <c r="M183" s="153"/>
      <c r="N183" s="153"/>
      <c r="O183" s="81"/>
    </row>
    <row r="184" spans="1:15">
      <c r="A184" s="81"/>
      <c r="B184" s="81"/>
      <c r="C184" s="81"/>
      <c r="D184" s="81"/>
      <c r="E184" s="81"/>
      <c r="F184" s="153"/>
      <c r="G184" s="153"/>
      <c r="H184" s="153"/>
      <c r="I184" s="153"/>
      <c r="J184" s="153"/>
      <c r="K184" s="153"/>
      <c r="L184" s="153"/>
      <c r="M184" s="153"/>
      <c r="N184" s="153"/>
      <c r="O184" s="81"/>
    </row>
    <row r="185" spans="1:15">
      <c r="A185" s="81"/>
      <c r="B185" s="81"/>
      <c r="C185" s="81"/>
      <c r="D185" s="81"/>
      <c r="E185" s="81"/>
      <c r="F185" s="153"/>
      <c r="G185" s="153"/>
      <c r="H185" s="153"/>
      <c r="I185" s="153"/>
      <c r="J185" s="153"/>
      <c r="K185" s="153"/>
      <c r="L185" s="153"/>
      <c r="M185" s="153"/>
      <c r="N185" s="153"/>
      <c r="O185" s="81"/>
    </row>
    <row r="186" spans="1:15">
      <c r="A186" s="81"/>
      <c r="B186" s="81"/>
      <c r="C186" s="81"/>
      <c r="D186" s="81"/>
      <c r="E186" s="81"/>
      <c r="F186" s="153"/>
      <c r="G186" s="153"/>
      <c r="H186" s="153"/>
      <c r="I186" s="153"/>
      <c r="J186" s="153"/>
      <c r="K186" s="153"/>
      <c r="L186" s="153"/>
      <c r="M186" s="153"/>
      <c r="N186" s="153"/>
      <c r="O186" s="81"/>
    </row>
    <row r="187" spans="1:15">
      <c r="A187" s="81"/>
      <c r="B187" s="81"/>
      <c r="C187" s="81"/>
      <c r="D187" s="81"/>
      <c r="E187" s="81"/>
      <c r="F187" s="153"/>
      <c r="G187" s="153"/>
      <c r="H187" s="153"/>
      <c r="I187" s="153"/>
      <c r="J187" s="153"/>
      <c r="K187" s="153"/>
      <c r="L187" s="153"/>
      <c r="M187" s="153"/>
      <c r="N187" s="153"/>
      <c r="O187" s="81"/>
    </row>
    <row r="188" spans="1:15">
      <c r="A188" s="81"/>
      <c r="B188" s="81"/>
      <c r="C188" s="81"/>
      <c r="D188" s="81"/>
      <c r="E188" s="81"/>
      <c r="F188" s="153"/>
      <c r="G188" s="153"/>
      <c r="H188" s="153"/>
      <c r="I188" s="153"/>
      <c r="J188" s="153"/>
      <c r="K188" s="153"/>
      <c r="L188" s="153"/>
      <c r="M188" s="153"/>
      <c r="N188" s="153"/>
      <c r="O188" s="81"/>
    </row>
    <row r="189" spans="1:15">
      <c r="A189" s="81"/>
      <c r="B189" s="81"/>
      <c r="C189" s="81"/>
      <c r="D189" s="81"/>
      <c r="E189" s="81"/>
      <c r="F189" s="153"/>
      <c r="G189" s="153"/>
      <c r="H189" s="153"/>
      <c r="I189" s="153"/>
      <c r="J189" s="153"/>
      <c r="K189" s="153"/>
      <c r="L189" s="153"/>
      <c r="M189" s="153"/>
      <c r="N189" s="153"/>
      <c r="O189" s="81"/>
    </row>
    <row r="190" spans="1:15">
      <c r="A190" s="81"/>
      <c r="B190" s="81"/>
      <c r="C190" s="81"/>
      <c r="D190" s="81"/>
      <c r="E190" s="81"/>
      <c r="F190" s="153"/>
      <c r="G190" s="153"/>
      <c r="H190" s="153"/>
      <c r="I190" s="153"/>
      <c r="J190" s="153"/>
      <c r="K190" s="153"/>
      <c r="L190" s="153"/>
      <c r="M190" s="153"/>
      <c r="N190" s="153"/>
      <c r="O190" s="81"/>
    </row>
    <row r="191" spans="1:15">
      <c r="A191" s="81"/>
      <c r="B191" s="81"/>
      <c r="C191" s="81"/>
      <c r="D191" s="81"/>
      <c r="E191" s="81"/>
      <c r="F191" s="153"/>
      <c r="G191" s="153"/>
      <c r="H191" s="153"/>
      <c r="I191" s="153"/>
      <c r="J191" s="153"/>
      <c r="K191" s="153"/>
      <c r="L191" s="153"/>
      <c r="M191" s="153"/>
      <c r="N191" s="153"/>
      <c r="O191" s="81"/>
    </row>
    <row r="192" spans="1:15">
      <c r="A192" s="81"/>
      <c r="B192" s="81"/>
      <c r="C192" s="81"/>
      <c r="D192" s="81"/>
      <c r="E192" s="81"/>
      <c r="F192" s="153"/>
      <c r="G192" s="153"/>
      <c r="H192" s="153"/>
      <c r="I192" s="153"/>
      <c r="J192" s="153"/>
      <c r="K192" s="153"/>
      <c r="L192" s="153"/>
      <c r="M192" s="153"/>
      <c r="N192" s="153"/>
      <c r="O192" s="81"/>
    </row>
    <row r="193" spans="1:15">
      <c r="A193" s="81"/>
      <c r="B193" s="81"/>
      <c r="C193" s="81"/>
      <c r="D193" s="81"/>
      <c r="E193" s="81"/>
      <c r="F193" s="153"/>
      <c r="G193" s="153"/>
      <c r="H193" s="153"/>
      <c r="I193" s="153"/>
      <c r="J193" s="153"/>
      <c r="K193" s="153"/>
      <c r="L193" s="153"/>
      <c r="M193" s="153"/>
      <c r="N193" s="153"/>
      <c r="O193" s="81"/>
    </row>
    <row r="194" spans="1:15">
      <c r="A194" s="81"/>
      <c r="B194" s="81"/>
      <c r="C194" s="81"/>
      <c r="D194" s="81"/>
      <c r="E194" s="81"/>
      <c r="F194" s="153"/>
      <c r="G194" s="153"/>
      <c r="H194" s="153"/>
      <c r="I194" s="153"/>
      <c r="J194" s="153"/>
      <c r="K194" s="153"/>
      <c r="L194" s="153"/>
      <c r="M194" s="153"/>
      <c r="N194" s="153"/>
      <c r="O194" s="81"/>
    </row>
    <row r="195" spans="1:15">
      <c r="A195" s="81"/>
      <c r="B195" s="81"/>
      <c r="C195" s="81"/>
      <c r="D195" s="81"/>
      <c r="E195" s="81"/>
      <c r="F195" s="153"/>
      <c r="G195" s="153"/>
      <c r="H195" s="153"/>
      <c r="I195" s="153"/>
      <c r="J195" s="153"/>
      <c r="K195" s="153"/>
      <c r="L195" s="153"/>
      <c r="M195" s="153"/>
      <c r="N195" s="153"/>
      <c r="O195" s="81"/>
    </row>
    <row r="196" spans="1:15">
      <c r="A196" s="81"/>
      <c r="B196" s="81"/>
      <c r="C196" s="81"/>
      <c r="D196" s="81"/>
      <c r="E196" s="81"/>
      <c r="F196" s="153"/>
      <c r="G196" s="153"/>
      <c r="H196" s="153"/>
      <c r="I196" s="153"/>
      <c r="J196" s="153"/>
      <c r="K196" s="153"/>
      <c r="L196" s="153"/>
      <c r="M196" s="153"/>
      <c r="N196" s="153"/>
      <c r="O196" s="81"/>
    </row>
    <row r="197" spans="1:15">
      <c r="A197" s="81"/>
      <c r="B197" s="81"/>
      <c r="C197" s="81"/>
      <c r="D197" s="81"/>
      <c r="E197" s="81"/>
      <c r="F197" s="153"/>
      <c r="G197" s="153"/>
      <c r="H197" s="153"/>
      <c r="I197" s="153"/>
      <c r="J197" s="153"/>
      <c r="K197" s="153"/>
      <c r="L197" s="153"/>
      <c r="M197" s="153"/>
      <c r="N197" s="153"/>
      <c r="O197" s="81"/>
    </row>
    <row r="198" spans="1:15">
      <c r="A198" s="81"/>
      <c r="B198" s="81"/>
      <c r="C198" s="81"/>
      <c r="D198" s="81"/>
      <c r="E198" s="81"/>
      <c r="F198" s="153"/>
      <c r="G198" s="153"/>
      <c r="H198" s="153"/>
      <c r="I198" s="153"/>
      <c r="J198" s="153"/>
      <c r="K198" s="153"/>
      <c r="L198" s="153"/>
      <c r="M198" s="153"/>
      <c r="N198" s="153"/>
      <c r="O198" s="81"/>
    </row>
    <row r="199" spans="1:15">
      <c r="A199" s="81"/>
      <c r="B199" s="81"/>
      <c r="C199" s="81"/>
      <c r="D199" s="81"/>
      <c r="E199" s="81"/>
      <c r="F199" s="153"/>
      <c r="G199" s="153"/>
      <c r="H199" s="153"/>
      <c r="I199" s="153"/>
      <c r="J199" s="153"/>
      <c r="K199" s="153"/>
      <c r="L199" s="153"/>
      <c r="M199" s="153"/>
      <c r="N199" s="153"/>
      <c r="O199" s="81"/>
    </row>
    <row r="200" spans="1:15">
      <c r="A200" s="81"/>
      <c r="B200" s="81"/>
      <c r="C200" s="81"/>
      <c r="D200" s="81"/>
      <c r="E200" s="81"/>
      <c r="F200" s="153"/>
      <c r="G200" s="153"/>
      <c r="H200" s="153"/>
      <c r="I200" s="153"/>
      <c r="J200" s="153"/>
      <c r="K200" s="153"/>
      <c r="L200" s="153"/>
      <c r="M200" s="153"/>
      <c r="N200" s="153"/>
      <c r="O200" s="81"/>
    </row>
    <row r="201" spans="1:15">
      <c r="A201" s="81"/>
      <c r="B201" s="81"/>
      <c r="C201" s="81"/>
      <c r="D201" s="81"/>
      <c r="E201" s="81"/>
      <c r="F201" s="153"/>
      <c r="G201" s="153"/>
      <c r="H201" s="153"/>
      <c r="I201" s="153"/>
      <c r="J201" s="153"/>
      <c r="K201" s="153"/>
      <c r="L201" s="153"/>
      <c r="M201" s="153"/>
      <c r="N201" s="153"/>
      <c r="O201" s="81"/>
    </row>
    <row r="202" spans="1:15">
      <c r="A202" s="81"/>
      <c r="B202" s="81"/>
      <c r="C202" s="81"/>
      <c r="D202" s="81"/>
      <c r="E202" s="81"/>
      <c r="F202" s="153"/>
      <c r="G202" s="153"/>
      <c r="H202" s="153"/>
      <c r="I202" s="153"/>
      <c r="J202" s="153"/>
      <c r="K202" s="153"/>
      <c r="L202" s="153"/>
      <c r="M202" s="153"/>
      <c r="N202" s="153"/>
      <c r="O202" s="81"/>
    </row>
    <row r="203" spans="1:15">
      <c r="A203" s="81"/>
      <c r="B203" s="81"/>
      <c r="C203" s="81"/>
      <c r="D203" s="81"/>
      <c r="E203" s="81"/>
      <c r="F203" s="153"/>
      <c r="G203" s="153"/>
      <c r="H203" s="153"/>
      <c r="I203" s="153"/>
      <c r="J203" s="153"/>
      <c r="K203" s="153"/>
      <c r="L203" s="153"/>
      <c r="M203" s="153"/>
      <c r="N203" s="153"/>
      <c r="O203" s="81"/>
    </row>
    <row r="204" spans="1:15">
      <c r="A204" s="81"/>
      <c r="B204" s="81"/>
      <c r="C204" s="81"/>
      <c r="D204" s="81"/>
      <c r="E204" s="81"/>
      <c r="F204" s="153"/>
      <c r="G204" s="153"/>
      <c r="H204" s="153"/>
      <c r="I204" s="153"/>
      <c r="J204" s="153"/>
      <c r="K204" s="153"/>
      <c r="L204" s="153"/>
      <c r="M204" s="153"/>
      <c r="N204" s="153"/>
      <c r="O204" s="81"/>
    </row>
    <row r="205" spans="1:15">
      <c r="A205" s="81"/>
      <c r="B205" s="81"/>
      <c r="C205" s="81"/>
      <c r="D205" s="81"/>
      <c r="E205" s="81"/>
      <c r="F205" s="153"/>
      <c r="G205" s="153"/>
      <c r="H205" s="153"/>
      <c r="I205" s="153"/>
      <c r="J205" s="153"/>
      <c r="K205" s="153"/>
      <c r="L205" s="153"/>
      <c r="M205" s="153"/>
      <c r="N205" s="153"/>
      <c r="O205" s="81"/>
    </row>
    <row r="206" spans="1:15">
      <c r="A206" s="81"/>
      <c r="B206" s="81"/>
      <c r="C206" s="81"/>
      <c r="D206" s="81"/>
      <c r="E206" s="81"/>
      <c r="F206" s="153"/>
      <c r="G206" s="153"/>
      <c r="H206" s="153"/>
      <c r="I206" s="153"/>
      <c r="J206" s="153"/>
      <c r="K206" s="153"/>
      <c r="L206" s="153"/>
      <c r="M206" s="153"/>
      <c r="N206" s="153"/>
      <c r="O206" s="81"/>
    </row>
    <row r="207" spans="1:15">
      <c r="A207" s="81"/>
      <c r="B207" s="81"/>
      <c r="C207" s="81"/>
      <c r="D207" s="81"/>
      <c r="E207" s="81"/>
      <c r="F207" s="153"/>
      <c r="G207" s="153"/>
      <c r="H207" s="153"/>
      <c r="I207" s="153"/>
      <c r="J207" s="153"/>
      <c r="K207" s="153"/>
      <c r="L207" s="153"/>
      <c r="M207" s="153"/>
      <c r="N207" s="153"/>
      <c r="O207" s="81"/>
    </row>
    <row r="208" spans="1:15">
      <c r="A208" s="81"/>
      <c r="B208" s="81"/>
      <c r="C208" s="81"/>
      <c r="D208" s="81"/>
      <c r="E208" s="81"/>
      <c r="F208" s="153"/>
      <c r="G208" s="153"/>
      <c r="H208" s="153"/>
      <c r="I208" s="153"/>
      <c r="J208" s="153"/>
      <c r="K208" s="153"/>
      <c r="L208" s="153"/>
      <c r="M208" s="153"/>
      <c r="N208" s="153"/>
      <c r="O208" s="81"/>
    </row>
    <row r="209" spans="1:15">
      <c r="A209" s="81"/>
      <c r="B209" s="81"/>
      <c r="C209" s="81"/>
      <c r="D209" s="81"/>
      <c r="E209" s="81"/>
      <c r="F209" s="153"/>
      <c r="G209" s="153"/>
      <c r="H209" s="153"/>
      <c r="I209" s="153"/>
      <c r="J209" s="153"/>
      <c r="K209" s="153"/>
      <c r="L209" s="153"/>
      <c r="M209" s="153"/>
      <c r="N209" s="153"/>
      <c r="O209" s="81"/>
    </row>
    <row r="210" spans="1:15">
      <c r="A210" s="81"/>
      <c r="B210" s="81"/>
      <c r="C210" s="81"/>
      <c r="D210" s="81"/>
      <c r="E210" s="81"/>
      <c r="F210" s="153"/>
      <c r="G210" s="153"/>
      <c r="H210" s="153"/>
      <c r="I210" s="153"/>
      <c r="J210" s="153"/>
      <c r="K210" s="153"/>
      <c r="L210" s="153"/>
      <c r="M210" s="153"/>
      <c r="N210" s="153"/>
      <c r="O210" s="81"/>
    </row>
    <row r="211" spans="1:15">
      <c r="A211" s="81"/>
      <c r="B211" s="81"/>
      <c r="C211" s="81"/>
      <c r="D211" s="81"/>
      <c r="E211" s="81"/>
      <c r="F211" s="153"/>
      <c r="G211" s="153"/>
      <c r="H211" s="153"/>
      <c r="I211" s="153"/>
      <c r="J211" s="153"/>
      <c r="K211" s="153"/>
      <c r="L211" s="153"/>
      <c r="M211" s="153"/>
      <c r="N211" s="153"/>
      <c r="O211" s="81"/>
    </row>
    <row r="212" spans="1:15">
      <c r="A212" s="81"/>
      <c r="B212" s="81"/>
      <c r="C212" s="81"/>
      <c r="D212" s="81"/>
      <c r="E212" s="81"/>
      <c r="F212" s="153"/>
      <c r="G212" s="153"/>
      <c r="H212" s="153"/>
      <c r="I212" s="153"/>
      <c r="J212" s="153"/>
      <c r="K212" s="153"/>
      <c r="L212" s="153"/>
      <c r="M212" s="153"/>
      <c r="N212" s="153"/>
      <c r="O212" s="81"/>
    </row>
    <row r="213" spans="1:15">
      <c r="A213" s="81"/>
      <c r="B213" s="81"/>
      <c r="C213" s="81"/>
      <c r="D213" s="81"/>
      <c r="E213" s="81"/>
      <c r="F213" s="153"/>
      <c r="G213" s="153"/>
      <c r="H213" s="153"/>
      <c r="I213" s="153"/>
      <c r="J213" s="153"/>
      <c r="K213" s="153"/>
      <c r="L213" s="153"/>
      <c r="M213" s="153"/>
      <c r="N213" s="153"/>
      <c r="O213" s="81"/>
    </row>
    <row r="214" spans="1:15">
      <c r="A214" s="81"/>
      <c r="B214" s="81"/>
      <c r="C214" s="81"/>
      <c r="D214" s="81"/>
      <c r="E214" s="81"/>
      <c r="F214" s="153"/>
      <c r="G214" s="153"/>
      <c r="H214" s="153"/>
      <c r="I214" s="153"/>
      <c r="J214" s="153"/>
      <c r="K214" s="153"/>
      <c r="L214" s="153"/>
      <c r="M214" s="153"/>
      <c r="N214" s="153"/>
      <c r="O214" s="81"/>
    </row>
    <row r="215" spans="1:15">
      <c r="A215" s="81"/>
      <c r="B215" s="81"/>
      <c r="C215" s="81"/>
      <c r="D215" s="81"/>
      <c r="E215" s="81"/>
      <c r="F215" s="153"/>
      <c r="G215" s="153"/>
      <c r="H215" s="153"/>
      <c r="I215" s="153"/>
      <c r="J215" s="153"/>
      <c r="K215" s="153"/>
      <c r="L215" s="153"/>
      <c r="M215" s="153"/>
      <c r="N215" s="153"/>
      <c r="O215" s="81"/>
    </row>
    <row r="216" spans="1:15">
      <c r="A216" s="81"/>
      <c r="B216" s="81"/>
      <c r="C216" s="81"/>
      <c r="D216" s="81"/>
      <c r="E216" s="81"/>
      <c r="F216" s="153"/>
      <c r="G216" s="153"/>
      <c r="H216" s="153"/>
      <c r="I216" s="153"/>
      <c r="J216" s="153"/>
      <c r="K216" s="153"/>
      <c r="L216" s="153"/>
      <c r="M216" s="153"/>
      <c r="N216" s="153"/>
      <c r="O216" s="81"/>
    </row>
    <row r="217" spans="1:15">
      <c r="A217" s="81"/>
      <c r="B217" s="81"/>
      <c r="C217" s="81"/>
      <c r="D217" s="81"/>
      <c r="E217" s="81"/>
      <c r="F217" s="153"/>
      <c r="G217" s="153"/>
      <c r="H217" s="153"/>
      <c r="I217" s="153"/>
      <c r="J217" s="153"/>
      <c r="K217" s="153"/>
      <c r="L217" s="153"/>
      <c r="M217" s="153"/>
      <c r="N217" s="153"/>
      <c r="O217" s="81"/>
    </row>
    <row r="218" spans="1:15">
      <c r="A218" s="81"/>
      <c r="B218" s="81"/>
      <c r="C218" s="81"/>
      <c r="D218" s="81"/>
      <c r="E218" s="81"/>
      <c r="F218" s="153"/>
      <c r="G218" s="153"/>
      <c r="H218" s="153"/>
      <c r="I218" s="153"/>
      <c r="J218" s="153"/>
      <c r="K218" s="153"/>
      <c r="L218" s="153"/>
      <c r="M218" s="153"/>
      <c r="N218" s="153"/>
      <c r="O218" s="81"/>
    </row>
    <row r="219" spans="1:15">
      <c r="A219" s="81"/>
      <c r="B219" s="81"/>
      <c r="C219" s="81"/>
      <c r="D219" s="81"/>
      <c r="E219" s="81"/>
      <c r="F219" s="153"/>
      <c r="G219" s="153"/>
      <c r="H219" s="153"/>
      <c r="I219" s="153"/>
      <c r="J219" s="153"/>
      <c r="K219" s="153"/>
      <c r="L219" s="153"/>
      <c r="M219" s="153"/>
      <c r="N219" s="153"/>
      <c r="O219" s="81"/>
    </row>
    <row r="220" spans="1:15">
      <c r="A220" s="81"/>
      <c r="B220" s="81"/>
      <c r="C220" s="81"/>
      <c r="D220" s="81"/>
      <c r="E220" s="81"/>
      <c r="F220" s="153"/>
      <c r="G220" s="153"/>
      <c r="H220" s="153"/>
      <c r="I220" s="153"/>
      <c r="J220" s="153"/>
      <c r="K220" s="153"/>
      <c r="L220" s="153"/>
      <c r="M220" s="153"/>
      <c r="N220" s="153"/>
      <c r="O220" s="81"/>
    </row>
    <row r="221" spans="1:15">
      <c r="A221" s="81"/>
      <c r="B221" s="81"/>
      <c r="C221" s="81"/>
      <c r="D221" s="81"/>
      <c r="E221" s="81"/>
      <c r="F221" s="153"/>
      <c r="G221" s="153"/>
      <c r="H221" s="153"/>
      <c r="I221" s="153"/>
      <c r="J221" s="153"/>
      <c r="K221" s="153"/>
      <c r="L221" s="153"/>
      <c r="M221" s="153"/>
      <c r="N221" s="153"/>
      <c r="O221" s="81"/>
    </row>
    <row r="222" spans="1:15">
      <c r="A222" s="81"/>
      <c r="B222" s="81"/>
      <c r="C222" s="81"/>
      <c r="D222" s="81"/>
      <c r="E222" s="81"/>
      <c r="F222" s="153"/>
      <c r="G222" s="153"/>
      <c r="H222" s="153"/>
      <c r="I222" s="153"/>
      <c r="J222" s="153"/>
      <c r="K222" s="153"/>
      <c r="L222" s="153"/>
      <c r="M222" s="153"/>
      <c r="N222" s="153"/>
      <c r="O222" s="81"/>
    </row>
    <row r="223" spans="1:15">
      <c r="A223" s="81"/>
      <c r="B223" s="81"/>
      <c r="C223" s="81"/>
      <c r="D223" s="81"/>
      <c r="E223" s="81"/>
      <c r="F223" s="153"/>
      <c r="G223" s="153"/>
      <c r="H223" s="153"/>
      <c r="I223" s="153"/>
      <c r="J223" s="153"/>
      <c r="K223" s="153"/>
      <c r="L223" s="153"/>
      <c r="M223" s="153"/>
      <c r="N223" s="153"/>
      <c r="O223" s="81"/>
    </row>
    <row r="224" spans="1:15">
      <c r="A224" s="81"/>
      <c r="B224" s="81"/>
      <c r="C224" s="81"/>
      <c r="D224" s="81"/>
      <c r="E224" s="81"/>
      <c r="F224" s="153"/>
      <c r="G224" s="153"/>
      <c r="H224" s="153"/>
      <c r="I224" s="153"/>
      <c r="J224" s="153"/>
      <c r="K224" s="153"/>
      <c r="L224" s="153"/>
      <c r="M224" s="153"/>
      <c r="N224" s="153"/>
      <c r="O224" s="81"/>
    </row>
    <row r="225" spans="1:15">
      <c r="A225" s="81"/>
      <c r="B225" s="81"/>
      <c r="C225" s="81"/>
      <c r="D225" s="81"/>
      <c r="E225" s="81"/>
      <c r="F225" s="153"/>
      <c r="G225" s="153"/>
      <c r="H225" s="153"/>
      <c r="I225" s="153"/>
      <c r="J225" s="153"/>
      <c r="K225" s="153"/>
      <c r="L225" s="153"/>
      <c r="M225" s="153"/>
      <c r="N225" s="153"/>
      <c r="O225" s="81"/>
    </row>
    <row r="226" spans="1:15">
      <c r="A226" s="81"/>
      <c r="B226" s="81"/>
      <c r="C226" s="81"/>
      <c r="D226" s="81"/>
      <c r="E226" s="81"/>
      <c r="F226" s="153"/>
      <c r="G226" s="153"/>
      <c r="H226" s="153"/>
      <c r="I226" s="153"/>
      <c r="J226" s="153"/>
      <c r="K226" s="153"/>
      <c r="L226" s="153"/>
      <c r="M226" s="153"/>
      <c r="N226" s="153"/>
      <c r="O226" s="81"/>
    </row>
    <row r="227" spans="1:15">
      <c r="A227" s="81"/>
      <c r="B227" s="81"/>
      <c r="C227" s="81"/>
      <c r="D227" s="81"/>
      <c r="E227" s="81"/>
      <c r="F227" s="153"/>
      <c r="G227" s="153"/>
      <c r="H227" s="153"/>
      <c r="I227" s="153"/>
      <c r="J227" s="153"/>
      <c r="K227" s="153"/>
      <c r="L227" s="153"/>
      <c r="M227" s="153"/>
      <c r="N227" s="153"/>
      <c r="O227" s="81"/>
    </row>
    <row r="228" spans="1:15">
      <c r="A228" s="81"/>
      <c r="B228" s="81"/>
      <c r="C228" s="81"/>
      <c r="D228" s="81"/>
      <c r="E228" s="81"/>
      <c r="F228" s="153"/>
      <c r="G228" s="153"/>
      <c r="H228" s="153"/>
      <c r="I228" s="153"/>
      <c r="J228" s="153"/>
      <c r="K228" s="153"/>
      <c r="L228" s="153"/>
      <c r="M228" s="153"/>
      <c r="N228" s="153"/>
      <c r="O228" s="81"/>
    </row>
    <row r="229" spans="1:15">
      <c r="A229" s="81"/>
      <c r="B229" s="81"/>
      <c r="C229" s="81"/>
      <c r="D229" s="81"/>
      <c r="E229" s="81"/>
      <c r="F229" s="153"/>
      <c r="G229" s="153"/>
      <c r="H229" s="153"/>
      <c r="I229" s="153"/>
      <c r="J229" s="153"/>
      <c r="K229" s="153"/>
      <c r="L229" s="153"/>
      <c r="M229" s="153"/>
      <c r="N229" s="153"/>
      <c r="O229" s="81"/>
    </row>
    <row r="230" spans="1:15">
      <c r="A230" s="81"/>
      <c r="B230" s="81"/>
      <c r="C230" s="81"/>
      <c r="D230" s="81"/>
      <c r="E230" s="81"/>
      <c r="F230" s="153"/>
      <c r="G230" s="153"/>
      <c r="H230" s="153"/>
      <c r="I230" s="153"/>
      <c r="J230" s="153"/>
      <c r="K230" s="153"/>
      <c r="L230" s="153"/>
      <c r="M230" s="153"/>
      <c r="N230" s="153"/>
      <c r="O230" s="81"/>
    </row>
    <row r="231" spans="1:15">
      <c r="A231" s="81"/>
      <c r="B231" s="81"/>
      <c r="C231" s="81"/>
      <c r="D231" s="81"/>
      <c r="E231" s="81"/>
      <c r="F231" s="153"/>
      <c r="G231" s="153"/>
      <c r="H231" s="153"/>
      <c r="I231" s="153"/>
      <c r="J231" s="153"/>
      <c r="K231" s="153"/>
      <c r="L231" s="153"/>
      <c r="M231" s="153"/>
      <c r="N231" s="153"/>
      <c r="O231" s="81"/>
    </row>
    <row r="232" spans="1:15">
      <c r="A232" s="81"/>
      <c r="B232" s="81"/>
      <c r="C232" s="81"/>
      <c r="D232" s="81"/>
      <c r="E232" s="81"/>
      <c r="F232" s="153"/>
      <c r="G232" s="153"/>
      <c r="H232" s="153"/>
      <c r="I232" s="153"/>
      <c r="J232" s="153"/>
      <c r="K232" s="153"/>
      <c r="L232" s="153"/>
      <c r="M232" s="153"/>
      <c r="N232" s="153"/>
      <c r="O232" s="81"/>
    </row>
    <row r="233" spans="1:15">
      <c r="A233" s="81"/>
      <c r="B233" s="81"/>
      <c r="C233" s="81"/>
      <c r="D233" s="81"/>
      <c r="E233" s="81"/>
      <c r="F233" s="153"/>
      <c r="G233" s="153"/>
      <c r="H233" s="153"/>
      <c r="I233" s="153"/>
      <c r="J233" s="153"/>
      <c r="K233" s="153"/>
      <c r="L233" s="153"/>
      <c r="M233" s="153"/>
      <c r="N233" s="153"/>
      <c r="O233" s="81"/>
    </row>
    <row r="234" spans="1:15">
      <c r="A234" s="81"/>
      <c r="B234" s="81"/>
      <c r="C234" s="81"/>
      <c r="D234" s="81"/>
      <c r="E234" s="81"/>
      <c r="F234" s="153"/>
      <c r="G234" s="153"/>
      <c r="H234" s="153"/>
      <c r="I234" s="153"/>
      <c r="J234" s="153"/>
      <c r="K234" s="153"/>
      <c r="L234" s="153"/>
      <c r="M234" s="153"/>
      <c r="N234" s="153"/>
      <c r="O234" s="81"/>
    </row>
    <row r="235" spans="1:15">
      <c r="A235" s="81"/>
      <c r="B235" s="81"/>
      <c r="C235" s="81"/>
      <c r="D235" s="81"/>
      <c r="E235" s="81"/>
      <c r="F235" s="153"/>
      <c r="G235" s="153"/>
      <c r="H235" s="153"/>
      <c r="I235" s="153"/>
      <c r="J235" s="153"/>
      <c r="K235" s="153"/>
      <c r="L235" s="153"/>
      <c r="M235" s="153"/>
      <c r="N235" s="153"/>
      <c r="O235" s="81"/>
    </row>
    <row r="236" spans="1:15">
      <c r="A236" s="81"/>
      <c r="B236" s="81"/>
      <c r="C236" s="81"/>
      <c r="D236" s="81"/>
      <c r="E236" s="81"/>
      <c r="F236" s="153"/>
      <c r="G236" s="153"/>
      <c r="H236" s="153"/>
      <c r="I236" s="153"/>
      <c r="J236" s="153"/>
      <c r="K236" s="153"/>
      <c r="L236" s="153"/>
      <c r="M236" s="153"/>
      <c r="N236" s="153"/>
      <c r="O236" s="81"/>
    </row>
    <row r="237" spans="1:15">
      <c r="A237" s="81"/>
      <c r="B237" s="81"/>
      <c r="C237" s="81"/>
      <c r="D237" s="81"/>
      <c r="E237" s="81"/>
      <c r="F237" s="153"/>
      <c r="G237" s="153"/>
      <c r="H237" s="153"/>
      <c r="I237" s="153"/>
      <c r="J237" s="153"/>
      <c r="K237" s="153"/>
      <c r="L237" s="153"/>
      <c r="M237" s="153"/>
      <c r="N237" s="153"/>
      <c r="O237" s="81"/>
    </row>
    <row r="238" spans="1:15">
      <c r="A238" s="81"/>
      <c r="B238" s="81"/>
      <c r="C238" s="81"/>
      <c r="D238" s="81"/>
      <c r="E238" s="81"/>
      <c r="F238" s="153"/>
      <c r="G238" s="153"/>
      <c r="H238" s="153"/>
      <c r="I238" s="153"/>
      <c r="J238" s="153"/>
      <c r="K238" s="153"/>
      <c r="L238" s="153"/>
      <c r="M238" s="153"/>
      <c r="N238" s="153"/>
      <c r="O238" s="81"/>
    </row>
    <row r="239" spans="1:15">
      <c r="A239" s="81"/>
      <c r="B239" s="81"/>
      <c r="C239" s="81"/>
      <c r="D239" s="81"/>
      <c r="E239" s="81"/>
      <c r="F239" s="153"/>
      <c r="G239" s="153"/>
      <c r="H239" s="153"/>
      <c r="I239" s="153"/>
      <c r="J239" s="153"/>
      <c r="K239" s="153"/>
      <c r="L239" s="153"/>
      <c r="M239" s="153"/>
      <c r="N239" s="153"/>
      <c r="O239" s="81"/>
    </row>
    <row r="240" spans="1:15">
      <c r="A240" s="81"/>
      <c r="B240" s="81"/>
      <c r="C240" s="81"/>
      <c r="D240" s="81"/>
      <c r="E240" s="81"/>
      <c r="F240" s="153"/>
      <c r="G240" s="153"/>
      <c r="H240" s="153"/>
      <c r="I240" s="153"/>
      <c r="J240" s="153"/>
      <c r="K240" s="153"/>
      <c r="L240" s="153"/>
      <c r="M240" s="153"/>
      <c r="N240" s="153"/>
      <c r="O240" s="81"/>
    </row>
    <row r="241" spans="1:15">
      <c r="A241" s="81"/>
      <c r="B241" s="81"/>
      <c r="C241" s="81"/>
      <c r="D241" s="81"/>
      <c r="E241" s="81"/>
      <c r="F241" s="153"/>
      <c r="G241" s="153"/>
      <c r="H241" s="153"/>
      <c r="I241" s="153"/>
      <c r="J241" s="153"/>
      <c r="K241" s="153"/>
      <c r="L241" s="153"/>
      <c r="M241" s="153"/>
      <c r="N241" s="153"/>
      <c r="O241" s="81"/>
    </row>
    <row r="242" spans="1:15">
      <c r="A242" s="81"/>
      <c r="B242" s="81"/>
      <c r="C242" s="81"/>
      <c r="D242" s="81"/>
      <c r="E242" s="81"/>
      <c r="F242" s="153"/>
      <c r="G242" s="153"/>
      <c r="H242" s="153"/>
      <c r="I242" s="153"/>
      <c r="J242" s="153"/>
      <c r="K242" s="153"/>
      <c r="L242" s="153"/>
      <c r="M242" s="153"/>
      <c r="N242" s="153"/>
      <c r="O242" s="81"/>
    </row>
    <row r="243" spans="1:15">
      <c r="A243" s="81"/>
      <c r="B243" s="81"/>
      <c r="C243" s="81"/>
      <c r="D243" s="81"/>
      <c r="E243" s="81"/>
      <c r="F243" s="153"/>
      <c r="G243" s="153"/>
      <c r="H243" s="153"/>
      <c r="I243" s="153"/>
      <c r="J243" s="153"/>
      <c r="K243" s="153"/>
      <c r="L243" s="153"/>
      <c r="M243" s="153"/>
      <c r="N243" s="153"/>
      <c r="O243" s="81"/>
    </row>
    <row r="244" spans="1:15">
      <c r="A244" s="81"/>
      <c r="B244" s="81"/>
      <c r="C244" s="81"/>
      <c r="D244" s="81"/>
      <c r="E244" s="81"/>
      <c r="F244" s="153"/>
      <c r="G244" s="153"/>
      <c r="H244" s="153"/>
      <c r="I244" s="153"/>
      <c r="J244" s="153"/>
      <c r="K244" s="153"/>
      <c r="L244" s="153"/>
      <c r="M244" s="153"/>
      <c r="N244" s="153"/>
      <c r="O244" s="81"/>
    </row>
    <row r="245" spans="1:15">
      <c r="A245" s="81"/>
      <c r="B245" s="81"/>
      <c r="C245" s="81"/>
      <c r="D245" s="81"/>
      <c r="E245" s="81"/>
      <c r="F245" s="153"/>
      <c r="G245" s="153"/>
      <c r="H245" s="153"/>
      <c r="I245" s="153"/>
      <c r="J245" s="153"/>
      <c r="K245" s="153"/>
      <c r="L245" s="153"/>
      <c r="M245" s="153"/>
      <c r="N245" s="153"/>
      <c r="O245" s="81"/>
    </row>
    <row r="246" spans="1:15">
      <c r="A246" s="81"/>
      <c r="B246" s="81"/>
      <c r="C246" s="81"/>
      <c r="D246" s="81"/>
      <c r="E246" s="81"/>
      <c r="F246" s="153"/>
      <c r="G246" s="153"/>
      <c r="H246" s="153"/>
      <c r="I246" s="153"/>
      <c r="J246" s="153"/>
      <c r="K246" s="153"/>
      <c r="L246" s="153"/>
      <c r="M246" s="153"/>
      <c r="N246" s="153"/>
      <c r="O246" s="81"/>
    </row>
    <row r="247" spans="1:15">
      <c r="A247" s="81"/>
      <c r="B247" s="81"/>
      <c r="C247" s="81"/>
      <c r="D247" s="81"/>
      <c r="E247" s="81"/>
      <c r="F247" s="153"/>
      <c r="G247" s="153"/>
      <c r="H247" s="153"/>
      <c r="I247" s="153"/>
      <c r="J247" s="153"/>
      <c r="K247" s="153"/>
      <c r="L247" s="153"/>
      <c r="M247" s="153"/>
      <c r="N247" s="153"/>
      <c r="O247" s="81"/>
    </row>
    <row r="248" spans="1:15">
      <c r="A248" s="81"/>
      <c r="B248" s="81"/>
      <c r="C248" s="81"/>
      <c r="D248" s="81"/>
      <c r="E248" s="81"/>
      <c r="F248" s="153"/>
      <c r="G248" s="153"/>
      <c r="H248" s="153"/>
      <c r="I248" s="153"/>
      <c r="J248" s="153"/>
      <c r="K248" s="153"/>
      <c r="L248" s="153"/>
      <c r="M248" s="153"/>
      <c r="N248" s="153"/>
      <c r="O248" s="81"/>
    </row>
    <row r="249" spans="1:15">
      <c r="A249" s="81"/>
      <c r="B249" s="81"/>
      <c r="C249" s="81"/>
      <c r="D249" s="81"/>
      <c r="E249" s="81"/>
      <c r="F249" s="153"/>
      <c r="G249" s="153"/>
      <c r="H249" s="153"/>
      <c r="I249" s="153"/>
      <c r="J249" s="153"/>
      <c r="K249" s="153"/>
      <c r="L249" s="153"/>
      <c r="M249" s="153"/>
      <c r="N249" s="153"/>
      <c r="O249" s="81"/>
    </row>
    <row r="250" spans="1:15">
      <c r="A250" s="81"/>
      <c r="B250" s="81"/>
      <c r="C250" s="81"/>
      <c r="D250" s="81"/>
      <c r="E250" s="81"/>
      <c r="F250" s="153"/>
      <c r="G250" s="153"/>
      <c r="H250" s="153"/>
      <c r="I250" s="153"/>
      <c r="J250" s="153"/>
      <c r="K250" s="153"/>
      <c r="L250" s="153"/>
      <c r="M250" s="153"/>
      <c r="N250" s="153"/>
      <c r="O250" s="81"/>
    </row>
    <row r="251" spans="1:15">
      <c r="A251" s="81"/>
      <c r="B251" s="81"/>
      <c r="C251" s="81"/>
      <c r="D251" s="81"/>
      <c r="E251" s="81"/>
      <c r="F251" s="153"/>
      <c r="G251" s="153"/>
      <c r="H251" s="153"/>
      <c r="I251" s="153"/>
      <c r="J251" s="153"/>
      <c r="K251" s="153"/>
      <c r="L251" s="153"/>
      <c r="M251" s="153"/>
      <c r="N251" s="153"/>
      <c r="O251" s="81"/>
    </row>
    <row r="252" spans="1:15">
      <c r="A252" s="81"/>
      <c r="B252" s="81"/>
      <c r="C252" s="81"/>
      <c r="D252" s="81"/>
      <c r="E252" s="81"/>
      <c r="F252" s="153"/>
      <c r="G252" s="153"/>
      <c r="H252" s="153"/>
      <c r="I252" s="153"/>
      <c r="J252" s="153"/>
      <c r="K252" s="153"/>
      <c r="L252" s="153"/>
      <c r="M252" s="153"/>
      <c r="N252" s="153"/>
      <c r="O252" s="81"/>
    </row>
    <row r="253" spans="1:15">
      <c r="A253" s="81"/>
      <c r="B253" s="81"/>
      <c r="C253" s="81"/>
      <c r="D253" s="81"/>
      <c r="E253" s="81"/>
      <c r="F253" s="153"/>
      <c r="G253" s="153"/>
      <c r="H253" s="153"/>
      <c r="I253" s="153"/>
      <c r="J253" s="153"/>
      <c r="K253" s="153"/>
      <c r="L253" s="153"/>
      <c r="M253" s="153"/>
      <c r="N253" s="153"/>
      <c r="O253" s="81"/>
    </row>
    <row r="254" spans="1:15">
      <c r="A254" s="81"/>
      <c r="B254" s="81"/>
      <c r="C254" s="81"/>
      <c r="D254" s="81"/>
      <c r="E254" s="81"/>
      <c r="F254" s="153"/>
      <c r="G254" s="153"/>
      <c r="H254" s="153"/>
      <c r="I254" s="153"/>
      <c r="J254" s="153"/>
      <c r="K254" s="153"/>
      <c r="L254" s="153"/>
      <c r="M254" s="153"/>
      <c r="N254" s="153"/>
      <c r="O254" s="81"/>
    </row>
    <row r="255" spans="1:15">
      <c r="A255" s="81"/>
      <c r="B255" s="81"/>
      <c r="C255" s="81"/>
      <c r="D255" s="81"/>
      <c r="E255" s="81"/>
      <c r="F255" s="153"/>
      <c r="G255" s="153"/>
      <c r="H255" s="153"/>
      <c r="I255" s="153"/>
      <c r="J255" s="153"/>
      <c r="K255" s="153"/>
      <c r="L255" s="153"/>
      <c r="M255" s="153"/>
      <c r="N255" s="153"/>
      <c r="O255" s="81"/>
    </row>
    <row r="256" spans="1:15">
      <c r="A256" s="81"/>
      <c r="B256" s="81"/>
      <c r="C256" s="81"/>
      <c r="D256" s="81"/>
      <c r="E256" s="81"/>
      <c r="F256" s="153"/>
      <c r="G256" s="153"/>
      <c r="H256" s="153"/>
      <c r="I256" s="153"/>
      <c r="J256" s="153"/>
      <c r="K256" s="153"/>
      <c r="L256" s="153"/>
      <c r="M256" s="153"/>
      <c r="N256" s="153"/>
      <c r="O256" s="81"/>
    </row>
    <row r="257" spans="1:15">
      <c r="A257" s="81"/>
      <c r="B257" s="81"/>
      <c r="C257" s="81"/>
      <c r="D257" s="81"/>
      <c r="E257" s="81"/>
      <c r="F257" s="153"/>
      <c r="G257" s="153"/>
      <c r="H257" s="153"/>
      <c r="I257" s="153"/>
      <c r="J257" s="153"/>
      <c r="K257" s="153"/>
      <c r="L257" s="153"/>
      <c r="M257" s="153"/>
      <c r="N257" s="153"/>
      <c r="O257" s="81"/>
    </row>
    <row r="258" spans="1:15">
      <c r="A258" s="81"/>
      <c r="B258" s="81"/>
      <c r="C258" s="81"/>
      <c r="D258" s="81"/>
      <c r="E258" s="81"/>
      <c r="F258" s="153"/>
      <c r="G258" s="153"/>
      <c r="H258" s="153"/>
      <c r="I258" s="153"/>
      <c r="J258" s="153"/>
      <c r="K258" s="153"/>
      <c r="L258" s="153"/>
      <c r="M258" s="153"/>
      <c r="N258" s="153"/>
      <c r="O258" s="81"/>
    </row>
    <row r="259" spans="1:15">
      <c r="A259" s="81"/>
      <c r="B259" s="81"/>
      <c r="C259" s="81"/>
      <c r="D259" s="81"/>
      <c r="E259" s="81"/>
      <c r="F259" s="153"/>
      <c r="G259" s="153"/>
      <c r="H259" s="153"/>
      <c r="I259" s="153"/>
      <c r="J259" s="153"/>
      <c r="K259" s="153"/>
      <c r="L259" s="153"/>
      <c r="M259" s="153"/>
      <c r="N259" s="153"/>
      <c r="O259" s="81"/>
    </row>
    <row r="260" spans="1:15">
      <c r="A260" s="81"/>
      <c r="B260" s="81"/>
      <c r="C260" s="81"/>
      <c r="D260" s="81"/>
      <c r="E260" s="81"/>
      <c r="F260" s="153"/>
      <c r="G260" s="153"/>
      <c r="H260" s="153"/>
      <c r="I260" s="153"/>
      <c r="J260" s="153"/>
      <c r="K260" s="153"/>
      <c r="L260" s="153"/>
      <c r="M260" s="153"/>
      <c r="N260" s="153"/>
      <c r="O260" s="81"/>
    </row>
    <row r="261" spans="1:15">
      <c r="A261" s="81"/>
      <c r="B261" s="81"/>
      <c r="C261" s="81"/>
      <c r="D261" s="81"/>
      <c r="E261" s="81"/>
      <c r="F261" s="153"/>
      <c r="G261" s="153"/>
      <c r="H261" s="153"/>
      <c r="I261" s="153"/>
      <c r="J261" s="153"/>
      <c r="K261" s="153"/>
      <c r="L261" s="153"/>
      <c r="M261" s="153"/>
      <c r="N261" s="153"/>
      <c r="O261" s="81"/>
    </row>
    <row r="262" spans="1:15">
      <c r="A262" s="81"/>
      <c r="B262" s="81"/>
      <c r="C262" s="81"/>
      <c r="D262" s="81"/>
      <c r="E262" s="81"/>
      <c r="F262" s="153"/>
      <c r="G262" s="153"/>
      <c r="H262" s="153"/>
      <c r="I262" s="153"/>
      <c r="J262" s="153"/>
      <c r="K262" s="153"/>
      <c r="L262" s="153"/>
      <c r="M262" s="153"/>
      <c r="N262" s="153"/>
      <c r="O262" s="81"/>
    </row>
    <row r="263" spans="1:15">
      <c r="A263" s="81"/>
      <c r="B263" s="81"/>
      <c r="C263" s="81"/>
      <c r="D263" s="81"/>
      <c r="E263" s="81"/>
      <c r="F263" s="153"/>
      <c r="G263" s="153"/>
      <c r="H263" s="153"/>
      <c r="I263" s="153"/>
      <c r="J263" s="153"/>
      <c r="K263" s="153"/>
      <c r="L263" s="153"/>
      <c r="M263" s="153"/>
      <c r="N263" s="153"/>
      <c r="O263" s="81"/>
    </row>
    <row r="264" spans="1:15">
      <c r="A264" s="81"/>
      <c r="B264" s="81"/>
      <c r="C264" s="81"/>
      <c r="D264" s="81"/>
      <c r="E264" s="81"/>
      <c r="F264" s="153"/>
      <c r="G264" s="153"/>
      <c r="H264" s="153"/>
      <c r="I264" s="153"/>
      <c r="J264" s="153"/>
      <c r="K264" s="153"/>
      <c r="L264" s="153"/>
      <c r="M264" s="153"/>
      <c r="N264" s="153"/>
      <c r="O264" s="81"/>
    </row>
    <row r="265" spans="1:15">
      <c r="A265" s="81"/>
      <c r="B265" s="81"/>
      <c r="C265" s="81"/>
      <c r="D265" s="81"/>
      <c r="E265" s="81"/>
      <c r="F265" s="153"/>
      <c r="G265" s="153"/>
      <c r="H265" s="153"/>
      <c r="I265" s="153"/>
      <c r="J265" s="153"/>
      <c r="K265" s="153"/>
      <c r="L265" s="153"/>
      <c r="M265" s="153"/>
      <c r="N265" s="153"/>
      <c r="O265" s="81"/>
    </row>
    <row r="266" spans="1:15">
      <c r="A266" s="81"/>
      <c r="B266" s="81"/>
      <c r="C266" s="81"/>
      <c r="D266" s="81"/>
      <c r="E266" s="81"/>
      <c r="F266" s="153"/>
      <c r="G266" s="153"/>
      <c r="H266" s="153"/>
      <c r="I266" s="153"/>
      <c r="J266" s="153"/>
      <c r="K266" s="153"/>
      <c r="L266" s="153"/>
      <c r="M266" s="153"/>
      <c r="N266" s="153"/>
      <c r="O266" s="81"/>
    </row>
    <row r="267" spans="1:15">
      <c r="A267" s="81"/>
      <c r="B267" s="81"/>
      <c r="C267" s="81"/>
      <c r="D267" s="81"/>
      <c r="E267" s="81"/>
      <c r="F267" s="153"/>
      <c r="G267" s="153"/>
      <c r="H267" s="153"/>
      <c r="I267" s="153"/>
      <c r="J267" s="153"/>
      <c r="K267" s="153"/>
      <c r="L267" s="153"/>
      <c r="M267" s="153"/>
      <c r="N267" s="153"/>
      <c r="O267" s="81"/>
    </row>
    <row r="268" spans="1:15">
      <c r="A268" s="81"/>
      <c r="B268" s="81"/>
      <c r="C268" s="81"/>
      <c r="D268" s="81"/>
      <c r="E268" s="81"/>
      <c r="F268" s="153"/>
      <c r="G268" s="153"/>
      <c r="H268" s="153"/>
      <c r="I268" s="153"/>
      <c r="J268" s="153"/>
      <c r="K268" s="153"/>
      <c r="L268" s="153"/>
      <c r="M268" s="153"/>
      <c r="N268" s="153"/>
      <c r="O268" s="81"/>
    </row>
    <row r="269" spans="1:15">
      <c r="A269" s="81"/>
      <c r="B269" s="81"/>
      <c r="C269" s="81"/>
      <c r="D269" s="81"/>
      <c r="E269" s="81"/>
      <c r="F269" s="153"/>
      <c r="G269" s="153"/>
      <c r="H269" s="153"/>
      <c r="I269" s="153"/>
      <c r="J269" s="153"/>
      <c r="K269" s="153"/>
      <c r="L269" s="153"/>
      <c r="M269" s="153"/>
      <c r="N269" s="153"/>
      <c r="O269" s="81"/>
    </row>
    <row r="270" spans="1:15">
      <c r="A270" s="81"/>
      <c r="B270" s="81"/>
      <c r="C270" s="81"/>
      <c r="D270" s="81"/>
      <c r="E270" s="81"/>
      <c r="F270" s="153"/>
      <c r="G270" s="153"/>
      <c r="H270" s="153"/>
      <c r="I270" s="153"/>
      <c r="J270" s="153"/>
      <c r="K270" s="153"/>
      <c r="L270" s="153"/>
      <c r="M270" s="153"/>
      <c r="N270" s="153"/>
      <c r="O270" s="81"/>
    </row>
    <row r="271" spans="1:15">
      <c r="A271" s="81"/>
      <c r="B271" s="81"/>
      <c r="C271" s="81"/>
      <c r="D271" s="81"/>
      <c r="E271" s="81"/>
      <c r="F271" s="153"/>
      <c r="G271" s="153"/>
      <c r="H271" s="153"/>
      <c r="I271" s="153"/>
      <c r="J271" s="153"/>
      <c r="K271" s="153"/>
      <c r="L271" s="153"/>
      <c r="M271" s="153"/>
      <c r="N271" s="153"/>
      <c r="O271" s="81"/>
    </row>
    <row r="272" spans="1:15">
      <c r="A272" s="81"/>
      <c r="B272" s="81"/>
      <c r="C272" s="81"/>
      <c r="D272" s="81"/>
      <c r="E272" s="81"/>
      <c r="F272" s="153"/>
      <c r="G272" s="153"/>
      <c r="H272" s="153"/>
      <c r="I272" s="153"/>
      <c r="J272" s="153"/>
      <c r="K272" s="153"/>
      <c r="L272" s="153"/>
      <c r="M272" s="153"/>
      <c r="N272" s="153"/>
      <c r="O272" s="81"/>
    </row>
    <row r="273" spans="1:15">
      <c r="A273" s="81"/>
      <c r="B273" s="81"/>
      <c r="C273" s="81"/>
      <c r="D273" s="81"/>
      <c r="E273" s="81"/>
      <c r="F273" s="153"/>
      <c r="G273" s="153"/>
      <c r="H273" s="153"/>
      <c r="I273" s="153"/>
      <c r="J273" s="153"/>
      <c r="K273" s="153"/>
      <c r="L273" s="153"/>
      <c r="M273" s="153"/>
      <c r="N273" s="153"/>
      <c r="O273" s="81"/>
    </row>
    <row r="274" spans="1:15">
      <c r="A274" s="81"/>
      <c r="B274" s="81"/>
      <c r="C274" s="81"/>
      <c r="D274" s="81"/>
      <c r="E274" s="81"/>
      <c r="F274" s="153"/>
      <c r="G274" s="153"/>
      <c r="H274" s="153"/>
      <c r="I274" s="153"/>
      <c r="J274" s="153"/>
      <c r="K274" s="153"/>
      <c r="L274" s="153"/>
      <c r="M274" s="153"/>
      <c r="N274" s="153"/>
      <c r="O274" s="81"/>
    </row>
    <row r="275" spans="1:15">
      <c r="A275" s="81"/>
      <c r="B275" s="81"/>
      <c r="C275" s="81"/>
      <c r="D275" s="81"/>
      <c r="E275" s="81"/>
      <c r="F275" s="153"/>
      <c r="G275" s="153"/>
      <c r="H275" s="153"/>
      <c r="I275" s="153"/>
      <c r="J275" s="153"/>
      <c r="K275" s="153"/>
      <c r="L275" s="153"/>
      <c r="M275" s="153"/>
      <c r="N275" s="153"/>
      <c r="O275" s="81"/>
    </row>
    <row r="276" spans="1:15">
      <c r="A276" s="81"/>
      <c r="B276" s="81"/>
      <c r="C276" s="81"/>
      <c r="D276" s="81"/>
      <c r="E276" s="81"/>
      <c r="F276" s="153"/>
      <c r="G276" s="153"/>
      <c r="H276" s="153"/>
      <c r="I276" s="153"/>
      <c r="J276" s="153"/>
      <c r="K276" s="153"/>
      <c r="L276" s="153"/>
      <c r="M276" s="153"/>
      <c r="N276" s="153"/>
      <c r="O276" s="81"/>
    </row>
    <row r="277" spans="1:15">
      <c r="A277" s="81"/>
      <c r="B277" s="81"/>
      <c r="C277" s="81"/>
      <c r="D277" s="81"/>
      <c r="E277" s="81"/>
      <c r="F277" s="153"/>
      <c r="G277" s="153"/>
      <c r="H277" s="153"/>
      <c r="I277" s="153"/>
      <c r="J277" s="153"/>
      <c r="K277" s="153"/>
      <c r="L277" s="153"/>
      <c r="M277" s="153"/>
      <c r="N277" s="153"/>
      <c r="O277" s="81"/>
    </row>
    <row r="278" spans="1:15">
      <c r="A278" s="81"/>
      <c r="B278" s="81"/>
      <c r="C278" s="81"/>
      <c r="D278" s="81"/>
      <c r="E278" s="81"/>
      <c r="F278" s="153"/>
      <c r="G278" s="153"/>
      <c r="H278" s="153"/>
      <c r="I278" s="153"/>
      <c r="J278" s="153"/>
      <c r="K278" s="153"/>
      <c r="L278" s="153"/>
      <c r="M278" s="153"/>
      <c r="N278" s="153"/>
      <c r="O278" s="81"/>
    </row>
    <row r="279" spans="1:15">
      <c r="A279" s="81"/>
      <c r="B279" s="81"/>
      <c r="C279" s="81"/>
      <c r="D279" s="81"/>
      <c r="E279" s="81"/>
      <c r="F279" s="153"/>
      <c r="G279" s="153"/>
      <c r="H279" s="153"/>
      <c r="I279" s="153"/>
      <c r="J279" s="153"/>
      <c r="K279" s="153"/>
      <c r="L279" s="153"/>
      <c r="M279" s="153"/>
      <c r="N279" s="153"/>
      <c r="O279" s="81"/>
    </row>
    <row r="280" spans="1:15">
      <c r="A280" s="81"/>
      <c r="B280" s="81"/>
      <c r="C280" s="81"/>
      <c r="D280" s="81"/>
      <c r="E280" s="81"/>
      <c r="F280" s="153"/>
      <c r="G280" s="153"/>
      <c r="H280" s="153"/>
      <c r="I280" s="153"/>
      <c r="J280" s="153"/>
      <c r="K280" s="153"/>
      <c r="L280" s="153"/>
      <c r="M280" s="153"/>
      <c r="N280" s="153"/>
      <c r="O280" s="81"/>
    </row>
    <row r="281" spans="1:15">
      <c r="A281" s="81"/>
      <c r="B281" s="81"/>
      <c r="C281" s="81"/>
      <c r="D281" s="81"/>
      <c r="E281" s="81"/>
      <c r="F281" s="153"/>
      <c r="G281" s="153"/>
      <c r="H281" s="153"/>
      <c r="I281" s="153"/>
      <c r="J281" s="153"/>
      <c r="K281" s="153"/>
      <c r="L281" s="153"/>
      <c r="M281" s="153"/>
      <c r="N281" s="153"/>
      <c r="O281" s="81"/>
    </row>
    <row r="282" spans="1:15">
      <c r="A282" s="81"/>
      <c r="B282" s="81"/>
      <c r="C282" s="81"/>
      <c r="D282" s="81"/>
      <c r="E282" s="81"/>
      <c r="F282" s="153"/>
      <c r="G282" s="153"/>
      <c r="H282" s="153"/>
      <c r="I282" s="153"/>
      <c r="J282" s="153"/>
      <c r="K282" s="153"/>
      <c r="L282" s="153"/>
      <c r="M282" s="153"/>
      <c r="N282" s="153"/>
      <c r="O282" s="81"/>
    </row>
    <row r="283" spans="1:15">
      <c r="A283" s="81"/>
      <c r="B283" s="81"/>
      <c r="C283" s="81"/>
      <c r="D283" s="81"/>
      <c r="E283" s="81"/>
      <c r="F283" s="153"/>
      <c r="G283" s="153"/>
      <c r="H283" s="153"/>
      <c r="I283" s="153"/>
      <c r="J283" s="153"/>
      <c r="K283" s="153"/>
      <c r="L283" s="153"/>
      <c r="M283" s="153"/>
      <c r="N283" s="153"/>
      <c r="O283" s="81"/>
    </row>
    <row r="284" spans="1:15">
      <c r="A284" s="81"/>
      <c r="B284" s="81"/>
      <c r="C284" s="81"/>
      <c r="D284" s="81"/>
      <c r="E284" s="81"/>
      <c r="F284" s="153"/>
      <c r="G284" s="153"/>
      <c r="H284" s="153"/>
      <c r="I284" s="153"/>
      <c r="J284" s="153"/>
      <c r="K284" s="153"/>
      <c r="L284" s="153"/>
      <c r="M284" s="153"/>
      <c r="N284" s="153"/>
      <c r="O284" s="81"/>
    </row>
    <row r="285" spans="1:15">
      <c r="A285" s="81"/>
      <c r="B285" s="81"/>
      <c r="C285" s="81"/>
      <c r="D285" s="81"/>
      <c r="E285" s="81"/>
      <c r="F285" s="153"/>
      <c r="G285" s="153"/>
      <c r="H285" s="153"/>
      <c r="I285" s="153"/>
      <c r="J285" s="153"/>
      <c r="K285" s="153"/>
      <c r="L285" s="153"/>
      <c r="M285" s="153"/>
      <c r="N285" s="153"/>
      <c r="O285" s="81"/>
    </row>
    <row r="286" spans="1:15">
      <c r="A286" s="81"/>
      <c r="B286" s="81"/>
      <c r="C286" s="81"/>
      <c r="D286" s="81"/>
      <c r="E286" s="81"/>
      <c r="F286" s="153"/>
      <c r="G286" s="153"/>
      <c r="H286" s="153"/>
      <c r="I286" s="153"/>
      <c r="J286" s="153"/>
      <c r="K286" s="153"/>
      <c r="L286" s="153"/>
      <c r="M286" s="153"/>
      <c r="N286" s="153"/>
      <c r="O286" s="81"/>
    </row>
    <row r="287" spans="1:15">
      <c r="A287" s="81"/>
      <c r="B287" s="81"/>
      <c r="C287" s="81"/>
      <c r="D287" s="81"/>
      <c r="E287" s="81"/>
      <c r="F287" s="153"/>
      <c r="G287" s="153"/>
      <c r="H287" s="153"/>
      <c r="I287" s="153"/>
      <c r="J287" s="153"/>
      <c r="K287" s="153"/>
      <c r="L287" s="153"/>
      <c r="M287" s="153"/>
      <c r="N287" s="153"/>
      <c r="O287" s="81"/>
    </row>
    <row r="288" spans="1:15">
      <c r="A288" s="81"/>
      <c r="B288" s="81"/>
      <c r="C288" s="81"/>
      <c r="D288" s="81"/>
      <c r="E288" s="81"/>
      <c r="F288" s="153"/>
      <c r="G288" s="153"/>
      <c r="H288" s="153"/>
      <c r="I288" s="153"/>
      <c r="J288" s="153"/>
      <c r="K288" s="153"/>
      <c r="L288" s="153"/>
      <c r="M288" s="153"/>
      <c r="N288" s="153"/>
      <c r="O288" s="81"/>
    </row>
    <row r="289" spans="1:15">
      <c r="A289" s="81"/>
      <c r="B289" s="81"/>
      <c r="C289" s="81"/>
      <c r="D289" s="81"/>
      <c r="E289" s="81"/>
      <c r="F289" s="153"/>
      <c r="G289" s="153"/>
      <c r="H289" s="153"/>
      <c r="I289" s="153"/>
      <c r="J289" s="153"/>
      <c r="K289" s="153"/>
      <c r="L289" s="153"/>
      <c r="M289" s="153"/>
      <c r="N289" s="153"/>
      <c r="O289" s="81"/>
    </row>
    <row r="290" spans="1:15">
      <c r="A290" s="81"/>
      <c r="B290" s="81"/>
      <c r="C290" s="81"/>
      <c r="D290" s="81"/>
      <c r="E290" s="81"/>
      <c r="F290" s="153"/>
      <c r="G290" s="153"/>
      <c r="H290" s="153"/>
      <c r="I290" s="153"/>
      <c r="J290" s="153"/>
      <c r="K290" s="153"/>
      <c r="L290" s="153"/>
      <c r="M290" s="153"/>
      <c r="N290" s="153"/>
      <c r="O290" s="81"/>
    </row>
    <row r="291" spans="1:15">
      <c r="A291" s="81"/>
      <c r="B291" s="81"/>
      <c r="C291" s="81"/>
      <c r="D291" s="81"/>
      <c r="E291" s="81"/>
      <c r="F291" s="153"/>
      <c r="G291" s="153"/>
      <c r="H291" s="153"/>
      <c r="I291" s="153"/>
      <c r="J291" s="153"/>
      <c r="K291" s="153"/>
      <c r="L291" s="153"/>
      <c r="M291" s="153"/>
      <c r="N291" s="153"/>
      <c r="O291" s="81"/>
    </row>
    <row r="292" spans="1:15">
      <c r="A292" s="81"/>
      <c r="B292" s="81"/>
      <c r="C292" s="81"/>
      <c r="D292" s="81"/>
      <c r="E292" s="81"/>
      <c r="F292" s="153"/>
      <c r="G292" s="153"/>
      <c r="H292" s="153"/>
      <c r="I292" s="153"/>
      <c r="J292" s="153"/>
      <c r="K292" s="153"/>
      <c r="L292" s="153"/>
      <c r="M292" s="153"/>
      <c r="N292" s="153"/>
      <c r="O292" s="81"/>
    </row>
    <row r="293" spans="1:15">
      <c r="A293" s="81"/>
      <c r="B293" s="81"/>
      <c r="C293" s="81"/>
      <c r="D293" s="81"/>
      <c r="E293" s="81"/>
      <c r="F293" s="153"/>
      <c r="G293" s="153"/>
      <c r="H293" s="153"/>
      <c r="I293" s="153"/>
      <c r="J293" s="153"/>
      <c r="K293" s="153"/>
      <c r="L293" s="153"/>
      <c r="M293" s="153"/>
      <c r="N293" s="153"/>
      <c r="O293" s="81"/>
    </row>
    <row r="294" spans="1:15">
      <c r="A294" s="81"/>
      <c r="B294" s="81"/>
      <c r="C294" s="81"/>
      <c r="D294" s="81"/>
      <c r="E294" s="81"/>
      <c r="F294" s="153"/>
      <c r="G294" s="153"/>
      <c r="H294" s="153"/>
      <c r="I294" s="153"/>
      <c r="J294" s="153"/>
      <c r="K294" s="153"/>
      <c r="L294" s="153"/>
      <c r="M294" s="153"/>
      <c r="N294" s="153"/>
      <c r="O294" s="81"/>
    </row>
    <row r="295" spans="1:15">
      <c r="A295" s="81"/>
      <c r="B295" s="81"/>
      <c r="C295" s="81"/>
      <c r="D295" s="81"/>
      <c r="E295" s="81"/>
      <c r="F295" s="153"/>
      <c r="G295" s="153"/>
      <c r="H295" s="153"/>
      <c r="I295" s="153"/>
      <c r="J295" s="153"/>
      <c r="K295" s="153"/>
      <c r="L295" s="153"/>
      <c r="M295" s="153"/>
      <c r="N295" s="153"/>
      <c r="O295" s="81"/>
    </row>
    <row r="296" spans="1:15">
      <c r="A296" s="81"/>
      <c r="B296" s="81"/>
      <c r="C296" s="81"/>
      <c r="D296" s="81"/>
      <c r="E296" s="81"/>
      <c r="F296" s="153"/>
      <c r="G296" s="153"/>
      <c r="H296" s="153"/>
      <c r="I296" s="153"/>
      <c r="J296" s="153"/>
      <c r="K296" s="153"/>
      <c r="L296" s="153"/>
      <c r="M296" s="153"/>
      <c r="N296" s="153"/>
      <c r="O296" s="81"/>
    </row>
    <row r="297" spans="1:15">
      <c r="A297" s="81"/>
      <c r="B297" s="81"/>
      <c r="C297" s="81"/>
      <c r="D297" s="81"/>
      <c r="E297" s="81"/>
      <c r="F297" s="153"/>
      <c r="G297" s="153"/>
      <c r="H297" s="153"/>
      <c r="I297" s="153"/>
      <c r="J297" s="153"/>
      <c r="K297" s="153"/>
      <c r="L297" s="153"/>
      <c r="M297" s="153"/>
      <c r="N297" s="153"/>
      <c r="O297" s="81"/>
    </row>
    <row r="298" spans="1:15">
      <c r="A298" s="81"/>
      <c r="B298" s="81"/>
      <c r="C298" s="81"/>
      <c r="D298" s="81"/>
      <c r="E298" s="81"/>
      <c r="F298" s="153"/>
      <c r="G298" s="153"/>
      <c r="H298" s="153"/>
      <c r="I298" s="153"/>
      <c r="J298" s="153"/>
      <c r="K298" s="153"/>
      <c r="L298" s="153"/>
      <c r="M298" s="153"/>
      <c r="N298" s="153"/>
      <c r="O298" s="81"/>
    </row>
    <row r="299" spans="1:15">
      <c r="A299" s="81"/>
      <c r="B299" s="81"/>
      <c r="C299" s="81"/>
      <c r="D299" s="81"/>
      <c r="E299" s="81"/>
      <c r="F299" s="153"/>
      <c r="G299" s="153"/>
      <c r="H299" s="153"/>
      <c r="I299" s="153"/>
      <c r="J299" s="153"/>
      <c r="K299" s="153"/>
      <c r="L299" s="153"/>
      <c r="M299" s="153"/>
      <c r="N299" s="153"/>
      <c r="O299" s="81"/>
    </row>
    <row r="300" spans="1:15">
      <c r="A300" s="81"/>
      <c r="B300" s="81"/>
      <c r="C300" s="81"/>
      <c r="D300" s="81"/>
      <c r="E300" s="81"/>
      <c r="F300" s="153"/>
      <c r="G300" s="153"/>
      <c r="H300" s="153"/>
      <c r="I300" s="153"/>
      <c r="J300" s="153"/>
      <c r="K300" s="153"/>
      <c r="L300" s="153"/>
      <c r="M300" s="153"/>
      <c r="N300" s="153"/>
      <c r="O300" s="81"/>
    </row>
    <row r="301" spans="1:15">
      <c r="A301" s="81"/>
      <c r="B301" s="81"/>
      <c r="C301" s="81"/>
      <c r="D301" s="81"/>
      <c r="E301" s="81"/>
      <c r="F301" s="153"/>
      <c r="G301" s="153"/>
      <c r="H301" s="153"/>
      <c r="I301" s="153"/>
      <c r="J301" s="153"/>
      <c r="K301" s="153"/>
      <c r="L301" s="153"/>
      <c r="M301" s="153"/>
      <c r="N301" s="153"/>
      <c r="O301" s="81"/>
    </row>
    <row r="302" spans="1:15">
      <c r="A302" s="81"/>
      <c r="B302" s="81"/>
      <c r="C302" s="81"/>
      <c r="D302" s="81"/>
      <c r="E302" s="81"/>
      <c r="F302" s="153"/>
      <c r="G302" s="153"/>
      <c r="H302" s="153"/>
      <c r="I302" s="153"/>
      <c r="J302" s="153"/>
      <c r="K302" s="153"/>
      <c r="L302" s="153"/>
      <c r="M302" s="153"/>
      <c r="N302" s="153"/>
      <c r="O302" s="81"/>
    </row>
    <row r="303" spans="1:15">
      <c r="A303" s="81"/>
      <c r="B303" s="81"/>
      <c r="C303" s="81"/>
      <c r="D303" s="81"/>
      <c r="E303" s="81"/>
      <c r="F303" s="153"/>
      <c r="G303" s="153"/>
      <c r="H303" s="153"/>
      <c r="I303" s="153"/>
      <c r="J303" s="153"/>
      <c r="K303" s="153"/>
      <c r="L303" s="153"/>
      <c r="M303" s="153"/>
      <c r="N303" s="153"/>
      <c r="O303" s="81"/>
    </row>
    <row r="304" spans="1:15">
      <c r="A304" s="81"/>
      <c r="B304" s="81"/>
      <c r="C304" s="81"/>
      <c r="D304" s="81"/>
      <c r="E304" s="81"/>
      <c r="F304" s="153"/>
      <c r="G304" s="153"/>
      <c r="H304" s="153"/>
      <c r="I304" s="153"/>
      <c r="J304" s="153"/>
      <c r="K304" s="153"/>
      <c r="L304" s="153"/>
      <c r="M304" s="153"/>
      <c r="N304" s="153"/>
      <c r="O304" s="81"/>
    </row>
    <row r="305" spans="1:15">
      <c r="A305" s="81"/>
      <c r="B305" s="81"/>
      <c r="C305" s="81"/>
      <c r="D305" s="81"/>
      <c r="E305" s="81"/>
      <c r="F305" s="153"/>
      <c r="G305" s="153"/>
      <c r="H305" s="153"/>
      <c r="I305" s="153"/>
      <c r="J305" s="153"/>
      <c r="K305" s="153"/>
      <c r="L305" s="153"/>
      <c r="M305" s="153"/>
      <c r="N305" s="153"/>
      <c r="O305" s="81"/>
    </row>
    <row r="306" spans="1:15">
      <c r="A306" s="81"/>
      <c r="B306" s="81"/>
      <c r="C306" s="81"/>
      <c r="D306" s="81"/>
      <c r="E306" s="81"/>
      <c r="F306" s="153"/>
      <c r="G306" s="153"/>
      <c r="H306" s="153"/>
      <c r="I306" s="153"/>
      <c r="J306" s="153"/>
      <c r="K306" s="153"/>
      <c r="L306" s="153"/>
      <c r="M306" s="153"/>
      <c r="N306" s="153"/>
      <c r="O306" s="81"/>
    </row>
    <row r="307" spans="1:15">
      <c r="A307" s="81"/>
      <c r="B307" s="81"/>
      <c r="C307" s="81"/>
      <c r="D307" s="81"/>
      <c r="E307" s="81"/>
      <c r="F307" s="153"/>
      <c r="G307" s="153"/>
      <c r="H307" s="153"/>
      <c r="I307" s="153"/>
      <c r="J307" s="153"/>
      <c r="K307" s="153"/>
      <c r="L307" s="153"/>
      <c r="M307" s="153"/>
      <c r="N307" s="153"/>
      <c r="O307" s="81"/>
    </row>
    <row r="308" spans="1:15">
      <c r="A308" s="81"/>
      <c r="B308" s="81"/>
      <c r="C308" s="81"/>
      <c r="D308" s="81"/>
      <c r="E308" s="81"/>
      <c r="F308" s="153"/>
      <c r="G308" s="153"/>
      <c r="H308" s="153"/>
      <c r="I308" s="153"/>
      <c r="J308" s="153"/>
      <c r="K308" s="153"/>
      <c r="L308" s="153"/>
      <c r="M308" s="153"/>
      <c r="N308" s="153"/>
      <c r="O308" s="81"/>
    </row>
    <row r="309" spans="1:15">
      <c r="A309" s="81"/>
      <c r="B309" s="81"/>
      <c r="C309" s="81"/>
      <c r="D309" s="81"/>
      <c r="E309" s="81"/>
      <c r="F309" s="153"/>
      <c r="G309" s="153"/>
      <c r="H309" s="153"/>
      <c r="I309" s="153"/>
      <c r="J309" s="153"/>
      <c r="K309" s="153"/>
      <c r="L309" s="153"/>
      <c r="M309" s="153"/>
      <c r="N309" s="153"/>
      <c r="O309" s="81"/>
    </row>
    <row r="310" spans="1:15">
      <c r="A310" s="81"/>
      <c r="B310" s="81"/>
      <c r="C310" s="81"/>
      <c r="D310" s="81"/>
      <c r="E310" s="81"/>
      <c r="F310" s="153"/>
      <c r="G310" s="153"/>
      <c r="H310" s="153"/>
      <c r="I310" s="153"/>
      <c r="J310" s="153"/>
      <c r="K310" s="153"/>
      <c r="L310" s="153"/>
      <c r="M310" s="153"/>
      <c r="N310" s="153"/>
      <c r="O310" s="81"/>
    </row>
    <row r="311" spans="1:15">
      <c r="A311" s="81"/>
      <c r="B311" s="81"/>
      <c r="C311" s="81"/>
      <c r="D311" s="81"/>
      <c r="E311" s="81"/>
      <c r="F311" s="153"/>
      <c r="G311" s="153"/>
      <c r="H311" s="153"/>
      <c r="I311" s="153"/>
      <c r="J311" s="153"/>
      <c r="K311" s="153"/>
      <c r="L311" s="153"/>
      <c r="M311" s="153"/>
      <c r="N311" s="153"/>
      <c r="O311" s="81"/>
    </row>
    <row r="312" spans="1:15">
      <c r="A312" s="81"/>
      <c r="B312" s="81"/>
      <c r="C312" s="81"/>
      <c r="D312" s="81"/>
      <c r="E312" s="81"/>
      <c r="F312" s="153"/>
      <c r="G312" s="153"/>
      <c r="H312" s="153"/>
      <c r="I312" s="153"/>
      <c r="J312" s="153"/>
      <c r="K312" s="153"/>
      <c r="L312" s="153"/>
      <c r="M312" s="153"/>
      <c r="N312" s="153"/>
      <c r="O312" s="81"/>
    </row>
    <row r="313" spans="1:15">
      <c r="A313" s="81"/>
      <c r="B313" s="81"/>
      <c r="C313" s="81"/>
      <c r="D313" s="81"/>
      <c r="E313" s="81"/>
      <c r="F313" s="153"/>
      <c r="G313" s="153"/>
      <c r="H313" s="153"/>
      <c r="I313" s="153"/>
      <c r="J313" s="153"/>
      <c r="K313" s="153"/>
      <c r="L313" s="153"/>
      <c r="M313" s="153"/>
      <c r="N313" s="153"/>
      <c r="O313" s="81"/>
    </row>
    <row r="314" spans="1:15">
      <c r="A314" s="81"/>
      <c r="B314" s="81"/>
      <c r="C314" s="81"/>
      <c r="D314" s="81"/>
      <c r="E314" s="81"/>
      <c r="F314" s="153"/>
      <c r="G314" s="153"/>
      <c r="H314" s="153"/>
      <c r="I314" s="153"/>
      <c r="J314" s="153"/>
      <c r="K314" s="153"/>
      <c r="L314" s="153"/>
      <c r="M314" s="153"/>
      <c r="N314" s="153"/>
      <c r="O314" s="81"/>
    </row>
    <row r="315" spans="1:15">
      <c r="A315" s="81"/>
      <c r="B315" s="81"/>
      <c r="C315" s="81"/>
      <c r="D315" s="81"/>
      <c r="E315" s="81"/>
      <c r="F315" s="153"/>
      <c r="G315" s="153"/>
      <c r="H315" s="153"/>
      <c r="I315" s="153"/>
      <c r="J315" s="153"/>
      <c r="K315" s="153"/>
      <c r="L315" s="153"/>
      <c r="M315" s="153"/>
      <c r="N315" s="153"/>
      <c r="O315" s="81"/>
    </row>
    <row r="316" spans="1:15">
      <c r="A316" s="81"/>
      <c r="B316" s="81"/>
      <c r="C316" s="81"/>
      <c r="D316" s="81"/>
      <c r="E316" s="81"/>
      <c r="F316" s="153"/>
      <c r="G316" s="153"/>
      <c r="H316" s="153"/>
      <c r="I316" s="153"/>
      <c r="J316" s="153"/>
      <c r="K316" s="153"/>
      <c r="L316" s="153"/>
      <c r="M316" s="153"/>
      <c r="N316" s="153"/>
      <c r="O316" s="81"/>
    </row>
    <row r="317" spans="1:15">
      <c r="A317" s="81"/>
      <c r="B317" s="81"/>
      <c r="C317" s="81"/>
      <c r="D317" s="81"/>
      <c r="E317" s="81"/>
      <c r="F317" s="153"/>
      <c r="G317" s="153"/>
      <c r="H317" s="153"/>
      <c r="I317" s="153"/>
      <c r="J317" s="153"/>
      <c r="K317" s="153"/>
      <c r="L317" s="153"/>
      <c r="M317" s="153"/>
      <c r="N317" s="153"/>
      <c r="O317" s="81"/>
    </row>
    <row r="318" spans="1:15">
      <c r="A318" s="81"/>
      <c r="B318" s="81"/>
      <c r="C318" s="81"/>
      <c r="D318" s="81"/>
      <c r="E318" s="81"/>
      <c r="F318" s="153"/>
      <c r="G318" s="153"/>
      <c r="H318" s="153"/>
      <c r="I318" s="153"/>
      <c r="J318" s="153"/>
      <c r="K318" s="153"/>
      <c r="L318" s="153"/>
      <c r="M318" s="153"/>
      <c r="N318" s="153"/>
      <c r="O318" s="81"/>
    </row>
    <row r="319" spans="1:15">
      <c r="A319" s="81"/>
      <c r="B319" s="81"/>
      <c r="C319" s="81"/>
      <c r="D319" s="81"/>
      <c r="E319" s="81"/>
      <c r="F319" s="153"/>
      <c r="G319" s="153"/>
      <c r="H319" s="153"/>
      <c r="I319" s="153"/>
      <c r="J319" s="153"/>
      <c r="K319" s="153"/>
      <c r="L319" s="153"/>
      <c r="M319" s="153"/>
      <c r="N319" s="153"/>
      <c r="O319" s="81"/>
    </row>
    <row r="320" spans="1:15">
      <c r="A320" s="81"/>
      <c r="B320" s="81"/>
      <c r="C320" s="81"/>
      <c r="D320" s="81"/>
      <c r="E320" s="81"/>
      <c r="F320" s="153"/>
      <c r="G320" s="153"/>
      <c r="H320" s="153"/>
      <c r="I320" s="153"/>
      <c r="J320" s="153"/>
      <c r="K320" s="153"/>
      <c r="L320" s="153"/>
      <c r="M320" s="153"/>
      <c r="N320" s="153"/>
      <c r="O320" s="81"/>
    </row>
    <row r="321" spans="1:15">
      <c r="A321" s="81"/>
      <c r="B321" s="81"/>
      <c r="C321" s="81"/>
      <c r="D321" s="81"/>
      <c r="E321" s="81"/>
      <c r="F321" s="153"/>
      <c r="G321" s="153"/>
      <c r="H321" s="153"/>
      <c r="I321" s="153"/>
      <c r="J321" s="153"/>
      <c r="K321" s="153"/>
      <c r="L321" s="153"/>
      <c r="M321" s="153"/>
      <c r="N321" s="153"/>
      <c r="O321" s="81"/>
    </row>
    <row r="322" spans="1:15">
      <c r="A322" s="81"/>
      <c r="B322" s="81"/>
      <c r="C322" s="81"/>
      <c r="D322" s="81"/>
      <c r="E322" s="81"/>
      <c r="F322" s="153"/>
      <c r="G322" s="153"/>
      <c r="H322" s="153"/>
      <c r="I322" s="153"/>
      <c r="J322" s="153"/>
      <c r="K322" s="153"/>
      <c r="L322" s="153"/>
      <c r="M322" s="153"/>
      <c r="N322" s="153"/>
      <c r="O322" s="81"/>
    </row>
    <row r="323" spans="1:15">
      <c r="A323" s="81"/>
      <c r="B323" s="81"/>
      <c r="C323" s="81"/>
      <c r="D323" s="81"/>
      <c r="E323" s="81"/>
      <c r="F323" s="153"/>
      <c r="G323" s="153"/>
      <c r="H323" s="153"/>
      <c r="I323" s="153"/>
      <c r="J323" s="153"/>
      <c r="K323" s="153"/>
      <c r="L323" s="153"/>
      <c r="M323" s="153"/>
      <c r="N323" s="153"/>
      <c r="O323" s="81"/>
    </row>
    <row r="324" spans="1:15">
      <c r="A324" s="81"/>
      <c r="B324" s="81"/>
      <c r="C324" s="81"/>
      <c r="D324" s="81"/>
      <c r="E324" s="81"/>
      <c r="F324" s="153"/>
      <c r="G324" s="153"/>
      <c r="H324" s="153"/>
      <c r="I324" s="153"/>
      <c r="J324" s="153"/>
      <c r="K324" s="153"/>
      <c r="L324" s="153"/>
      <c r="M324" s="153"/>
      <c r="N324" s="153"/>
      <c r="O324" s="81"/>
    </row>
    <row r="325" spans="1:15">
      <c r="A325" s="81"/>
      <c r="B325" s="81"/>
      <c r="C325" s="81"/>
      <c r="D325" s="81"/>
      <c r="E325" s="81"/>
      <c r="F325" s="153"/>
      <c r="G325" s="153"/>
      <c r="H325" s="153"/>
      <c r="I325" s="153"/>
      <c r="J325" s="153"/>
      <c r="K325" s="153"/>
      <c r="L325" s="153"/>
      <c r="M325" s="153"/>
      <c r="N325" s="153"/>
      <c r="O325" s="81"/>
    </row>
    <row r="326" spans="1:15">
      <c r="A326" s="81"/>
      <c r="B326" s="81"/>
      <c r="C326" s="81"/>
      <c r="D326" s="81"/>
      <c r="E326" s="81"/>
      <c r="F326" s="153"/>
      <c r="G326" s="153"/>
      <c r="H326" s="153"/>
      <c r="I326" s="153"/>
      <c r="J326" s="153"/>
      <c r="K326" s="153"/>
      <c r="L326" s="153"/>
      <c r="M326" s="153"/>
      <c r="N326" s="153"/>
      <c r="O326" s="81"/>
    </row>
    <row r="327" spans="1:15">
      <c r="A327" s="81"/>
      <c r="B327" s="81"/>
      <c r="C327" s="81"/>
      <c r="D327" s="81"/>
      <c r="E327" s="81"/>
      <c r="F327" s="153"/>
      <c r="G327" s="153"/>
      <c r="H327" s="153"/>
      <c r="I327" s="153"/>
      <c r="J327" s="153"/>
      <c r="K327" s="153"/>
      <c r="L327" s="153"/>
      <c r="M327" s="153"/>
      <c r="N327" s="153"/>
      <c r="O327" s="81"/>
    </row>
    <row r="328" spans="1:15">
      <c r="A328" s="81"/>
      <c r="B328" s="81"/>
      <c r="C328" s="81"/>
      <c r="D328" s="81"/>
      <c r="E328" s="81"/>
      <c r="F328" s="153"/>
      <c r="G328" s="153"/>
      <c r="H328" s="153"/>
      <c r="I328" s="153"/>
      <c r="J328" s="153"/>
      <c r="K328" s="153"/>
      <c r="L328" s="153"/>
      <c r="M328" s="153"/>
      <c r="N328" s="153"/>
      <c r="O328" s="81"/>
    </row>
    <row r="329" spans="1:15">
      <c r="A329" s="81"/>
      <c r="B329" s="81"/>
      <c r="C329" s="81"/>
      <c r="D329" s="81"/>
      <c r="E329" s="81"/>
      <c r="F329" s="153"/>
      <c r="G329" s="153"/>
      <c r="H329" s="153"/>
      <c r="I329" s="153"/>
      <c r="J329" s="153"/>
      <c r="K329" s="153"/>
      <c r="L329" s="153"/>
      <c r="M329" s="153"/>
      <c r="N329" s="153"/>
      <c r="O329" s="81"/>
    </row>
    <row r="330" spans="1:15">
      <c r="A330" s="81"/>
      <c r="B330" s="81"/>
      <c r="C330" s="81"/>
      <c r="D330" s="81"/>
      <c r="E330" s="81"/>
      <c r="F330" s="153"/>
      <c r="G330" s="153"/>
      <c r="H330" s="153"/>
      <c r="I330" s="153"/>
      <c r="J330" s="153"/>
      <c r="K330" s="153"/>
      <c r="L330" s="153"/>
      <c r="M330" s="153"/>
      <c r="N330" s="153"/>
      <c r="O330" s="81"/>
    </row>
    <row r="331" spans="1:15">
      <c r="A331" s="81"/>
      <c r="B331" s="81"/>
      <c r="C331" s="81"/>
      <c r="D331" s="81"/>
      <c r="E331" s="81"/>
      <c r="F331" s="153"/>
      <c r="G331" s="153"/>
      <c r="H331" s="153"/>
      <c r="I331" s="153"/>
      <c r="J331" s="153"/>
      <c r="K331" s="153"/>
      <c r="L331" s="153"/>
      <c r="M331" s="153"/>
      <c r="N331" s="153"/>
      <c r="O331" s="81"/>
    </row>
    <row r="332" spans="1:15">
      <c r="A332" s="81"/>
      <c r="B332" s="81"/>
      <c r="C332" s="81"/>
      <c r="D332" s="81"/>
      <c r="E332" s="81"/>
      <c r="F332" s="153"/>
      <c r="G332" s="153"/>
      <c r="H332" s="153"/>
      <c r="I332" s="153"/>
      <c r="J332" s="153"/>
      <c r="K332" s="153"/>
      <c r="L332" s="153"/>
      <c r="M332" s="153"/>
      <c r="N332" s="153"/>
      <c r="O332" s="81"/>
    </row>
    <row r="333" spans="1:15">
      <c r="A333" s="81"/>
      <c r="B333" s="81"/>
      <c r="C333" s="81"/>
      <c r="D333" s="81"/>
      <c r="E333" s="81"/>
      <c r="F333" s="153"/>
      <c r="G333" s="153"/>
      <c r="H333" s="153"/>
      <c r="I333" s="153"/>
      <c r="J333" s="153"/>
      <c r="K333" s="153"/>
      <c r="L333" s="153"/>
      <c r="M333" s="153"/>
      <c r="N333" s="153"/>
      <c r="O333" s="81"/>
    </row>
    <row r="334" spans="1:15">
      <c r="A334" s="81"/>
      <c r="B334" s="81"/>
      <c r="C334" s="81"/>
      <c r="D334" s="81"/>
      <c r="E334" s="81"/>
      <c r="F334" s="153"/>
      <c r="G334" s="153"/>
      <c r="H334" s="153"/>
      <c r="I334" s="153"/>
      <c r="J334" s="153"/>
      <c r="K334" s="153"/>
      <c r="L334" s="153"/>
      <c r="M334" s="153"/>
      <c r="N334" s="153"/>
      <c r="O334" s="81"/>
    </row>
    <row r="335" spans="1:15">
      <c r="A335" s="81"/>
      <c r="B335" s="81"/>
      <c r="C335" s="81"/>
      <c r="D335" s="81"/>
      <c r="E335" s="81"/>
      <c r="F335" s="153"/>
      <c r="G335" s="153"/>
      <c r="H335" s="153"/>
      <c r="I335" s="153"/>
      <c r="J335" s="153"/>
      <c r="K335" s="153"/>
      <c r="L335" s="153"/>
      <c r="M335" s="153"/>
      <c r="N335" s="153"/>
      <c r="O335" s="81"/>
    </row>
    <row r="336" spans="1:15">
      <c r="A336" s="81"/>
      <c r="B336" s="81"/>
      <c r="C336" s="81"/>
      <c r="D336" s="81"/>
      <c r="E336" s="81"/>
      <c r="F336" s="153"/>
      <c r="G336" s="153"/>
      <c r="H336" s="153"/>
      <c r="I336" s="153"/>
      <c r="J336" s="153"/>
      <c r="K336" s="153"/>
      <c r="L336" s="153"/>
      <c r="M336" s="153"/>
      <c r="N336" s="153"/>
      <c r="O336" s="81"/>
    </row>
    <row r="337" spans="1:15">
      <c r="A337" s="81"/>
      <c r="B337" s="81"/>
      <c r="C337" s="81"/>
      <c r="D337" s="81"/>
      <c r="E337" s="81"/>
      <c r="F337" s="153"/>
      <c r="G337" s="153"/>
      <c r="H337" s="153"/>
      <c r="I337" s="153"/>
      <c r="J337" s="153"/>
      <c r="K337" s="153"/>
      <c r="L337" s="153"/>
      <c r="M337" s="153"/>
      <c r="N337" s="153"/>
      <c r="O337" s="81"/>
    </row>
    <row r="338" spans="1:15">
      <c r="A338" s="81"/>
      <c r="B338" s="81"/>
      <c r="C338" s="81"/>
      <c r="D338" s="81"/>
      <c r="E338" s="81"/>
      <c r="F338" s="153"/>
      <c r="G338" s="153"/>
      <c r="H338" s="153"/>
      <c r="I338" s="153"/>
      <c r="J338" s="153"/>
      <c r="K338" s="153"/>
      <c r="L338" s="153"/>
      <c r="M338" s="153"/>
      <c r="N338" s="153"/>
      <c r="O338" s="81"/>
    </row>
    <row r="339" spans="1:15">
      <c r="A339" s="81"/>
      <c r="B339" s="81"/>
      <c r="C339" s="81"/>
      <c r="D339" s="81"/>
      <c r="E339" s="81"/>
      <c r="F339" s="153"/>
      <c r="G339" s="153"/>
      <c r="H339" s="153"/>
      <c r="I339" s="153"/>
      <c r="J339" s="153"/>
      <c r="K339" s="153"/>
      <c r="L339" s="153"/>
      <c r="M339" s="153"/>
      <c r="N339" s="153"/>
      <c r="O339" s="81"/>
    </row>
    <row r="340" spans="1:15">
      <c r="A340" s="81"/>
      <c r="B340" s="81"/>
      <c r="C340" s="81"/>
      <c r="D340" s="81"/>
      <c r="E340" s="81"/>
      <c r="F340" s="153"/>
      <c r="G340" s="153"/>
      <c r="H340" s="153"/>
      <c r="I340" s="153"/>
      <c r="J340" s="153"/>
      <c r="K340" s="153"/>
      <c r="L340" s="153"/>
      <c r="M340" s="153"/>
      <c r="N340" s="153"/>
      <c r="O340" s="81"/>
    </row>
    <row r="341" spans="1:15">
      <c r="A341" s="81"/>
      <c r="B341" s="81"/>
      <c r="C341" s="81"/>
      <c r="D341" s="81"/>
      <c r="E341" s="81"/>
      <c r="F341" s="153"/>
      <c r="G341" s="153"/>
      <c r="H341" s="153"/>
      <c r="I341" s="153"/>
      <c r="J341" s="153"/>
      <c r="K341" s="153"/>
      <c r="L341" s="153"/>
      <c r="M341" s="153"/>
      <c r="N341" s="153"/>
      <c r="O341" s="81"/>
    </row>
    <row r="342" spans="1:15">
      <c r="A342" s="81"/>
      <c r="B342" s="81"/>
      <c r="C342" s="81"/>
      <c r="D342" s="81"/>
      <c r="E342" s="81"/>
      <c r="F342" s="153"/>
      <c r="G342" s="153"/>
      <c r="H342" s="153"/>
      <c r="I342" s="153"/>
      <c r="J342" s="153"/>
      <c r="K342" s="153"/>
      <c r="L342" s="153"/>
      <c r="M342" s="153"/>
      <c r="N342" s="153"/>
      <c r="O342" s="81"/>
    </row>
    <row r="343" spans="1:15">
      <c r="A343" s="81"/>
      <c r="B343" s="81"/>
      <c r="C343" s="81"/>
      <c r="D343" s="81"/>
      <c r="E343" s="81"/>
      <c r="F343" s="153"/>
      <c r="G343" s="153"/>
      <c r="H343" s="153"/>
      <c r="I343" s="153"/>
      <c r="J343" s="153"/>
      <c r="K343" s="153"/>
      <c r="L343" s="153"/>
      <c r="M343" s="153"/>
      <c r="N343" s="153"/>
      <c r="O343" s="81"/>
    </row>
    <row r="344" spans="1:15">
      <c r="A344" s="81"/>
      <c r="B344" s="81"/>
      <c r="C344" s="81"/>
      <c r="D344" s="81"/>
      <c r="E344" s="81"/>
      <c r="F344" s="153"/>
      <c r="G344" s="153"/>
      <c r="H344" s="153"/>
      <c r="I344" s="153"/>
      <c r="J344" s="153"/>
      <c r="K344" s="153"/>
      <c r="L344" s="153"/>
      <c r="M344" s="153"/>
      <c r="N344" s="153"/>
      <c r="O344" s="81"/>
    </row>
    <row r="345" spans="1:15">
      <c r="A345" s="81"/>
      <c r="B345" s="81"/>
      <c r="C345" s="81"/>
      <c r="D345" s="81"/>
      <c r="E345" s="81"/>
      <c r="F345" s="153"/>
      <c r="G345" s="153"/>
      <c r="H345" s="153"/>
      <c r="I345" s="153"/>
      <c r="J345" s="153"/>
      <c r="K345" s="153"/>
      <c r="L345" s="153"/>
      <c r="M345" s="153"/>
      <c r="N345" s="153"/>
      <c r="O345" s="81"/>
    </row>
    <row r="346" spans="1:15">
      <c r="A346" s="81"/>
      <c r="B346" s="81"/>
      <c r="C346" s="81"/>
      <c r="D346" s="81"/>
      <c r="E346" s="81"/>
      <c r="F346" s="153"/>
      <c r="G346" s="153"/>
      <c r="H346" s="153"/>
      <c r="I346" s="153"/>
      <c r="J346" s="153"/>
      <c r="K346" s="153"/>
      <c r="L346" s="153"/>
      <c r="M346" s="153"/>
      <c r="N346" s="153"/>
      <c r="O346" s="81"/>
    </row>
    <row r="347" spans="1:15">
      <c r="A347" s="81"/>
      <c r="B347" s="81"/>
      <c r="C347" s="81"/>
      <c r="D347" s="81"/>
      <c r="E347" s="81"/>
      <c r="F347" s="153"/>
      <c r="G347" s="153"/>
      <c r="H347" s="153"/>
      <c r="I347" s="153"/>
      <c r="J347" s="153"/>
      <c r="K347" s="153"/>
      <c r="L347" s="153"/>
      <c r="M347" s="153"/>
      <c r="N347" s="153"/>
      <c r="O347" s="81"/>
    </row>
    <row r="348" spans="1:15">
      <c r="A348" s="81"/>
      <c r="B348" s="81"/>
      <c r="C348" s="81"/>
      <c r="D348" s="81"/>
      <c r="E348" s="81"/>
      <c r="F348" s="153"/>
      <c r="G348" s="153"/>
      <c r="H348" s="153"/>
      <c r="I348" s="153"/>
      <c r="J348" s="153"/>
      <c r="K348" s="153"/>
      <c r="L348" s="153"/>
      <c r="M348" s="153"/>
      <c r="N348" s="153"/>
      <c r="O348" s="81"/>
    </row>
    <row r="349" spans="1:15">
      <c r="A349" s="81"/>
      <c r="B349" s="81"/>
      <c r="C349" s="81"/>
      <c r="D349" s="81"/>
      <c r="E349" s="81"/>
      <c r="F349" s="153"/>
      <c r="G349" s="153"/>
      <c r="H349" s="153"/>
      <c r="I349" s="153"/>
      <c r="J349" s="153"/>
      <c r="K349" s="153"/>
      <c r="L349" s="153"/>
      <c r="M349" s="153"/>
      <c r="N349" s="153"/>
      <c r="O349" s="81"/>
    </row>
    <row r="350" spans="1:15">
      <c r="A350" s="81"/>
      <c r="B350" s="81"/>
      <c r="C350" s="81"/>
      <c r="D350" s="81"/>
      <c r="E350" s="81"/>
      <c r="F350" s="153"/>
      <c r="G350" s="153"/>
      <c r="H350" s="153"/>
      <c r="I350" s="153"/>
      <c r="J350" s="153"/>
      <c r="K350" s="153"/>
      <c r="L350" s="153"/>
      <c r="M350" s="153"/>
      <c r="N350" s="153"/>
      <c r="O350" s="81"/>
    </row>
    <row r="351" spans="1:15">
      <c r="A351" s="81"/>
      <c r="B351" s="81"/>
      <c r="C351" s="81"/>
      <c r="D351" s="81"/>
      <c r="E351" s="81"/>
      <c r="F351" s="153"/>
      <c r="G351" s="153"/>
      <c r="H351" s="153"/>
      <c r="I351" s="153"/>
      <c r="J351" s="153"/>
      <c r="K351" s="153"/>
      <c r="L351" s="153"/>
      <c r="M351" s="153"/>
      <c r="N351" s="153"/>
      <c r="O351" s="81"/>
    </row>
    <row r="352" spans="1:15">
      <c r="A352" s="81"/>
      <c r="B352" s="81"/>
      <c r="C352" s="81"/>
      <c r="D352" s="81"/>
      <c r="E352" s="81"/>
      <c r="F352" s="153"/>
      <c r="G352" s="153"/>
      <c r="H352" s="153"/>
      <c r="I352" s="153"/>
      <c r="J352" s="153"/>
      <c r="K352" s="153"/>
      <c r="L352" s="153"/>
      <c r="M352" s="153"/>
      <c r="N352" s="153"/>
      <c r="O352" s="81"/>
    </row>
    <row r="353" spans="1:15">
      <c r="A353" s="81"/>
      <c r="B353" s="81"/>
      <c r="C353" s="81"/>
      <c r="D353" s="81"/>
      <c r="E353" s="81"/>
      <c r="F353" s="153"/>
      <c r="G353" s="153"/>
      <c r="H353" s="153"/>
      <c r="I353" s="153"/>
      <c r="J353" s="153"/>
      <c r="K353" s="153"/>
      <c r="L353" s="153"/>
      <c r="M353" s="153"/>
      <c r="N353" s="153"/>
      <c r="O353" s="81"/>
    </row>
    <row r="354" spans="1:15">
      <c r="A354" s="81"/>
      <c r="B354" s="81"/>
      <c r="C354" s="81"/>
      <c r="D354" s="81"/>
      <c r="E354" s="81"/>
      <c r="F354" s="153"/>
      <c r="G354" s="153"/>
      <c r="H354" s="153"/>
      <c r="I354" s="153"/>
      <c r="J354" s="153"/>
      <c r="K354" s="153"/>
      <c r="L354" s="153"/>
      <c r="M354" s="153"/>
      <c r="N354" s="153"/>
      <c r="O354" s="81"/>
    </row>
    <row r="355" spans="1:15">
      <c r="A355" s="81"/>
      <c r="B355" s="81"/>
      <c r="C355" s="81"/>
      <c r="D355" s="81"/>
      <c r="E355" s="81"/>
      <c r="F355" s="153"/>
      <c r="G355" s="153"/>
      <c r="H355" s="153"/>
      <c r="I355" s="153"/>
      <c r="J355" s="153"/>
      <c r="K355" s="153"/>
      <c r="L355" s="153"/>
      <c r="M355" s="153"/>
      <c r="N355" s="153"/>
      <c r="O355" s="81"/>
    </row>
    <row r="356" spans="1:15">
      <c r="A356" s="81"/>
      <c r="B356" s="81"/>
      <c r="C356" s="81"/>
      <c r="D356" s="81"/>
      <c r="E356" s="81"/>
      <c r="F356" s="153"/>
      <c r="G356" s="153"/>
      <c r="H356" s="153"/>
      <c r="I356" s="153"/>
      <c r="J356" s="153"/>
      <c r="K356" s="153"/>
      <c r="L356" s="153"/>
      <c r="M356" s="153"/>
      <c r="N356" s="153"/>
      <c r="O356" s="81"/>
    </row>
    <row r="357" spans="1:15">
      <c r="A357" s="81"/>
      <c r="B357" s="81"/>
      <c r="C357" s="81"/>
      <c r="D357" s="81"/>
      <c r="E357" s="81"/>
      <c r="F357" s="153"/>
      <c r="G357" s="153"/>
      <c r="H357" s="153"/>
      <c r="I357" s="153"/>
      <c r="J357" s="153"/>
      <c r="K357" s="153"/>
      <c r="L357" s="153"/>
      <c r="M357" s="153"/>
      <c r="N357" s="153"/>
      <c r="O357" s="81"/>
    </row>
    <row r="358" spans="1:15">
      <c r="A358" s="81"/>
      <c r="B358" s="81"/>
      <c r="C358" s="81"/>
      <c r="D358" s="81"/>
      <c r="E358" s="81"/>
      <c r="F358" s="153"/>
      <c r="G358" s="153"/>
      <c r="H358" s="153"/>
      <c r="I358" s="153"/>
      <c r="J358" s="153"/>
      <c r="K358" s="153"/>
      <c r="L358" s="153"/>
      <c r="M358" s="153"/>
      <c r="N358" s="153"/>
      <c r="O358" s="81"/>
    </row>
    <row r="359" spans="1:15">
      <c r="A359" s="81"/>
      <c r="B359" s="81"/>
      <c r="C359" s="81"/>
      <c r="D359" s="81"/>
      <c r="E359" s="81"/>
      <c r="F359" s="153"/>
      <c r="G359" s="153"/>
      <c r="H359" s="153"/>
      <c r="I359" s="153"/>
      <c r="J359" s="153"/>
      <c r="K359" s="153"/>
      <c r="L359" s="153"/>
      <c r="M359" s="153"/>
      <c r="N359" s="153"/>
      <c r="O359" s="81"/>
    </row>
    <row r="360" spans="1:15">
      <c r="A360" s="81"/>
      <c r="B360" s="81"/>
      <c r="C360" s="81"/>
      <c r="D360" s="81"/>
      <c r="E360" s="81"/>
      <c r="F360" s="153"/>
      <c r="G360" s="153"/>
      <c r="H360" s="153"/>
      <c r="I360" s="153"/>
      <c r="J360" s="153"/>
      <c r="K360" s="153"/>
      <c r="L360" s="153"/>
      <c r="M360" s="153"/>
      <c r="N360" s="153"/>
      <c r="O360" s="81"/>
    </row>
    <row r="361" spans="1:15">
      <c r="A361" s="81"/>
      <c r="B361" s="81"/>
      <c r="C361" s="81"/>
      <c r="D361" s="81"/>
      <c r="E361" s="81"/>
      <c r="F361" s="153"/>
      <c r="G361" s="153"/>
      <c r="H361" s="153"/>
      <c r="I361" s="153"/>
      <c r="J361" s="153"/>
      <c r="K361" s="153"/>
      <c r="L361" s="153"/>
      <c r="M361" s="153"/>
      <c r="N361" s="153"/>
      <c r="O361" s="81"/>
    </row>
    <row r="362" spans="1:15">
      <c r="A362" s="81"/>
      <c r="B362" s="81"/>
      <c r="C362" s="81"/>
      <c r="D362" s="81"/>
      <c r="E362" s="81"/>
      <c r="F362" s="153"/>
      <c r="G362" s="153"/>
      <c r="H362" s="153"/>
      <c r="I362" s="153"/>
      <c r="J362" s="153"/>
      <c r="K362" s="153"/>
      <c r="L362" s="153"/>
      <c r="M362" s="153"/>
      <c r="N362" s="153"/>
      <c r="O362" s="81"/>
    </row>
    <row r="363" spans="1:15">
      <c r="A363" s="81"/>
      <c r="B363" s="81"/>
      <c r="C363" s="81"/>
      <c r="D363" s="81"/>
      <c r="E363" s="81"/>
      <c r="F363" s="153"/>
      <c r="G363" s="153"/>
      <c r="H363" s="153"/>
      <c r="I363" s="153"/>
      <c r="J363" s="153"/>
      <c r="K363" s="153"/>
      <c r="L363" s="153"/>
      <c r="M363" s="153"/>
      <c r="N363" s="153"/>
      <c r="O363" s="81"/>
    </row>
    <row r="364" spans="1:15">
      <c r="A364" s="81"/>
      <c r="B364" s="81"/>
      <c r="C364" s="81"/>
      <c r="D364" s="81"/>
      <c r="E364" s="81"/>
      <c r="F364" s="153"/>
      <c r="G364" s="153"/>
      <c r="H364" s="153"/>
      <c r="I364" s="153"/>
      <c r="J364" s="153"/>
      <c r="K364" s="153"/>
      <c r="L364" s="153"/>
      <c r="M364" s="153"/>
      <c r="N364" s="153"/>
      <c r="O364" s="81"/>
    </row>
    <row r="365" spans="1:15">
      <c r="A365" s="81"/>
      <c r="B365" s="81"/>
      <c r="C365" s="81"/>
      <c r="D365" s="81"/>
      <c r="E365" s="81"/>
      <c r="F365" s="153"/>
      <c r="G365" s="153"/>
      <c r="H365" s="153"/>
      <c r="I365" s="153"/>
      <c r="J365" s="153"/>
      <c r="K365" s="153"/>
      <c r="L365" s="153"/>
      <c r="M365" s="153"/>
      <c r="N365" s="153"/>
      <c r="O365" s="81"/>
    </row>
    <row r="366" spans="1:15">
      <c r="A366" s="81"/>
      <c r="B366" s="81"/>
      <c r="C366" s="81"/>
      <c r="D366" s="81"/>
      <c r="E366" s="81"/>
      <c r="F366" s="153"/>
      <c r="G366" s="153"/>
      <c r="H366" s="153"/>
      <c r="I366" s="153"/>
      <c r="J366" s="153"/>
      <c r="K366" s="153"/>
      <c r="L366" s="153"/>
      <c r="M366" s="153"/>
      <c r="N366" s="153"/>
      <c r="O366" s="81"/>
    </row>
    <row r="367" spans="1:15">
      <c r="A367" s="81"/>
      <c r="B367" s="81"/>
      <c r="C367" s="81"/>
      <c r="D367" s="81"/>
      <c r="E367" s="81"/>
      <c r="F367" s="153"/>
      <c r="G367" s="153"/>
      <c r="H367" s="153"/>
      <c r="I367" s="153"/>
      <c r="J367" s="153"/>
      <c r="K367" s="153"/>
      <c r="L367" s="153"/>
      <c r="M367" s="153"/>
      <c r="N367" s="153"/>
      <c r="O367" s="81"/>
    </row>
    <row r="368" spans="1:15">
      <c r="A368" s="81"/>
      <c r="B368" s="81"/>
      <c r="C368" s="81"/>
      <c r="D368" s="81"/>
      <c r="E368" s="81"/>
      <c r="F368" s="153"/>
      <c r="G368" s="153"/>
      <c r="H368" s="153"/>
      <c r="I368" s="153"/>
      <c r="J368" s="153"/>
      <c r="K368" s="153"/>
      <c r="L368" s="153"/>
      <c r="M368" s="153"/>
      <c r="N368" s="153"/>
      <c r="O368" s="81"/>
    </row>
    <row r="369" spans="1:15">
      <c r="A369" s="81"/>
      <c r="B369" s="81"/>
      <c r="C369" s="81"/>
      <c r="D369" s="81"/>
      <c r="E369" s="81"/>
      <c r="F369" s="153"/>
      <c r="G369" s="153"/>
      <c r="H369" s="153"/>
      <c r="I369" s="153"/>
      <c r="J369" s="153"/>
      <c r="K369" s="153"/>
      <c r="L369" s="153"/>
      <c r="M369" s="153"/>
      <c r="N369" s="153"/>
      <c r="O369" s="81"/>
    </row>
    <row r="370" spans="1:15">
      <c r="A370" s="81"/>
      <c r="B370" s="81"/>
      <c r="C370" s="81"/>
      <c r="D370" s="81"/>
      <c r="E370" s="81"/>
      <c r="F370" s="153"/>
      <c r="G370" s="153"/>
      <c r="H370" s="153"/>
      <c r="I370" s="153"/>
      <c r="J370" s="153"/>
      <c r="K370" s="153"/>
      <c r="L370" s="153"/>
      <c r="M370" s="153"/>
      <c r="N370" s="153"/>
      <c r="O370" s="81"/>
    </row>
    <row r="371" spans="1:15">
      <c r="A371" s="81"/>
      <c r="B371" s="81"/>
      <c r="C371" s="81"/>
      <c r="D371" s="81"/>
      <c r="E371" s="81"/>
      <c r="F371" s="153"/>
      <c r="G371" s="153"/>
      <c r="H371" s="153"/>
      <c r="I371" s="153"/>
      <c r="J371" s="153"/>
      <c r="K371" s="153"/>
      <c r="L371" s="153"/>
      <c r="M371" s="153"/>
      <c r="N371" s="153"/>
      <c r="O371" s="81"/>
    </row>
    <row r="372" spans="1:15">
      <c r="A372" s="81"/>
      <c r="B372" s="81"/>
      <c r="C372" s="81"/>
      <c r="D372" s="81"/>
      <c r="E372" s="81"/>
      <c r="F372" s="153"/>
      <c r="G372" s="153"/>
      <c r="H372" s="153"/>
      <c r="I372" s="153"/>
      <c r="J372" s="153"/>
      <c r="K372" s="153"/>
      <c r="L372" s="153"/>
      <c r="M372" s="153"/>
      <c r="N372" s="153"/>
      <c r="O372" s="81"/>
    </row>
    <row r="373" spans="1:15">
      <c r="A373" s="81"/>
      <c r="B373" s="81"/>
      <c r="C373" s="81"/>
      <c r="D373" s="81"/>
      <c r="E373" s="81"/>
      <c r="F373" s="153"/>
      <c r="G373" s="153"/>
      <c r="H373" s="153"/>
      <c r="I373" s="153"/>
      <c r="J373" s="153"/>
      <c r="K373" s="153"/>
      <c r="L373" s="153"/>
      <c r="M373" s="153"/>
      <c r="N373" s="153"/>
      <c r="O373" s="81"/>
    </row>
    <row r="374" spans="1:15">
      <c r="A374" s="81"/>
      <c r="B374" s="81"/>
      <c r="C374" s="81"/>
      <c r="D374" s="81"/>
      <c r="E374" s="81"/>
      <c r="F374" s="153"/>
      <c r="G374" s="153"/>
      <c r="H374" s="153"/>
      <c r="I374" s="153"/>
      <c r="J374" s="153"/>
      <c r="K374" s="153"/>
      <c r="L374" s="153"/>
      <c r="M374" s="153"/>
      <c r="N374" s="153"/>
      <c r="O374" s="81"/>
    </row>
    <row r="375" spans="1:15">
      <c r="A375" s="81"/>
      <c r="B375" s="81"/>
      <c r="C375" s="81"/>
      <c r="D375" s="81"/>
      <c r="E375" s="81"/>
      <c r="F375" s="153"/>
      <c r="G375" s="153"/>
      <c r="H375" s="153"/>
      <c r="I375" s="153"/>
      <c r="J375" s="153"/>
      <c r="K375" s="153"/>
      <c r="L375" s="153"/>
      <c r="M375" s="153"/>
      <c r="N375" s="153"/>
      <c r="O375" s="81"/>
    </row>
    <row r="376" spans="1:15">
      <c r="A376" s="81"/>
      <c r="B376" s="81"/>
      <c r="C376" s="81"/>
      <c r="D376" s="81"/>
      <c r="E376" s="81"/>
      <c r="F376" s="153"/>
      <c r="G376" s="153"/>
      <c r="H376" s="153"/>
      <c r="I376" s="153"/>
      <c r="J376" s="153"/>
      <c r="K376" s="153"/>
      <c r="L376" s="153"/>
      <c r="M376" s="153"/>
      <c r="N376" s="153"/>
      <c r="O376" s="81"/>
    </row>
    <row r="377" spans="1:15">
      <c r="A377" s="81"/>
      <c r="B377" s="81"/>
      <c r="C377" s="81"/>
      <c r="D377" s="81"/>
      <c r="E377" s="81"/>
      <c r="F377" s="153"/>
      <c r="G377" s="153"/>
      <c r="H377" s="153"/>
      <c r="I377" s="153"/>
      <c r="J377" s="153"/>
      <c r="K377" s="153"/>
      <c r="L377" s="153"/>
      <c r="M377" s="153"/>
      <c r="N377" s="153"/>
      <c r="O377" s="81"/>
    </row>
    <row r="378" spans="1:15">
      <c r="A378" s="81"/>
      <c r="B378" s="81"/>
      <c r="C378" s="81"/>
      <c r="D378" s="81"/>
      <c r="E378" s="81"/>
      <c r="F378" s="153"/>
      <c r="G378" s="153"/>
      <c r="H378" s="153"/>
      <c r="I378" s="153"/>
      <c r="J378" s="153"/>
      <c r="K378" s="153"/>
      <c r="L378" s="153"/>
      <c r="M378" s="153"/>
      <c r="N378" s="153"/>
      <c r="O378" s="81"/>
    </row>
    <row r="379" spans="1:15">
      <c r="A379" s="81"/>
      <c r="B379" s="81"/>
      <c r="C379" s="81"/>
      <c r="D379" s="81"/>
      <c r="E379" s="81"/>
      <c r="F379" s="153"/>
      <c r="G379" s="153"/>
      <c r="H379" s="153"/>
      <c r="I379" s="153"/>
      <c r="J379" s="153"/>
      <c r="K379" s="153"/>
      <c r="L379" s="153"/>
      <c r="M379" s="153"/>
      <c r="N379" s="153"/>
      <c r="O379" s="81"/>
    </row>
    <row r="380" spans="1:15">
      <c r="A380" s="81"/>
      <c r="B380" s="81"/>
      <c r="C380" s="81"/>
      <c r="D380" s="81"/>
      <c r="E380" s="81"/>
      <c r="F380" s="153"/>
      <c r="G380" s="153"/>
      <c r="H380" s="153"/>
      <c r="I380" s="153"/>
      <c r="J380" s="153"/>
      <c r="K380" s="153"/>
      <c r="L380" s="153"/>
      <c r="M380" s="153"/>
      <c r="N380" s="153"/>
      <c r="O380" s="81"/>
    </row>
    <row r="381" spans="1:15">
      <c r="A381" s="81"/>
      <c r="B381" s="81"/>
      <c r="C381" s="81"/>
      <c r="D381" s="81"/>
      <c r="E381" s="81"/>
      <c r="F381" s="153"/>
      <c r="G381" s="153"/>
      <c r="H381" s="153"/>
      <c r="I381" s="153"/>
      <c r="J381" s="153"/>
      <c r="K381" s="153"/>
      <c r="L381" s="153"/>
      <c r="M381" s="153"/>
      <c r="N381" s="153"/>
      <c r="O381" s="81"/>
    </row>
    <row r="382" spans="1:15">
      <c r="A382" s="81"/>
      <c r="B382" s="81"/>
      <c r="C382" s="81"/>
      <c r="D382" s="81"/>
      <c r="E382" s="81"/>
      <c r="F382" s="153"/>
      <c r="G382" s="153"/>
      <c r="H382" s="153"/>
      <c r="I382" s="153"/>
      <c r="J382" s="153"/>
      <c r="K382" s="153"/>
      <c r="L382" s="153"/>
      <c r="M382" s="153"/>
      <c r="N382" s="153"/>
      <c r="O382" s="81"/>
    </row>
    <row r="383" spans="1:15">
      <c r="A383" s="81"/>
      <c r="B383" s="81"/>
      <c r="C383" s="81"/>
      <c r="D383" s="81"/>
      <c r="E383" s="81"/>
      <c r="F383" s="153"/>
      <c r="G383" s="153"/>
      <c r="H383" s="153"/>
      <c r="I383" s="153"/>
      <c r="J383" s="153"/>
      <c r="K383" s="153"/>
      <c r="L383" s="153"/>
      <c r="M383" s="153"/>
      <c r="N383" s="153"/>
      <c r="O383" s="81"/>
    </row>
    <row r="384" spans="1:15">
      <c r="A384" s="81"/>
      <c r="B384" s="81"/>
      <c r="C384" s="81"/>
      <c r="D384" s="81"/>
      <c r="E384" s="81"/>
      <c r="F384" s="153"/>
      <c r="G384" s="153"/>
      <c r="H384" s="153"/>
      <c r="I384" s="153"/>
      <c r="J384" s="153"/>
      <c r="K384" s="153"/>
      <c r="L384" s="153"/>
      <c r="M384" s="153"/>
      <c r="N384" s="153"/>
      <c r="O384" s="81"/>
    </row>
    <row r="385" spans="1:15">
      <c r="A385" s="81"/>
      <c r="B385" s="81"/>
      <c r="C385" s="81"/>
      <c r="D385" s="81"/>
      <c r="E385" s="81"/>
      <c r="F385" s="153"/>
      <c r="G385" s="153"/>
      <c r="H385" s="153"/>
      <c r="I385" s="153"/>
      <c r="J385" s="153"/>
      <c r="K385" s="153"/>
      <c r="L385" s="153"/>
      <c r="M385" s="153"/>
      <c r="N385" s="153"/>
      <c r="O385" s="81"/>
    </row>
    <row r="386" spans="1:15">
      <c r="A386" s="81"/>
      <c r="B386" s="81"/>
      <c r="C386" s="81"/>
      <c r="D386" s="81"/>
      <c r="E386" s="81"/>
      <c r="F386" s="153"/>
      <c r="G386" s="153"/>
      <c r="H386" s="153"/>
      <c r="I386" s="153"/>
      <c r="J386" s="153"/>
      <c r="K386" s="153"/>
      <c r="L386" s="153"/>
      <c r="M386" s="153"/>
      <c r="N386" s="153"/>
      <c r="O386" s="81"/>
    </row>
    <row r="387" spans="1:15">
      <c r="A387" s="81"/>
      <c r="B387" s="81"/>
      <c r="C387" s="81"/>
      <c r="D387" s="81"/>
      <c r="E387" s="81"/>
      <c r="F387" s="153"/>
      <c r="G387" s="153"/>
      <c r="H387" s="153"/>
      <c r="I387" s="153"/>
      <c r="J387" s="153"/>
      <c r="K387" s="153"/>
      <c r="L387" s="153"/>
      <c r="M387" s="153"/>
      <c r="N387" s="153"/>
      <c r="O387" s="81"/>
    </row>
    <row r="388" spans="1:15">
      <c r="A388" s="81"/>
      <c r="B388" s="81"/>
      <c r="C388" s="81"/>
      <c r="D388" s="81"/>
      <c r="E388" s="81"/>
      <c r="F388" s="153"/>
      <c r="G388" s="153"/>
      <c r="H388" s="153"/>
      <c r="I388" s="153"/>
      <c r="J388" s="153"/>
      <c r="K388" s="153"/>
      <c r="L388" s="153"/>
      <c r="M388" s="153"/>
      <c r="N388" s="153"/>
      <c r="O388" s="81"/>
    </row>
    <row r="389" spans="1:15">
      <c r="A389" s="81"/>
      <c r="B389" s="81"/>
      <c r="C389" s="81"/>
      <c r="D389" s="81"/>
      <c r="E389" s="81"/>
      <c r="F389" s="153"/>
      <c r="G389" s="153"/>
      <c r="H389" s="153"/>
      <c r="I389" s="153"/>
      <c r="J389" s="153"/>
      <c r="K389" s="153"/>
      <c r="L389" s="153"/>
      <c r="M389" s="153"/>
      <c r="N389" s="153"/>
      <c r="O389" s="81"/>
    </row>
    <row r="390" spans="1:15">
      <c r="A390" s="81"/>
      <c r="B390" s="81"/>
      <c r="C390" s="81"/>
      <c r="D390" s="81"/>
      <c r="E390" s="81"/>
      <c r="F390" s="153"/>
      <c r="G390" s="153"/>
      <c r="H390" s="153"/>
      <c r="I390" s="153"/>
      <c r="J390" s="153"/>
      <c r="K390" s="153"/>
      <c r="L390" s="153"/>
      <c r="M390" s="153"/>
      <c r="N390" s="153"/>
      <c r="O390" s="81"/>
    </row>
    <row r="391" spans="1:15">
      <c r="A391" s="81"/>
      <c r="B391" s="81"/>
      <c r="C391" s="81"/>
      <c r="D391" s="81"/>
      <c r="E391" s="81"/>
      <c r="F391" s="153"/>
      <c r="G391" s="153"/>
      <c r="H391" s="153"/>
      <c r="I391" s="153"/>
      <c r="J391" s="153"/>
      <c r="K391" s="153"/>
      <c r="L391" s="153"/>
      <c r="M391" s="153"/>
      <c r="N391" s="153"/>
      <c r="O391" s="81"/>
    </row>
    <row r="392" spans="1:15">
      <c r="A392" s="81"/>
      <c r="B392" s="81"/>
      <c r="C392" s="81"/>
      <c r="D392" s="81"/>
      <c r="E392" s="81"/>
      <c r="F392" s="153"/>
      <c r="G392" s="153"/>
      <c r="H392" s="153"/>
      <c r="I392" s="153"/>
      <c r="J392" s="153"/>
      <c r="K392" s="153"/>
      <c r="L392" s="153"/>
      <c r="M392" s="153"/>
      <c r="N392" s="153"/>
      <c r="O392" s="81"/>
    </row>
    <row r="393" spans="1:15">
      <c r="A393" s="81"/>
      <c r="B393" s="81"/>
      <c r="C393" s="81"/>
      <c r="D393" s="81"/>
      <c r="E393" s="81"/>
      <c r="F393" s="153"/>
      <c r="G393" s="153"/>
      <c r="H393" s="153"/>
      <c r="I393" s="153"/>
      <c r="J393" s="153"/>
      <c r="K393" s="153"/>
      <c r="L393" s="153"/>
      <c r="M393" s="153"/>
      <c r="N393" s="153"/>
      <c r="O393" s="81"/>
    </row>
    <row r="394" spans="1:15">
      <c r="A394" s="81"/>
      <c r="B394" s="81"/>
      <c r="C394" s="81"/>
      <c r="D394" s="81"/>
      <c r="E394" s="81"/>
      <c r="F394" s="153"/>
      <c r="G394" s="153"/>
      <c r="H394" s="153"/>
      <c r="I394" s="153"/>
      <c r="J394" s="153"/>
      <c r="K394" s="153"/>
      <c r="L394" s="153"/>
      <c r="M394" s="153"/>
      <c r="N394" s="153"/>
      <c r="O394" s="81"/>
    </row>
    <row r="395" spans="1:15">
      <c r="A395" s="81"/>
      <c r="B395" s="81"/>
      <c r="C395" s="81"/>
      <c r="D395" s="81"/>
      <c r="E395" s="81"/>
      <c r="F395" s="153"/>
      <c r="G395" s="153"/>
      <c r="H395" s="153"/>
      <c r="I395" s="153"/>
      <c r="J395" s="153"/>
      <c r="K395" s="153"/>
      <c r="L395" s="153"/>
      <c r="M395" s="153"/>
      <c r="N395" s="153"/>
      <c r="O395" s="81"/>
    </row>
    <row r="396" spans="1:15">
      <c r="A396" s="81"/>
      <c r="B396" s="81"/>
      <c r="C396" s="81"/>
      <c r="D396" s="81"/>
      <c r="E396" s="81"/>
      <c r="F396" s="153"/>
      <c r="G396" s="153"/>
      <c r="H396" s="153"/>
      <c r="I396" s="153"/>
      <c r="J396" s="153"/>
      <c r="K396" s="153"/>
      <c r="L396" s="153"/>
      <c r="M396" s="153"/>
      <c r="N396" s="153"/>
      <c r="O396" s="81"/>
    </row>
    <row r="397" spans="1:15">
      <c r="A397" s="81"/>
      <c r="B397" s="81"/>
      <c r="C397" s="81"/>
      <c r="D397" s="81"/>
      <c r="E397" s="81"/>
      <c r="F397" s="153"/>
      <c r="G397" s="153"/>
      <c r="H397" s="153"/>
      <c r="I397" s="153"/>
      <c r="J397" s="153"/>
      <c r="K397" s="153"/>
      <c r="L397" s="153"/>
      <c r="M397" s="153"/>
      <c r="N397" s="153"/>
      <c r="O397" s="81"/>
    </row>
    <row r="398" spans="1:15">
      <c r="A398" s="81"/>
      <c r="B398" s="81"/>
      <c r="C398" s="81"/>
      <c r="D398" s="81"/>
      <c r="E398" s="81"/>
      <c r="F398" s="153"/>
      <c r="G398" s="153"/>
      <c r="H398" s="153"/>
      <c r="I398" s="153"/>
      <c r="J398" s="153"/>
      <c r="K398" s="153"/>
      <c r="L398" s="153"/>
      <c r="M398" s="153"/>
      <c r="N398" s="153"/>
      <c r="O398" s="81"/>
    </row>
    <row r="399" spans="1:15">
      <c r="A399" s="81"/>
      <c r="B399" s="81"/>
      <c r="C399" s="81"/>
      <c r="D399" s="81"/>
      <c r="E399" s="81"/>
      <c r="F399" s="153"/>
      <c r="G399" s="153"/>
      <c r="H399" s="153"/>
      <c r="I399" s="153"/>
      <c r="J399" s="153"/>
      <c r="K399" s="153"/>
      <c r="L399" s="153"/>
      <c r="M399" s="153"/>
      <c r="N399" s="153"/>
      <c r="O399" s="81"/>
    </row>
    <row r="400" spans="1:15">
      <c r="A400" s="81"/>
      <c r="B400" s="81"/>
      <c r="C400" s="81"/>
      <c r="D400" s="81"/>
      <c r="E400" s="81"/>
      <c r="F400" s="153"/>
      <c r="G400" s="153"/>
      <c r="H400" s="153"/>
      <c r="I400" s="153"/>
      <c r="J400" s="153"/>
      <c r="K400" s="153"/>
      <c r="L400" s="153"/>
      <c r="M400" s="153"/>
      <c r="N400" s="153"/>
      <c r="O400" s="81"/>
    </row>
    <row r="401" spans="1:15">
      <c r="A401" s="81"/>
      <c r="B401" s="81"/>
      <c r="C401" s="81"/>
      <c r="D401" s="81"/>
      <c r="E401" s="81"/>
      <c r="F401" s="153"/>
      <c r="G401" s="153"/>
      <c r="H401" s="153"/>
      <c r="I401" s="153"/>
      <c r="J401" s="153"/>
      <c r="K401" s="153"/>
      <c r="L401" s="153"/>
      <c r="M401" s="153"/>
      <c r="N401" s="153"/>
      <c r="O401" s="81"/>
    </row>
    <row r="402" spans="1:15">
      <c r="A402" s="81"/>
      <c r="B402" s="81"/>
      <c r="C402" s="81"/>
      <c r="D402" s="81"/>
      <c r="E402" s="81"/>
      <c r="F402" s="153"/>
      <c r="G402" s="153"/>
      <c r="H402" s="153"/>
      <c r="I402" s="153"/>
      <c r="J402" s="153"/>
      <c r="K402" s="153"/>
      <c r="L402" s="153"/>
      <c r="M402" s="153"/>
      <c r="N402" s="153"/>
      <c r="O402" s="81"/>
    </row>
    <row r="403" spans="1:15">
      <c r="A403" s="81"/>
      <c r="B403" s="81"/>
      <c r="C403" s="81"/>
      <c r="D403" s="81"/>
      <c r="E403" s="81"/>
      <c r="F403" s="153"/>
      <c r="G403" s="153"/>
      <c r="H403" s="153"/>
      <c r="I403" s="153"/>
      <c r="J403" s="153"/>
      <c r="K403" s="153"/>
      <c r="L403" s="153"/>
      <c r="M403" s="153"/>
      <c r="N403" s="153"/>
      <c r="O403" s="81"/>
    </row>
    <row r="404" spans="1:15">
      <c r="A404" s="81"/>
      <c r="B404" s="81"/>
      <c r="C404" s="81"/>
      <c r="D404" s="81"/>
      <c r="E404" s="81"/>
      <c r="F404" s="153"/>
      <c r="G404" s="153"/>
      <c r="H404" s="153"/>
      <c r="I404" s="153"/>
      <c r="J404" s="153"/>
      <c r="K404" s="153"/>
      <c r="L404" s="153"/>
      <c r="M404" s="153"/>
      <c r="N404" s="153"/>
      <c r="O404" s="81"/>
    </row>
    <row r="405" spans="1:15">
      <c r="A405" s="81"/>
      <c r="B405" s="81"/>
      <c r="C405" s="81"/>
      <c r="D405" s="81"/>
      <c r="E405" s="81"/>
      <c r="F405" s="153"/>
      <c r="G405" s="153"/>
      <c r="H405" s="153"/>
      <c r="I405" s="153"/>
      <c r="J405" s="153"/>
      <c r="K405" s="153"/>
      <c r="L405" s="153"/>
      <c r="M405" s="153"/>
      <c r="N405" s="153"/>
      <c r="O405" s="81"/>
    </row>
    <row r="406" spans="1:15">
      <c r="A406" s="81"/>
      <c r="B406" s="81"/>
      <c r="C406" s="81"/>
      <c r="D406" s="81"/>
      <c r="E406" s="81"/>
      <c r="F406" s="153"/>
      <c r="G406" s="153"/>
      <c r="H406" s="153"/>
      <c r="I406" s="153"/>
      <c r="J406" s="153"/>
      <c r="K406" s="153"/>
      <c r="L406" s="153"/>
      <c r="M406" s="153"/>
      <c r="N406" s="153"/>
      <c r="O406" s="81"/>
    </row>
    <row r="407" spans="1:15">
      <c r="A407" s="81"/>
      <c r="B407" s="81"/>
      <c r="C407" s="81"/>
      <c r="D407" s="81"/>
      <c r="E407" s="81"/>
      <c r="F407" s="153"/>
      <c r="G407" s="153"/>
      <c r="H407" s="153"/>
      <c r="I407" s="153"/>
      <c r="J407" s="153"/>
      <c r="K407" s="153"/>
      <c r="L407" s="153"/>
      <c r="M407" s="153"/>
      <c r="N407" s="153"/>
      <c r="O407" s="81"/>
    </row>
    <row r="408" spans="1:15">
      <c r="A408" s="81"/>
      <c r="B408" s="81"/>
      <c r="C408" s="81"/>
      <c r="D408" s="81"/>
      <c r="E408" s="81"/>
      <c r="F408" s="153"/>
      <c r="G408" s="153"/>
      <c r="H408" s="153"/>
      <c r="I408" s="153"/>
      <c r="J408" s="153"/>
      <c r="K408" s="153"/>
      <c r="L408" s="153"/>
      <c r="M408" s="153"/>
      <c r="N408" s="153"/>
      <c r="O408" s="81"/>
    </row>
    <row r="409" spans="1:15">
      <c r="A409" s="81"/>
      <c r="B409" s="81"/>
      <c r="C409" s="81"/>
      <c r="D409" s="81"/>
      <c r="E409" s="81"/>
      <c r="F409" s="153"/>
      <c r="G409" s="153"/>
      <c r="H409" s="153"/>
      <c r="I409" s="153"/>
      <c r="J409" s="153"/>
      <c r="K409" s="153"/>
      <c r="L409" s="153"/>
      <c r="M409" s="153"/>
      <c r="N409" s="153"/>
      <c r="O409" s="81"/>
    </row>
    <row r="410" spans="1:15">
      <c r="A410" s="81"/>
      <c r="B410" s="81"/>
      <c r="C410" s="81"/>
      <c r="D410" s="81"/>
      <c r="E410" s="81"/>
      <c r="F410" s="153"/>
      <c r="G410" s="153"/>
      <c r="H410" s="153"/>
      <c r="I410" s="153"/>
      <c r="J410" s="153"/>
      <c r="K410" s="153"/>
      <c r="L410" s="153"/>
      <c r="M410" s="153"/>
      <c r="N410" s="153"/>
      <c r="O410" s="81"/>
    </row>
    <row r="411" spans="1:15">
      <c r="A411" s="81"/>
      <c r="B411" s="81"/>
      <c r="C411" s="81"/>
      <c r="D411" s="81"/>
      <c r="E411" s="81"/>
      <c r="F411" s="153"/>
      <c r="G411" s="153"/>
      <c r="H411" s="153"/>
      <c r="I411" s="153"/>
      <c r="J411" s="153"/>
      <c r="K411" s="153"/>
      <c r="L411" s="153"/>
      <c r="M411" s="153"/>
      <c r="N411" s="153"/>
      <c r="O411" s="81"/>
    </row>
    <row r="412" spans="1:15">
      <c r="A412" s="81"/>
      <c r="B412" s="81"/>
      <c r="C412" s="81"/>
      <c r="D412" s="81"/>
      <c r="E412" s="81"/>
      <c r="F412" s="153"/>
      <c r="G412" s="153"/>
      <c r="H412" s="153"/>
      <c r="I412" s="153"/>
      <c r="J412" s="153"/>
      <c r="K412" s="153"/>
      <c r="L412" s="153"/>
      <c r="M412" s="153"/>
      <c r="N412" s="153"/>
      <c r="O412" s="81"/>
    </row>
    <row r="413" spans="1:15">
      <c r="A413" s="81"/>
      <c r="B413" s="81"/>
      <c r="C413" s="81"/>
      <c r="D413" s="81"/>
      <c r="E413" s="81"/>
      <c r="F413" s="153"/>
      <c r="G413" s="153"/>
      <c r="H413" s="153"/>
      <c r="I413" s="153"/>
      <c r="J413" s="153"/>
      <c r="K413" s="153"/>
      <c r="L413" s="153"/>
      <c r="M413" s="153"/>
      <c r="N413" s="153"/>
      <c r="O413" s="81"/>
    </row>
    <row r="414" spans="1:15">
      <c r="A414" s="81"/>
      <c r="B414" s="81"/>
      <c r="C414" s="81"/>
      <c r="D414" s="81"/>
      <c r="E414" s="81"/>
      <c r="F414" s="153"/>
      <c r="G414" s="153"/>
      <c r="H414" s="153"/>
      <c r="I414" s="153"/>
      <c r="J414" s="153"/>
      <c r="K414" s="153"/>
      <c r="L414" s="153"/>
      <c r="M414" s="153"/>
      <c r="N414" s="153"/>
      <c r="O414" s="81"/>
    </row>
    <row r="415" spans="1:15">
      <c r="A415" s="81"/>
      <c r="B415" s="81"/>
      <c r="C415" s="81"/>
      <c r="D415" s="81"/>
      <c r="E415" s="81"/>
      <c r="F415" s="153"/>
      <c r="G415" s="153"/>
      <c r="H415" s="153"/>
      <c r="I415" s="153"/>
      <c r="J415" s="153"/>
      <c r="K415" s="153"/>
      <c r="L415" s="153"/>
      <c r="M415" s="153"/>
      <c r="N415" s="153"/>
      <c r="O415" s="81"/>
    </row>
    <row r="416" spans="1:15">
      <c r="A416" s="81"/>
      <c r="B416" s="81"/>
      <c r="C416" s="81"/>
      <c r="D416" s="81"/>
      <c r="E416" s="81"/>
      <c r="F416" s="153"/>
      <c r="G416" s="153"/>
      <c r="H416" s="153"/>
      <c r="I416" s="153"/>
      <c r="J416" s="153"/>
      <c r="K416" s="153"/>
      <c r="L416" s="153"/>
      <c r="M416" s="153"/>
      <c r="N416" s="153"/>
      <c r="O416" s="81"/>
    </row>
    <row r="417" spans="1:15">
      <c r="A417" s="81"/>
      <c r="B417" s="81"/>
      <c r="C417" s="81"/>
      <c r="D417" s="81"/>
      <c r="E417" s="81"/>
      <c r="F417" s="153"/>
      <c r="G417" s="153"/>
      <c r="H417" s="153"/>
      <c r="I417" s="153"/>
      <c r="J417" s="153"/>
      <c r="K417" s="153"/>
      <c r="L417" s="153"/>
      <c r="M417" s="153"/>
      <c r="N417" s="153"/>
      <c r="O417" s="81"/>
    </row>
    <row r="418" spans="1:15">
      <c r="A418" s="81"/>
      <c r="B418" s="81"/>
      <c r="C418" s="81"/>
      <c r="D418" s="81"/>
      <c r="E418" s="81"/>
      <c r="F418" s="153"/>
      <c r="G418" s="153"/>
      <c r="H418" s="153"/>
      <c r="I418" s="153"/>
      <c r="J418" s="153"/>
      <c r="K418" s="153"/>
      <c r="L418" s="153"/>
      <c r="M418" s="153"/>
      <c r="N418" s="153"/>
      <c r="O418" s="81"/>
    </row>
    <row r="419" spans="1:15">
      <c r="A419" s="81"/>
      <c r="B419" s="81"/>
      <c r="C419" s="81"/>
      <c r="D419" s="81"/>
      <c r="E419" s="81"/>
      <c r="F419" s="153"/>
      <c r="G419" s="153"/>
      <c r="H419" s="153"/>
      <c r="I419" s="153"/>
      <c r="J419" s="153"/>
      <c r="K419" s="153"/>
      <c r="L419" s="153"/>
      <c r="M419" s="153"/>
      <c r="N419" s="153"/>
      <c r="O419" s="81"/>
    </row>
    <row r="420" spans="1:15">
      <c r="A420" s="81"/>
      <c r="B420" s="81"/>
      <c r="C420" s="81"/>
      <c r="D420" s="81"/>
      <c r="E420" s="81"/>
      <c r="F420" s="153"/>
      <c r="G420" s="153"/>
      <c r="H420" s="153"/>
      <c r="I420" s="153"/>
      <c r="J420" s="153"/>
      <c r="K420" s="153"/>
      <c r="L420" s="153"/>
      <c r="M420" s="153"/>
      <c r="N420" s="153"/>
      <c r="O420" s="81"/>
    </row>
    <row r="421" spans="1:15">
      <c r="A421" s="81"/>
      <c r="B421" s="81"/>
      <c r="C421" s="81"/>
      <c r="D421" s="81"/>
      <c r="E421" s="81"/>
      <c r="F421" s="153"/>
      <c r="G421" s="153"/>
      <c r="H421" s="153"/>
      <c r="I421" s="153"/>
      <c r="J421" s="153"/>
      <c r="K421" s="153"/>
      <c r="L421" s="153"/>
      <c r="M421" s="153"/>
      <c r="N421" s="153"/>
      <c r="O421" s="81"/>
    </row>
    <row r="422" spans="1:15">
      <c r="A422" s="81"/>
      <c r="B422" s="81"/>
      <c r="C422" s="81"/>
      <c r="D422" s="81"/>
      <c r="E422" s="81"/>
      <c r="F422" s="153"/>
      <c r="G422" s="153"/>
      <c r="H422" s="153"/>
      <c r="I422" s="153"/>
      <c r="J422" s="153"/>
      <c r="K422" s="153"/>
      <c r="L422" s="153"/>
      <c r="M422" s="153"/>
      <c r="N422" s="153"/>
      <c r="O422" s="81"/>
    </row>
    <row r="423" spans="1:15">
      <c r="A423" s="81"/>
      <c r="B423" s="81"/>
      <c r="C423" s="81"/>
      <c r="D423" s="81"/>
      <c r="E423" s="81"/>
      <c r="F423" s="153"/>
      <c r="G423" s="153"/>
      <c r="H423" s="153"/>
      <c r="I423" s="153"/>
      <c r="J423" s="153"/>
      <c r="K423" s="153"/>
      <c r="L423" s="153"/>
      <c r="M423" s="153"/>
      <c r="N423" s="153"/>
      <c r="O423" s="81"/>
    </row>
    <row r="424" spans="1:15">
      <c r="A424" s="81"/>
      <c r="B424" s="81"/>
      <c r="C424" s="81"/>
      <c r="D424" s="81"/>
      <c r="E424" s="81"/>
      <c r="F424" s="153"/>
      <c r="G424" s="153"/>
      <c r="H424" s="153"/>
      <c r="I424" s="153"/>
      <c r="J424" s="153"/>
      <c r="K424" s="153"/>
      <c r="L424" s="153"/>
      <c r="M424" s="153"/>
      <c r="N424" s="153"/>
      <c r="O424" s="81"/>
    </row>
    <row r="425" spans="1:15">
      <c r="A425" s="81"/>
      <c r="B425" s="81"/>
      <c r="C425" s="81"/>
      <c r="D425" s="81"/>
      <c r="E425" s="81"/>
      <c r="F425" s="153"/>
      <c r="G425" s="153"/>
      <c r="H425" s="153"/>
      <c r="I425" s="153"/>
      <c r="J425" s="153"/>
      <c r="K425" s="153"/>
      <c r="L425" s="153"/>
      <c r="M425" s="153"/>
      <c r="N425" s="153"/>
      <c r="O425" s="81"/>
    </row>
    <row r="426" spans="1:15">
      <c r="A426" s="81"/>
      <c r="B426" s="81"/>
      <c r="C426" s="81"/>
      <c r="D426" s="81"/>
      <c r="E426" s="81"/>
      <c r="F426" s="153"/>
      <c r="G426" s="153"/>
      <c r="H426" s="153"/>
      <c r="I426" s="153"/>
      <c r="J426" s="153"/>
      <c r="K426" s="153"/>
      <c r="L426" s="153"/>
      <c r="M426" s="153"/>
      <c r="N426" s="153"/>
      <c r="O426" s="81"/>
    </row>
    <row r="427" spans="1:15">
      <c r="A427" s="81"/>
      <c r="B427" s="81"/>
      <c r="C427" s="81"/>
      <c r="D427" s="81"/>
      <c r="E427" s="81"/>
      <c r="F427" s="153"/>
      <c r="G427" s="153"/>
      <c r="H427" s="153"/>
      <c r="I427" s="153"/>
      <c r="J427" s="153"/>
      <c r="K427" s="153"/>
      <c r="L427" s="153"/>
      <c r="M427" s="153"/>
      <c r="N427" s="153"/>
      <c r="O427" s="81"/>
    </row>
    <row r="428" spans="1:15">
      <c r="A428" s="81"/>
      <c r="B428" s="81"/>
      <c r="C428" s="81"/>
      <c r="D428" s="81"/>
      <c r="E428" s="81"/>
      <c r="F428" s="153"/>
      <c r="G428" s="153"/>
      <c r="H428" s="153"/>
      <c r="I428" s="153"/>
      <c r="J428" s="153"/>
      <c r="K428" s="153"/>
      <c r="L428" s="153"/>
      <c r="M428" s="153"/>
      <c r="N428" s="153"/>
      <c r="O428" s="81"/>
    </row>
    <row r="429" spans="1:15">
      <c r="A429" s="81"/>
      <c r="B429" s="81"/>
      <c r="C429" s="81"/>
      <c r="D429" s="81"/>
      <c r="E429" s="81"/>
      <c r="F429" s="153"/>
      <c r="G429" s="153"/>
      <c r="H429" s="153"/>
      <c r="I429" s="153"/>
      <c r="J429" s="153"/>
      <c r="K429" s="153"/>
      <c r="L429" s="153"/>
      <c r="M429" s="153"/>
      <c r="N429" s="153"/>
      <c r="O429" s="81"/>
    </row>
    <row r="430" spans="1:15">
      <c r="A430" s="81"/>
      <c r="B430" s="81"/>
      <c r="C430" s="81"/>
      <c r="D430" s="81"/>
      <c r="E430" s="81"/>
      <c r="F430" s="153"/>
      <c r="G430" s="153"/>
      <c r="H430" s="153"/>
      <c r="I430" s="153"/>
      <c r="J430" s="153"/>
      <c r="K430" s="153"/>
      <c r="L430" s="153"/>
      <c r="M430" s="153"/>
      <c r="N430" s="153"/>
      <c r="O430" s="81"/>
    </row>
    <row r="431" spans="1:15">
      <c r="A431" s="81"/>
      <c r="B431" s="81"/>
      <c r="C431" s="81"/>
      <c r="D431" s="81"/>
      <c r="E431" s="81"/>
      <c r="F431" s="153"/>
      <c r="G431" s="153"/>
      <c r="H431" s="153"/>
      <c r="I431" s="153"/>
      <c r="J431" s="153"/>
      <c r="K431" s="153"/>
      <c r="L431" s="153"/>
      <c r="M431" s="153"/>
      <c r="N431" s="153"/>
      <c r="O431" s="81"/>
    </row>
    <row r="432" spans="1:15">
      <c r="A432" s="81"/>
      <c r="B432" s="81"/>
      <c r="C432" s="81"/>
      <c r="D432" s="81"/>
      <c r="E432" s="81"/>
      <c r="F432" s="153"/>
      <c r="G432" s="153"/>
      <c r="H432" s="153"/>
      <c r="I432" s="153"/>
      <c r="J432" s="153"/>
      <c r="K432" s="153"/>
      <c r="L432" s="153"/>
      <c r="M432" s="153"/>
      <c r="N432" s="153"/>
      <c r="O432" s="81"/>
    </row>
    <row r="433" spans="1:15">
      <c r="A433" s="81"/>
      <c r="B433" s="81"/>
      <c r="C433" s="81"/>
      <c r="D433" s="81"/>
      <c r="E433" s="81"/>
      <c r="F433" s="153"/>
      <c r="G433" s="153"/>
      <c r="H433" s="153"/>
      <c r="I433" s="153"/>
      <c r="J433" s="153"/>
      <c r="K433" s="153"/>
      <c r="L433" s="153"/>
      <c r="M433" s="153"/>
      <c r="N433" s="153"/>
      <c r="O433" s="81"/>
    </row>
    <row r="434" spans="1:15">
      <c r="A434" s="81"/>
      <c r="B434" s="81"/>
      <c r="C434" s="81"/>
      <c r="D434" s="81"/>
      <c r="E434" s="81"/>
      <c r="F434" s="153"/>
      <c r="G434" s="153"/>
      <c r="H434" s="153"/>
      <c r="I434" s="153"/>
      <c r="J434" s="153"/>
      <c r="K434" s="153"/>
      <c r="L434" s="153"/>
      <c r="M434" s="153"/>
      <c r="N434" s="153"/>
      <c r="O434" s="81"/>
    </row>
    <row r="435" spans="1:15">
      <c r="A435" s="81"/>
      <c r="B435" s="81"/>
      <c r="C435" s="81"/>
      <c r="D435" s="81"/>
      <c r="E435" s="81"/>
      <c r="F435" s="153"/>
      <c r="G435" s="153"/>
      <c r="H435" s="153"/>
      <c r="I435" s="153"/>
      <c r="J435" s="153"/>
      <c r="K435" s="153"/>
      <c r="L435" s="153"/>
      <c r="M435" s="153"/>
      <c r="N435" s="153"/>
      <c r="O435" s="81"/>
    </row>
    <row r="436" spans="1:15">
      <c r="A436" s="81"/>
      <c r="B436" s="81"/>
      <c r="C436" s="81"/>
      <c r="D436" s="81"/>
      <c r="E436" s="81"/>
      <c r="F436" s="153"/>
      <c r="G436" s="153"/>
      <c r="H436" s="153"/>
      <c r="I436" s="153"/>
      <c r="J436" s="153"/>
      <c r="K436" s="153"/>
      <c r="L436" s="153"/>
      <c r="M436" s="153"/>
      <c r="N436" s="153"/>
      <c r="O436" s="81"/>
    </row>
    <row r="437" spans="1:15">
      <c r="A437" s="81"/>
      <c r="B437" s="81"/>
      <c r="C437" s="81"/>
      <c r="D437" s="81"/>
      <c r="E437" s="81"/>
      <c r="F437" s="153"/>
      <c r="G437" s="153"/>
      <c r="H437" s="153"/>
      <c r="I437" s="153"/>
      <c r="J437" s="153"/>
      <c r="K437" s="153"/>
      <c r="L437" s="153"/>
      <c r="M437" s="153"/>
      <c r="N437" s="153"/>
      <c r="O437" s="81"/>
    </row>
    <row r="438" spans="1:15">
      <c r="A438" s="81"/>
      <c r="B438" s="81"/>
      <c r="C438" s="81"/>
      <c r="D438" s="81"/>
      <c r="E438" s="81"/>
      <c r="F438" s="153"/>
      <c r="G438" s="153"/>
      <c r="H438" s="153"/>
      <c r="I438" s="153"/>
      <c r="J438" s="153"/>
      <c r="K438" s="153"/>
      <c r="L438" s="153"/>
      <c r="M438" s="153"/>
      <c r="N438" s="153"/>
      <c r="O438" s="81"/>
    </row>
    <row r="439" spans="1:15">
      <c r="A439" s="81"/>
      <c r="B439" s="81"/>
      <c r="C439" s="81"/>
      <c r="D439" s="81"/>
      <c r="E439" s="81"/>
      <c r="F439" s="153"/>
      <c r="G439" s="153"/>
      <c r="H439" s="153"/>
      <c r="I439" s="153"/>
      <c r="J439" s="153"/>
      <c r="K439" s="153"/>
      <c r="L439" s="153"/>
      <c r="M439" s="153"/>
      <c r="N439" s="153"/>
      <c r="O439" s="81"/>
    </row>
    <row r="440" spans="1:15">
      <c r="A440" s="81"/>
      <c r="B440" s="81"/>
      <c r="C440" s="81"/>
      <c r="D440" s="81"/>
      <c r="E440" s="81"/>
      <c r="F440" s="153"/>
      <c r="G440" s="153"/>
      <c r="H440" s="153"/>
      <c r="I440" s="153"/>
      <c r="J440" s="153"/>
      <c r="K440" s="153"/>
      <c r="L440" s="153"/>
      <c r="M440" s="153"/>
      <c r="N440" s="153"/>
      <c r="O440" s="81"/>
    </row>
    <row r="441" spans="1:15">
      <c r="A441" s="81"/>
      <c r="B441" s="81"/>
      <c r="C441" s="81"/>
      <c r="D441" s="81"/>
      <c r="E441" s="81"/>
      <c r="F441" s="153"/>
      <c r="G441" s="153"/>
      <c r="H441" s="153"/>
      <c r="I441" s="153"/>
      <c r="J441" s="153"/>
      <c r="K441" s="153"/>
      <c r="L441" s="153"/>
      <c r="M441" s="153"/>
      <c r="N441" s="153"/>
      <c r="O441" s="81"/>
    </row>
    <row r="442" spans="1:15">
      <c r="A442" s="81"/>
      <c r="B442" s="81"/>
      <c r="C442" s="81"/>
      <c r="D442" s="81"/>
      <c r="E442" s="81"/>
      <c r="F442" s="153"/>
      <c r="G442" s="153"/>
      <c r="H442" s="153"/>
      <c r="I442" s="153"/>
      <c r="J442" s="153"/>
      <c r="K442" s="153"/>
      <c r="L442" s="153"/>
      <c r="M442" s="153"/>
      <c r="N442" s="153"/>
      <c r="O442" s="81"/>
    </row>
    <row r="443" spans="1:15">
      <c r="A443" s="81"/>
      <c r="B443" s="81"/>
      <c r="C443" s="81"/>
      <c r="D443" s="81"/>
      <c r="E443" s="81"/>
      <c r="F443" s="153"/>
      <c r="G443" s="153"/>
      <c r="H443" s="153"/>
      <c r="I443" s="153"/>
      <c r="J443" s="153"/>
      <c r="K443" s="153"/>
      <c r="L443" s="153"/>
      <c r="M443" s="153"/>
      <c r="N443" s="153"/>
      <c r="O443" s="81"/>
    </row>
    <row r="444" spans="1:15">
      <c r="A444" s="81"/>
      <c r="B444" s="81"/>
      <c r="C444" s="81"/>
      <c r="D444" s="81"/>
      <c r="E444" s="81"/>
      <c r="F444" s="153"/>
      <c r="G444" s="153"/>
      <c r="H444" s="153"/>
      <c r="I444" s="153"/>
      <c r="J444" s="153"/>
      <c r="K444" s="153"/>
      <c r="L444" s="153"/>
      <c r="M444" s="153"/>
      <c r="N444" s="153"/>
      <c r="O444" s="81"/>
    </row>
    <row r="445" spans="1:15">
      <c r="A445" s="81"/>
      <c r="B445" s="81"/>
      <c r="C445" s="81"/>
      <c r="D445" s="81"/>
      <c r="E445" s="81"/>
      <c r="F445" s="153"/>
      <c r="G445" s="153"/>
      <c r="H445" s="153"/>
      <c r="I445" s="153"/>
      <c r="J445" s="153"/>
      <c r="K445" s="153"/>
      <c r="L445" s="153"/>
      <c r="M445" s="153"/>
      <c r="N445" s="153"/>
      <c r="O445" s="81"/>
    </row>
    <row r="446" spans="1:15">
      <c r="A446" s="81"/>
      <c r="B446" s="81"/>
      <c r="C446" s="81"/>
      <c r="D446" s="81"/>
      <c r="E446" s="81"/>
      <c r="F446" s="153"/>
      <c r="G446" s="153"/>
      <c r="H446" s="153"/>
      <c r="I446" s="153"/>
      <c r="J446" s="153"/>
      <c r="K446" s="153"/>
      <c r="L446" s="153"/>
      <c r="M446" s="153"/>
      <c r="N446" s="153"/>
      <c r="O446" s="81"/>
    </row>
    <row r="447" spans="1:15">
      <c r="A447" s="81"/>
      <c r="B447" s="81"/>
      <c r="C447" s="81"/>
      <c r="D447" s="81"/>
      <c r="E447" s="81"/>
      <c r="F447" s="153"/>
      <c r="G447" s="153"/>
      <c r="H447" s="153"/>
      <c r="I447" s="153"/>
      <c r="J447" s="153"/>
      <c r="K447" s="153"/>
      <c r="L447" s="153"/>
      <c r="M447" s="153"/>
      <c r="N447" s="153"/>
      <c r="O447" s="81"/>
    </row>
    <row r="448" spans="1:15">
      <c r="A448" s="81"/>
      <c r="B448" s="81"/>
      <c r="C448" s="81"/>
      <c r="D448" s="81"/>
      <c r="E448" s="81"/>
      <c r="F448" s="153"/>
      <c r="G448" s="153"/>
      <c r="H448" s="153"/>
      <c r="I448" s="153"/>
      <c r="J448" s="153"/>
      <c r="K448" s="153"/>
      <c r="L448" s="153"/>
      <c r="M448" s="153"/>
      <c r="N448" s="153"/>
      <c r="O448" s="81"/>
    </row>
    <row r="449" spans="1:15">
      <c r="A449" s="81"/>
      <c r="B449" s="81"/>
      <c r="C449" s="81"/>
      <c r="D449" s="81"/>
      <c r="E449" s="81"/>
      <c r="F449" s="153"/>
      <c r="G449" s="153"/>
      <c r="H449" s="153"/>
      <c r="I449" s="153"/>
      <c r="J449" s="153"/>
      <c r="K449" s="153"/>
      <c r="L449" s="153"/>
      <c r="M449" s="153"/>
      <c r="N449" s="153"/>
      <c r="O449" s="81"/>
    </row>
    <row r="450" spans="1:15">
      <c r="A450" s="81"/>
      <c r="B450" s="81"/>
      <c r="C450" s="81"/>
      <c r="D450" s="81"/>
      <c r="E450" s="81"/>
      <c r="F450" s="153"/>
      <c r="G450" s="153"/>
      <c r="H450" s="153"/>
      <c r="I450" s="153"/>
      <c r="J450" s="153"/>
      <c r="K450" s="153"/>
      <c r="L450" s="153"/>
      <c r="M450" s="153"/>
      <c r="N450" s="153"/>
      <c r="O450" s="81"/>
    </row>
    <row r="451" spans="1:15">
      <c r="A451" s="81"/>
      <c r="B451" s="81"/>
      <c r="C451" s="81"/>
      <c r="D451" s="81"/>
      <c r="E451" s="81"/>
      <c r="F451" s="153"/>
      <c r="G451" s="153"/>
      <c r="H451" s="153"/>
      <c r="I451" s="153"/>
      <c r="J451" s="153"/>
      <c r="K451" s="153"/>
      <c r="L451" s="153"/>
      <c r="M451" s="153"/>
      <c r="N451" s="153"/>
      <c r="O451" s="81"/>
    </row>
    <row r="452" spans="1:15">
      <c r="A452" s="81"/>
      <c r="B452" s="81"/>
      <c r="C452" s="81"/>
      <c r="D452" s="81"/>
      <c r="E452" s="81"/>
      <c r="F452" s="153"/>
      <c r="G452" s="153"/>
      <c r="H452" s="153"/>
      <c r="I452" s="153"/>
      <c r="J452" s="153"/>
      <c r="K452" s="153"/>
      <c r="L452" s="153"/>
      <c r="M452" s="153"/>
      <c r="N452" s="153"/>
      <c r="O452" s="81"/>
    </row>
    <row r="453" spans="1:15">
      <c r="A453" s="81"/>
      <c r="B453" s="81"/>
      <c r="C453" s="81"/>
      <c r="D453" s="81"/>
      <c r="E453" s="81"/>
      <c r="F453" s="153"/>
      <c r="G453" s="153"/>
      <c r="H453" s="153"/>
      <c r="I453" s="153"/>
      <c r="J453" s="153"/>
      <c r="K453" s="153"/>
      <c r="L453" s="153"/>
      <c r="M453" s="153"/>
      <c r="N453" s="153"/>
      <c r="O453" s="81"/>
    </row>
    <row r="454" spans="1:15">
      <c r="A454" s="81"/>
      <c r="B454" s="81"/>
      <c r="C454" s="81"/>
      <c r="D454" s="81"/>
      <c r="E454" s="81"/>
      <c r="F454" s="153"/>
      <c r="G454" s="153"/>
      <c r="H454" s="153"/>
      <c r="I454" s="153"/>
      <c r="J454" s="153"/>
      <c r="K454" s="153"/>
      <c r="L454" s="153"/>
      <c r="M454" s="153"/>
      <c r="N454" s="153"/>
      <c r="O454" s="81"/>
    </row>
    <row r="455" spans="1:15">
      <c r="A455" s="81"/>
      <c r="B455" s="81"/>
      <c r="C455" s="81"/>
      <c r="D455" s="81"/>
      <c r="E455" s="81"/>
      <c r="F455" s="153"/>
      <c r="G455" s="153"/>
      <c r="H455" s="153"/>
      <c r="I455" s="153"/>
      <c r="J455" s="153"/>
      <c r="K455" s="153"/>
      <c r="L455" s="153"/>
      <c r="M455" s="153"/>
      <c r="N455" s="153"/>
      <c r="O455" s="81"/>
    </row>
    <row r="456" spans="1:15">
      <c r="A456" s="81"/>
      <c r="B456" s="81"/>
      <c r="C456" s="81"/>
      <c r="D456" s="81"/>
      <c r="E456" s="81"/>
      <c r="F456" s="153"/>
      <c r="G456" s="153"/>
      <c r="H456" s="153"/>
      <c r="I456" s="153"/>
      <c r="J456" s="153"/>
      <c r="K456" s="153"/>
      <c r="L456" s="153"/>
      <c r="M456" s="153"/>
      <c r="N456" s="153"/>
      <c r="O456" s="81"/>
    </row>
    <row r="457" spans="1:15">
      <c r="A457" s="81"/>
      <c r="B457" s="81"/>
      <c r="C457" s="81"/>
      <c r="D457" s="81"/>
      <c r="E457" s="81"/>
      <c r="F457" s="153"/>
      <c r="G457" s="153"/>
      <c r="H457" s="153"/>
      <c r="I457" s="153"/>
      <c r="J457" s="153"/>
      <c r="K457" s="153"/>
      <c r="L457" s="153"/>
      <c r="M457" s="153"/>
      <c r="N457" s="153"/>
      <c r="O457" s="81"/>
    </row>
    <row r="458" spans="1:15">
      <c r="A458" s="81"/>
      <c r="B458" s="81"/>
      <c r="C458" s="81"/>
      <c r="D458" s="81"/>
      <c r="E458" s="81"/>
      <c r="F458" s="153"/>
      <c r="G458" s="153"/>
      <c r="H458" s="153"/>
      <c r="I458" s="153"/>
      <c r="J458" s="153"/>
      <c r="K458" s="153"/>
      <c r="L458" s="153"/>
      <c r="M458" s="153"/>
      <c r="N458" s="153"/>
      <c r="O458" s="81"/>
    </row>
    <row r="459" spans="1:15">
      <c r="A459" s="81"/>
      <c r="B459" s="81"/>
      <c r="C459" s="81"/>
      <c r="D459" s="81"/>
      <c r="E459" s="81"/>
      <c r="F459" s="153"/>
      <c r="G459" s="153"/>
      <c r="H459" s="153"/>
      <c r="I459" s="153"/>
      <c r="J459" s="153"/>
      <c r="K459" s="153"/>
      <c r="L459" s="153"/>
      <c r="M459" s="153"/>
      <c r="N459" s="153"/>
      <c r="O459" s="81"/>
    </row>
    <row r="460" spans="1:15">
      <c r="A460" s="81"/>
      <c r="B460" s="81"/>
      <c r="C460" s="81"/>
      <c r="D460" s="81"/>
      <c r="E460" s="81"/>
      <c r="F460" s="153"/>
      <c r="G460" s="153"/>
      <c r="H460" s="153"/>
      <c r="I460" s="153"/>
      <c r="J460" s="153"/>
      <c r="K460" s="153"/>
      <c r="L460" s="153"/>
      <c r="M460" s="153"/>
      <c r="N460" s="153"/>
      <c r="O460" s="81"/>
    </row>
    <row r="461" spans="1:15">
      <c r="A461" s="81"/>
      <c r="B461" s="81"/>
      <c r="C461" s="81"/>
      <c r="D461" s="81"/>
      <c r="E461" s="81"/>
      <c r="F461" s="153"/>
      <c r="G461" s="153"/>
      <c r="H461" s="153"/>
      <c r="I461" s="153"/>
      <c r="J461" s="153"/>
      <c r="K461" s="153"/>
      <c r="L461" s="153"/>
      <c r="M461" s="153"/>
      <c r="N461" s="153"/>
      <c r="O461" s="81"/>
    </row>
    <row r="462" spans="1:15">
      <c r="A462" s="81"/>
      <c r="B462" s="81"/>
      <c r="C462" s="81"/>
      <c r="D462" s="81"/>
      <c r="E462" s="81"/>
      <c r="F462" s="153"/>
      <c r="G462" s="153"/>
      <c r="H462" s="153"/>
      <c r="I462" s="153"/>
      <c r="J462" s="153"/>
      <c r="K462" s="153"/>
      <c r="L462" s="153"/>
      <c r="M462" s="153"/>
      <c r="N462" s="153"/>
      <c r="O462" s="81"/>
    </row>
    <row r="463" spans="1:15">
      <c r="A463" s="81"/>
      <c r="B463" s="81"/>
      <c r="C463" s="81"/>
      <c r="D463" s="81"/>
      <c r="E463" s="81"/>
      <c r="F463" s="153"/>
      <c r="G463" s="153"/>
      <c r="H463" s="153"/>
      <c r="I463" s="153"/>
      <c r="J463" s="153"/>
      <c r="K463" s="153"/>
      <c r="L463" s="153"/>
      <c r="M463" s="153"/>
      <c r="N463" s="153"/>
      <c r="O463" s="81"/>
    </row>
    <row r="464" spans="1:15">
      <c r="A464" s="81"/>
      <c r="B464" s="81"/>
      <c r="C464" s="81"/>
      <c r="D464" s="81"/>
      <c r="E464" s="81"/>
      <c r="F464" s="153"/>
      <c r="G464" s="153"/>
      <c r="H464" s="153"/>
      <c r="I464" s="153"/>
      <c r="J464" s="153"/>
      <c r="K464" s="153"/>
      <c r="L464" s="153"/>
      <c r="M464" s="153"/>
      <c r="N464" s="153"/>
      <c r="O464" s="81"/>
    </row>
    <row r="465" spans="1:15">
      <c r="A465" s="81"/>
      <c r="B465" s="81"/>
      <c r="C465" s="81"/>
      <c r="D465" s="81"/>
      <c r="E465" s="81"/>
      <c r="F465" s="153"/>
      <c r="G465" s="153"/>
      <c r="H465" s="153"/>
      <c r="I465" s="153"/>
      <c r="J465" s="153"/>
      <c r="K465" s="153"/>
      <c r="L465" s="153"/>
      <c r="M465" s="153"/>
      <c r="N465" s="153"/>
      <c r="O465" s="81"/>
    </row>
    <row r="466" spans="1:15">
      <c r="A466" s="81"/>
      <c r="B466" s="81"/>
      <c r="C466" s="81"/>
      <c r="D466" s="81"/>
      <c r="E466" s="81"/>
      <c r="F466" s="153"/>
      <c r="G466" s="153"/>
      <c r="H466" s="153"/>
      <c r="I466" s="153"/>
      <c r="J466" s="153"/>
      <c r="K466" s="153"/>
      <c r="L466" s="153"/>
      <c r="M466" s="153"/>
      <c r="N466" s="153"/>
      <c r="O466" s="81"/>
    </row>
    <row r="467" spans="1:15">
      <c r="A467" s="81"/>
      <c r="B467" s="81"/>
      <c r="C467" s="81"/>
      <c r="D467" s="81"/>
      <c r="E467" s="81"/>
      <c r="F467" s="153"/>
      <c r="G467" s="153"/>
      <c r="H467" s="153"/>
      <c r="I467" s="153"/>
      <c r="J467" s="153"/>
      <c r="K467" s="153"/>
      <c r="L467" s="153"/>
      <c r="M467" s="153"/>
      <c r="N467" s="153"/>
      <c r="O467" s="81"/>
    </row>
    <row r="468" spans="1:15">
      <c r="A468" s="81"/>
      <c r="B468" s="81"/>
      <c r="C468" s="81"/>
      <c r="D468" s="81"/>
      <c r="E468" s="81"/>
      <c r="F468" s="153"/>
      <c r="G468" s="153"/>
      <c r="H468" s="153"/>
      <c r="I468" s="153"/>
      <c r="J468" s="153"/>
      <c r="K468" s="153"/>
      <c r="L468" s="153"/>
      <c r="M468" s="153"/>
      <c r="N468" s="153"/>
      <c r="O468" s="81"/>
    </row>
    <row r="469" spans="1:15">
      <c r="A469" s="81"/>
      <c r="B469" s="81"/>
      <c r="C469" s="81"/>
      <c r="D469" s="81"/>
      <c r="E469" s="81"/>
      <c r="F469" s="153"/>
      <c r="G469" s="153"/>
      <c r="H469" s="153"/>
      <c r="I469" s="153"/>
      <c r="J469" s="153"/>
      <c r="K469" s="153"/>
      <c r="L469" s="153"/>
      <c r="M469" s="153"/>
      <c r="N469" s="153"/>
      <c r="O469" s="81"/>
    </row>
    <row r="470" spans="1:15">
      <c r="A470" s="81"/>
      <c r="B470" s="81"/>
      <c r="C470" s="81"/>
      <c r="D470" s="81"/>
      <c r="E470" s="81"/>
      <c r="F470" s="153"/>
      <c r="G470" s="153"/>
      <c r="H470" s="153"/>
      <c r="I470" s="153"/>
      <c r="J470" s="153"/>
      <c r="K470" s="153"/>
      <c r="L470" s="153"/>
      <c r="M470" s="153"/>
      <c r="N470" s="153"/>
      <c r="O470" s="81"/>
    </row>
    <row r="471" spans="1:15">
      <c r="A471" s="81"/>
      <c r="B471" s="81"/>
      <c r="C471" s="81"/>
      <c r="D471" s="81"/>
      <c r="E471" s="81"/>
      <c r="F471" s="153"/>
      <c r="G471" s="153"/>
      <c r="H471" s="153"/>
      <c r="I471" s="153"/>
      <c r="J471" s="153"/>
      <c r="K471" s="153"/>
      <c r="L471" s="153"/>
      <c r="M471" s="153"/>
      <c r="N471" s="153"/>
      <c r="O471" s="81"/>
    </row>
    <row r="472" spans="1:15">
      <c r="A472" s="81"/>
      <c r="B472" s="81"/>
      <c r="C472" s="81"/>
      <c r="D472" s="81"/>
      <c r="E472" s="81"/>
      <c r="F472" s="153"/>
      <c r="G472" s="153"/>
      <c r="H472" s="153"/>
      <c r="I472" s="153"/>
      <c r="J472" s="153"/>
      <c r="K472" s="153"/>
      <c r="L472" s="153"/>
      <c r="M472" s="153"/>
      <c r="N472" s="153"/>
      <c r="O472" s="81"/>
    </row>
    <row r="473" spans="1:15">
      <c r="A473" s="81"/>
      <c r="B473" s="81"/>
      <c r="C473" s="81"/>
      <c r="D473" s="81"/>
      <c r="E473" s="81"/>
      <c r="F473" s="153"/>
      <c r="G473" s="153"/>
      <c r="H473" s="153"/>
      <c r="I473" s="153"/>
      <c r="J473" s="153"/>
      <c r="K473" s="153"/>
      <c r="L473" s="153"/>
      <c r="M473" s="153"/>
      <c r="N473" s="153"/>
      <c r="O473" s="81"/>
    </row>
    <row r="474" spans="1:15">
      <c r="A474" s="81"/>
      <c r="B474" s="81"/>
      <c r="C474" s="81"/>
      <c r="D474" s="81"/>
      <c r="E474" s="81"/>
      <c r="F474" s="153"/>
      <c r="G474" s="153"/>
      <c r="H474" s="153"/>
      <c r="I474" s="153"/>
      <c r="J474" s="153"/>
      <c r="K474" s="153"/>
      <c r="L474" s="153"/>
      <c r="M474" s="153"/>
      <c r="N474" s="153"/>
      <c r="O474" s="81"/>
    </row>
    <row r="475" spans="1:15">
      <c r="A475" s="81"/>
      <c r="B475" s="81"/>
      <c r="C475" s="81"/>
      <c r="D475" s="81"/>
      <c r="E475" s="81"/>
      <c r="F475" s="153"/>
      <c r="G475" s="153"/>
      <c r="H475" s="153"/>
      <c r="I475" s="153"/>
      <c r="J475" s="153"/>
      <c r="K475" s="153"/>
      <c r="L475" s="153"/>
      <c r="M475" s="153"/>
      <c r="N475" s="153"/>
      <c r="O475" s="81"/>
    </row>
    <row r="476" spans="1:15">
      <c r="A476" s="81"/>
      <c r="B476" s="81"/>
      <c r="C476" s="81"/>
      <c r="D476" s="81"/>
      <c r="E476" s="81"/>
      <c r="F476" s="153"/>
      <c r="G476" s="153"/>
      <c r="H476" s="153"/>
      <c r="I476" s="153"/>
      <c r="J476" s="153"/>
      <c r="K476" s="153"/>
      <c r="L476" s="153"/>
      <c r="M476" s="153"/>
      <c r="N476" s="153"/>
      <c r="O476" s="81"/>
    </row>
    <row r="477" spans="1:15">
      <c r="A477" s="81"/>
      <c r="B477" s="81"/>
      <c r="C477" s="81"/>
      <c r="D477" s="81"/>
      <c r="E477" s="81"/>
      <c r="F477" s="153"/>
      <c r="G477" s="153"/>
      <c r="H477" s="153"/>
      <c r="I477" s="153"/>
      <c r="J477" s="153"/>
      <c r="K477" s="153"/>
      <c r="L477" s="153"/>
      <c r="M477" s="153"/>
      <c r="N477" s="153"/>
      <c r="O477" s="81"/>
    </row>
    <row r="478" spans="1:15">
      <c r="A478" s="81"/>
      <c r="B478" s="81"/>
      <c r="C478" s="81"/>
      <c r="D478" s="81"/>
      <c r="E478" s="81"/>
      <c r="F478" s="153"/>
      <c r="G478" s="153"/>
      <c r="H478" s="153"/>
      <c r="I478" s="153"/>
      <c r="J478" s="153"/>
      <c r="K478" s="153"/>
      <c r="L478" s="153"/>
      <c r="M478" s="153"/>
      <c r="N478" s="153"/>
      <c r="O478" s="81"/>
    </row>
    <row r="479" spans="1:15">
      <c r="A479" s="81"/>
      <c r="B479" s="81"/>
      <c r="C479" s="81"/>
      <c r="D479" s="81"/>
      <c r="E479" s="81"/>
      <c r="F479" s="153"/>
      <c r="G479" s="153"/>
      <c r="H479" s="153"/>
      <c r="I479" s="153"/>
      <c r="J479" s="153"/>
      <c r="K479" s="153"/>
      <c r="L479" s="153"/>
      <c r="M479" s="153"/>
      <c r="N479" s="153"/>
      <c r="O479" s="81"/>
    </row>
    <row r="480" spans="1:15">
      <c r="A480" s="81"/>
      <c r="B480" s="81"/>
      <c r="C480" s="81"/>
      <c r="D480" s="81"/>
      <c r="E480" s="81"/>
      <c r="F480" s="153"/>
      <c r="G480" s="153"/>
      <c r="H480" s="153"/>
      <c r="I480" s="153"/>
      <c r="J480" s="153"/>
      <c r="K480" s="153"/>
      <c r="L480" s="153"/>
      <c r="M480" s="153"/>
      <c r="N480" s="153"/>
      <c r="O480" s="81"/>
    </row>
    <row r="481" spans="1:15">
      <c r="A481" s="81"/>
      <c r="B481" s="81"/>
      <c r="C481" s="81"/>
      <c r="D481" s="81"/>
      <c r="E481" s="81"/>
      <c r="F481" s="153"/>
      <c r="G481" s="153"/>
      <c r="H481" s="153"/>
      <c r="I481" s="153"/>
      <c r="J481" s="153"/>
      <c r="K481" s="153"/>
      <c r="L481" s="153"/>
      <c r="M481" s="153"/>
      <c r="N481" s="153"/>
      <c r="O481" s="81"/>
    </row>
    <row r="482" spans="1:15">
      <c r="A482" s="81"/>
      <c r="B482" s="81"/>
      <c r="C482" s="81"/>
      <c r="D482" s="81"/>
      <c r="E482" s="81"/>
      <c r="F482" s="153"/>
      <c r="G482" s="153"/>
      <c r="H482" s="153"/>
      <c r="I482" s="153"/>
      <c r="J482" s="153"/>
      <c r="K482" s="153"/>
      <c r="L482" s="153"/>
      <c r="M482" s="153"/>
      <c r="N482" s="153"/>
      <c r="O482" s="81"/>
    </row>
    <row r="483" spans="1:15">
      <c r="A483" s="81"/>
      <c r="B483" s="81"/>
      <c r="C483" s="81"/>
      <c r="D483" s="81"/>
      <c r="E483" s="81"/>
      <c r="F483" s="153"/>
      <c r="G483" s="153"/>
      <c r="H483" s="153"/>
      <c r="I483" s="153"/>
      <c r="J483" s="153"/>
      <c r="K483" s="153"/>
      <c r="L483" s="153"/>
      <c r="M483" s="153"/>
      <c r="N483" s="153"/>
      <c r="O483" s="81"/>
    </row>
    <row r="484" spans="1:15">
      <c r="A484" s="81"/>
      <c r="B484" s="81"/>
      <c r="C484" s="81"/>
      <c r="D484" s="81"/>
      <c r="E484" s="81"/>
      <c r="F484" s="153"/>
      <c r="G484" s="153"/>
      <c r="H484" s="153"/>
      <c r="I484" s="153"/>
      <c r="J484" s="153"/>
      <c r="K484" s="153"/>
      <c r="L484" s="153"/>
      <c r="M484" s="153"/>
      <c r="N484" s="153"/>
      <c r="O484" s="81"/>
    </row>
    <row r="485" spans="1:15">
      <c r="A485" s="81"/>
      <c r="B485" s="81"/>
      <c r="C485" s="81"/>
      <c r="D485" s="81"/>
      <c r="E485" s="81"/>
      <c r="F485" s="153"/>
      <c r="G485" s="153"/>
      <c r="H485" s="153"/>
      <c r="I485" s="153"/>
      <c r="J485" s="153"/>
      <c r="K485" s="153"/>
      <c r="L485" s="153"/>
      <c r="M485" s="153"/>
      <c r="N485" s="153"/>
      <c r="O485" s="81"/>
    </row>
    <row r="486" spans="1:15">
      <c r="A486" s="81"/>
      <c r="B486" s="81"/>
      <c r="C486" s="81"/>
      <c r="D486" s="81"/>
      <c r="E486" s="81"/>
      <c r="F486" s="153"/>
      <c r="G486" s="153"/>
      <c r="H486" s="153"/>
      <c r="I486" s="153"/>
      <c r="J486" s="153"/>
      <c r="K486" s="153"/>
      <c r="L486" s="153"/>
      <c r="M486" s="153"/>
      <c r="N486" s="153"/>
      <c r="O486" s="81"/>
    </row>
    <row r="487" spans="1:15">
      <c r="A487" s="81"/>
      <c r="B487" s="81"/>
      <c r="C487" s="81"/>
      <c r="D487" s="81"/>
      <c r="E487" s="81"/>
      <c r="F487" s="153"/>
      <c r="G487" s="153"/>
      <c r="H487" s="153"/>
      <c r="I487" s="153"/>
      <c r="J487" s="153"/>
      <c r="K487" s="153"/>
      <c r="L487" s="153"/>
      <c r="M487" s="153"/>
      <c r="N487" s="153"/>
      <c r="O487" s="81"/>
    </row>
    <row r="488" spans="1:15">
      <c r="A488" s="81"/>
      <c r="B488" s="81"/>
      <c r="C488" s="81"/>
      <c r="D488" s="81"/>
      <c r="E488" s="81"/>
      <c r="F488" s="153"/>
      <c r="G488" s="153"/>
      <c r="H488" s="153"/>
      <c r="I488" s="153"/>
      <c r="J488" s="153"/>
      <c r="K488" s="153"/>
      <c r="L488" s="153"/>
      <c r="M488" s="153"/>
      <c r="N488" s="153"/>
      <c r="O488" s="81"/>
    </row>
    <row r="489" spans="1:15">
      <c r="A489" s="81"/>
      <c r="B489" s="81"/>
      <c r="C489" s="81"/>
      <c r="D489" s="81"/>
      <c r="E489" s="81"/>
      <c r="F489" s="153"/>
      <c r="G489" s="153"/>
      <c r="H489" s="153"/>
      <c r="I489" s="153"/>
      <c r="J489" s="153"/>
      <c r="K489" s="153"/>
      <c r="L489" s="153"/>
      <c r="M489" s="153"/>
      <c r="N489" s="153"/>
      <c r="O489" s="81"/>
    </row>
    <row r="490" spans="1:15">
      <c r="A490" s="81"/>
      <c r="B490" s="81"/>
      <c r="C490" s="81"/>
      <c r="D490" s="81"/>
      <c r="E490" s="81"/>
      <c r="F490" s="153"/>
      <c r="G490" s="153"/>
      <c r="H490" s="153"/>
      <c r="I490" s="153"/>
      <c r="J490" s="153"/>
      <c r="K490" s="153"/>
      <c r="L490" s="153"/>
      <c r="M490" s="153"/>
      <c r="N490" s="153"/>
      <c r="O490" s="81"/>
    </row>
    <row r="491" spans="1:15">
      <c r="A491" s="81"/>
      <c r="B491" s="81"/>
      <c r="C491" s="81"/>
      <c r="D491" s="81"/>
      <c r="E491" s="81"/>
      <c r="F491" s="153"/>
      <c r="G491" s="153"/>
      <c r="H491" s="153"/>
      <c r="I491" s="153"/>
      <c r="J491" s="153"/>
      <c r="K491" s="153"/>
      <c r="L491" s="153"/>
      <c r="M491" s="153"/>
      <c r="N491" s="153"/>
      <c r="O491" s="81"/>
    </row>
    <row r="492" spans="1:15">
      <c r="A492" s="81"/>
      <c r="B492" s="81"/>
      <c r="C492" s="81"/>
      <c r="D492" s="81"/>
      <c r="E492" s="81"/>
      <c r="F492" s="153"/>
      <c r="G492" s="153"/>
      <c r="H492" s="153"/>
      <c r="I492" s="153"/>
      <c r="J492" s="153"/>
      <c r="K492" s="153"/>
      <c r="L492" s="153"/>
      <c r="M492" s="153"/>
      <c r="N492" s="153"/>
      <c r="O492" s="81"/>
    </row>
    <row r="493" spans="1:15">
      <c r="A493" s="81"/>
      <c r="B493" s="81"/>
      <c r="C493" s="81"/>
      <c r="D493" s="81"/>
      <c r="E493" s="81"/>
      <c r="F493" s="153"/>
      <c r="G493" s="153"/>
      <c r="H493" s="153"/>
      <c r="I493" s="153"/>
      <c r="J493" s="153"/>
      <c r="K493" s="153"/>
      <c r="L493" s="153"/>
      <c r="M493" s="153"/>
      <c r="N493" s="153"/>
      <c r="O493" s="81"/>
    </row>
    <row r="494" spans="1:15">
      <c r="A494" s="81"/>
      <c r="B494" s="81"/>
      <c r="C494" s="81"/>
      <c r="D494" s="81"/>
      <c r="E494" s="81"/>
      <c r="F494" s="153"/>
      <c r="G494" s="153"/>
      <c r="H494" s="153"/>
      <c r="I494" s="153"/>
      <c r="J494" s="153"/>
      <c r="K494" s="153"/>
      <c r="L494" s="153"/>
      <c r="M494" s="153"/>
      <c r="N494" s="153"/>
      <c r="O494" s="81"/>
    </row>
    <row r="495" spans="1:15">
      <c r="A495" s="81"/>
      <c r="B495" s="81"/>
      <c r="C495" s="81"/>
      <c r="D495" s="81"/>
      <c r="E495" s="81"/>
      <c r="F495" s="153"/>
      <c r="G495" s="153"/>
      <c r="H495" s="153"/>
      <c r="I495" s="153"/>
      <c r="J495" s="153"/>
      <c r="K495" s="153"/>
      <c r="L495" s="153"/>
      <c r="M495" s="153"/>
      <c r="N495" s="153"/>
      <c r="O495" s="81"/>
    </row>
    <row r="496" spans="1:15">
      <c r="A496" s="81"/>
      <c r="B496" s="81"/>
      <c r="C496" s="81"/>
      <c r="D496" s="81"/>
      <c r="E496" s="81"/>
      <c r="F496" s="153"/>
      <c r="G496" s="153"/>
      <c r="H496" s="153"/>
      <c r="I496" s="153"/>
      <c r="J496" s="153"/>
      <c r="K496" s="153"/>
      <c r="L496" s="153"/>
      <c r="M496" s="153"/>
      <c r="N496" s="153"/>
      <c r="O496" s="81"/>
    </row>
    <row r="497" spans="1:15">
      <c r="A497" s="81"/>
      <c r="B497" s="81"/>
      <c r="C497" s="81"/>
      <c r="D497" s="81"/>
      <c r="E497" s="81"/>
      <c r="F497" s="153"/>
      <c r="G497" s="153"/>
      <c r="H497" s="153"/>
      <c r="I497" s="153"/>
      <c r="J497" s="153"/>
      <c r="K497" s="153"/>
      <c r="L497" s="153"/>
      <c r="M497" s="153"/>
      <c r="N497" s="153"/>
      <c r="O497" s="81"/>
    </row>
    <row r="498" spans="1:15">
      <c r="A498" s="81"/>
      <c r="B498" s="81"/>
      <c r="C498" s="81"/>
      <c r="D498" s="81"/>
      <c r="E498" s="81"/>
      <c r="F498" s="153"/>
      <c r="G498" s="153"/>
      <c r="H498" s="153"/>
      <c r="I498" s="153"/>
      <c r="J498" s="153"/>
      <c r="K498" s="153"/>
      <c r="L498" s="153"/>
      <c r="M498" s="153"/>
      <c r="N498" s="153"/>
      <c r="O498" s="81"/>
    </row>
    <row r="499" spans="1:15">
      <c r="A499" s="81"/>
      <c r="B499" s="81"/>
      <c r="C499" s="81"/>
      <c r="D499" s="81"/>
      <c r="E499" s="81"/>
      <c r="F499" s="153"/>
      <c r="G499" s="153"/>
      <c r="H499" s="153"/>
      <c r="I499" s="153"/>
      <c r="J499" s="153"/>
      <c r="K499" s="153"/>
      <c r="L499" s="153"/>
      <c r="M499" s="153"/>
      <c r="N499" s="153"/>
      <c r="O499" s="81"/>
    </row>
    <row r="500" spans="1:15">
      <c r="A500" s="81"/>
      <c r="B500" s="81"/>
      <c r="C500" s="81"/>
      <c r="D500" s="81"/>
      <c r="E500" s="81"/>
      <c r="F500" s="153"/>
      <c r="G500" s="153"/>
      <c r="H500" s="153"/>
      <c r="I500" s="153"/>
      <c r="J500" s="153"/>
      <c r="K500" s="153"/>
      <c r="L500" s="153"/>
      <c r="M500" s="153"/>
      <c r="N500" s="153"/>
      <c r="O500" s="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6D7A8"/>
    <outlinePr summaryBelow="0" summaryRight="0"/>
  </sheetPr>
  <dimension ref="A1:BV1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R4" sqref="BR4"/>
    </sheetView>
  </sheetViews>
  <sheetFormatPr defaultColWidth="14.42578125" defaultRowHeight="15" customHeight="1" outlineLevelCol="1"/>
  <cols>
    <col min="13" max="19" width="7.28515625" customWidth="1"/>
    <col min="20" max="20" width="7.28515625" customWidth="1" collapsed="1"/>
    <col min="21" max="21" width="7.28515625" style="110" hidden="1" customWidth="1" outlineLevel="1"/>
    <col min="22" max="22" width="7.28515625" customWidth="1"/>
    <col min="33" max="39" width="7.28515625" customWidth="1"/>
    <col min="40" max="40" width="7.28515625" customWidth="1" collapsed="1"/>
    <col min="41" max="41" width="7.28515625" style="117" hidden="1" customWidth="1" outlineLevel="1"/>
    <col min="42" max="42" width="7.28515625" customWidth="1"/>
    <col min="53" max="59" width="7.28515625" customWidth="1"/>
    <col min="60" max="60" width="7.28515625" customWidth="1" collapsed="1"/>
    <col min="61" max="61" width="7.28515625" style="117" hidden="1" customWidth="1" outlineLevel="1"/>
    <col min="62" max="62" width="7.28515625" customWidth="1"/>
    <col min="64" max="69" width="14.42578125" style="106"/>
    <col min="70" max="70" width="14.42578125" style="106" collapsed="1"/>
    <col min="71" max="71" width="14.42578125" style="106" hidden="1" customWidth="1" outlineLevel="1"/>
    <col min="72" max="72" width="14.42578125" style="106"/>
  </cols>
  <sheetData>
    <row r="1" spans="1:74">
      <c r="A1" s="13"/>
      <c r="B1" s="13"/>
      <c r="C1" s="21" t="s">
        <v>471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7"/>
      <c r="U1" s="104"/>
      <c r="V1" s="6"/>
      <c r="W1" s="21" t="s">
        <v>472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107"/>
      <c r="AL1" s="6"/>
      <c r="AM1" s="6"/>
      <c r="AN1" s="6"/>
      <c r="AO1" s="115"/>
      <c r="AP1" s="6"/>
      <c r="AQ1" s="21" t="s">
        <v>473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107"/>
      <c r="BF1" s="6"/>
      <c r="BG1" s="6"/>
      <c r="BH1" s="6"/>
      <c r="BI1" s="115"/>
      <c r="BJ1" s="6"/>
      <c r="BK1" s="108" t="s">
        <v>474</v>
      </c>
      <c r="BL1" s="6"/>
      <c r="BM1" s="6"/>
      <c r="BN1" s="6"/>
      <c r="BO1" s="107"/>
      <c r="BP1" s="6"/>
      <c r="BQ1" s="6"/>
      <c r="BR1" s="6"/>
      <c r="BS1" s="8"/>
      <c r="BT1" s="111"/>
      <c r="BU1" s="15"/>
      <c r="BV1" s="15"/>
    </row>
    <row r="2" spans="1:74" s="110" customFormat="1">
      <c r="A2" s="84" t="s">
        <v>62</v>
      </c>
      <c r="B2" s="84" t="s">
        <v>63</v>
      </c>
      <c r="C2" s="85" t="s">
        <v>475</v>
      </c>
      <c r="D2" s="86" t="s">
        <v>476</v>
      </c>
      <c r="E2" s="31" t="s">
        <v>477</v>
      </c>
      <c r="F2" s="86" t="s">
        <v>478</v>
      </c>
      <c r="G2" s="31" t="s">
        <v>479</v>
      </c>
      <c r="H2" s="86" t="s">
        <v>480</v>
      </c>
      <c r="I2" s="31" t="s">
        <v>481</v>
      </c>
      <c r="J2" s="86" t="s">
        <v>482</v>
      </c>
      <c r="K2" s="31" t="s">
        <v>483</v>
      </c>
      <c r="L2" s="86" t="s">
        <v>484</v>
      </c>
      <c r="M2" s="86" t="s">
        <v>485</v>
      </c>
      <c r="N2" s="86" t="s">
        <v>486</v>
      </c>
      <c r="O2" s="86" t="s">
        <v>487</v>
      </c>
      <c r="P2" s="86" t="s">
        <v>488</v>
      </c>
      <c r="Q2" s="86" t="s">
        <v>489</v>
      </c>
      <c r="R2" s="86" t="s">
        <v>490</v>
      </c>
      <c r="S2" s="86" t="s">
        <v>491</v>
      </c>
      <c r="T2" s="86" t="s">
        <v>492</v>
      </c>
      <c r="U2" s="84" t="s">
        <v>539</v>
      </c>
      <c r="V2" s="86" t="s">
        <v>538</v>
      </c>
      <c r="W2" s="85" t="s">
        <v>493</v>
      </c>
      <c r="X2" s="86" t="s">
        <v>494</v>
      </c>
      <c r="Y2" s="31" t="s">
        <v>495</v>
      </c>
      <c r="Z2" s="86" t="s">
        <v>496</v>
      </c>
      <c r="AA2" s="31" t="s">
        <v>497</v>
      </c>
      <c r="AB2" s="86" t="s">
        <v>498</v>
      </c>
      <c r="AC2" s="31" t="s">
        <v>499</v>
      </c>
      <c r="AD2" s="86" t="s">
        <v>500</v>
      </c>
      <c r="AE2" s="31" t="s">
        <v>501</v>
      </c>
      <c r="AF2" s="86" t="s">
        <v>502</v>
      </c>
      <c r="AG2" s="86" t="s">
        <v>503</v>
      </c>
      <c r="AH2" s="86" t="s">
        <v>504</v>
      </c>
      <c r="AI2" s="86" t="s">
        <v>505</v>
      </c>
      <c r="AJ2" s="86" t="s">
        <v>506</v>
      </c>
      <c r="AK2" s="86" t="s">
        <v>507</v>
      </c>
      <c r="AL2" s="86" t="s">
        <v>508</v>
      </c>
      <c r="AM2" s="86" t="s">
        <v>509</v>
      </c>
      <c r="AN2" s="86" t="s">
        <v>510</v>
      </c>
      <c r="AO2" s="84" t="s">
        <v>540</v>
      </c>
      <c r="AP2" s="86" t="s">
        <v>541</v>
      </c>
      <c r="AQ2" s="85" t="s">
        <v>511</v>
      </c>
      <c r="AR2" s="86" t="s">
        <v>512</v>
      </c>
      <c r="AS2" s="31" t="s">
        <v>513</v>
      </c>
      <c r="AT2" s="86" t="s">
        <v>514</v>
      </c>
      <c r="AU2" s="31" t="s">
        <v>515</v>
      </c>
      <c r="AV2" s="86" t="s">
        <v>516</v>
      </c>
      <c r="AW2" s="31" t="s">
        <v>517</v>
      </c>
      <c r="AX2" s="86" t="s">
        <v>518</v>
      </c>
      <c r="AY2" s="31" t="s">
        <v>519</v>
      </c>
      <c r="AZ2" s="86" t="s">
        <v>520</v>
      </c>
      <c r="BA2" s="86" t="s">
        <v>521</v>
      </c>
      <c r="BB2" s="86" t="s">
        <v>522</v>
      </c>
      <c r="BC2" s="86" t="s">
        <v>523</v>
      </c>
      <c r="BD2" s="86" t="s">
        <v>524</v>
      </c>
      <c r="BE2" s="86" t="s">
        <v>525</v>
      </c>
      <c r="BF2" s="86" t="s">
        <v>526</v>
      </c>
      <c r="BG2" s="86" t="s">
        <v>527</v>
      </c>
      <c r="BH2" s="86" t="s">
        <v>528</v>
      </c>
      <c r="BI2" s="84" t="s">
        <v>542</v>
      </c>
      <c r="BJ2" s="86" t="s">
        <v>543</v>
      </c>
      <c r="BK2" s="88" t="s">
        <v>529</v>
      </c>
      <c r="BL2" s="86" t="s">
        <v>65</v>
      </c>
      <c r="BM2" s="86" t="s">
        <v>66</v>
      </c>
      <c r="BN2" s="86" t="s">
        <v>67</v>
      </c>
      <c r="BO2" s="86" t="s">
        <v>68</v>
      </c>
      <c r="BP2" s="86" t="s">
        <v>69</v>
      </c>
      <c r="BQ2" s="86" t="s">
        <v>70</v>
      </c>
      <c r="BR2" s="86" t="s">
        <v>71</v>
      </c>
      <c r="BS2" s="84" t="s">
        <v>544</v>
      </c>
      <c r="BT2" s="89" t="s">
        <v>545</v>
      </c>
      <c r="BU2" s="87"/>
      <c r="BV2" s="87"/>
    </row>
    <row r="3" spans="1:74">
      <c r="A3" s="90" t="s">
        <v>77</v>
      </c>
      <c r="B3" s="90" t="s">
        <v>531</v>
      </c>
      <c r="C3" s="91" t="s">
        <v>447</v>
      </c>
      <c r="D3" s="92">
        <v>1</v>
      </c>
      <c r="E3" s="93" t="s">
        <v>403</v>
      </c>
      <c r="F3" s="92">
        <v>125</v>
      </c>
      <c r="G3" s="93" t="s">
        <v>618</v>
      </c>
      <c r="H3" s="92">
        <v>35</v>
      </c>
      <c r="I3" s="93" t="s">
        <v>273</v>
      </c>
      <c r="J3" s="92">
        <v>100</v>
      </c>
      <c r="K3" s="94"/>
      <c r="L3" s="95"/>
      <c r="M3" s="96" cm="1">
        <f t="array" ref="M3:M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Alimentacion_data!F2:F200, ""),
  _xlpm.valores, IF(_xlpm.alimentos="", 0, IF(_xlpm.unidades="ud", _xlpm.cantidades*_xlpm.macro, (_xlpm.cantidades/100)*_xlpm.macro)),
  _xlfn.BYROW(_xlpm.valores, _xlfn.LAMBDA(_xlpm.fila, IF(SUM(_xlpm.fila)=0,"",SUM(_xlpm.fila))))
 )</f>
        <v>335</v>
      </c>
      <c r="N3" s="96" cm="1">
        <f t="array" ref="N3:N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Alimentacion_data!G2:G200, ""),
  _xlpm.valores, IF(_xlpm.alimentos="", 0, IF(_xlpm.unidades="ud", _xlpm.cantidades*_xlpm.macro, (_xlpm.cantidades/100)*_xlpm.macro)),
  _xlfn.BYROW(_xlpm.valores, _xlfn.LAMBDA(_xlpm.fila, IF(SUM(_xlpm.fila)=0,"",SUM(_xlpm.fila))))
 )</f>
        <v>41.5</v>
      </c>
      <c r="O3" s="96" cm="1">
        <f t="array" ref="O3:O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Alimentacion_data!H2:H200, ""),
  _xlpm.valores, IF(_xlpm.alimentos="", 0, IF(_xlpm.unidades="ud", _xlpm.cantidades*_xlpm.macro, (_xlpm.cantidades/100)*_xlpm.macro)),
  _xlfn.BYROW(_xlpm.valores, _xlfn.LAMBDA(_xlpm.fila, IF(SUM(_xlpm.fila)=0,"",SUM(_xlpm.fila))))
 )</f>
        <v>17.8</v>
      </c>
      <c r="P3" s="96" cm="1">
        <f t="array" ref="P3:P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Alimentacion_data!I2:I200, ""),
  _xlpm.valores, IF(_xlpm.alimentos="", 0, IF(_xlpm.unidades="ud", _xlpm.cantidades*_xlpm.macro, (_xlpm.cantidades/100)*_xlpm.macro)),
  _xlfn.BYROW(_xlpm.valores, _xlfn.LAMBDA(_xlpm.fila, IF(SUM(_xlpm.fila)=0,"",SUM(_xlpm.fila))))
 )</f>
        <v>12.6</v>
      </c>
      <c r="Q3" s="96" cm="1">
        <f t="array" ref="Q3:Q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Alimentacion_data!J2:J200, ""),
  _xlpm.valores, IF(_xlpm.alimentos="", 0, IF(_xlpm.unidades="ud", _xlpm.cantidades*_xlpm.macro, (_xlpm.cantidades/100)*_xlpm.macro)),
  _xlfn.BYROW(_xlpm.valores, _xlfn.LAMBDA(_xlpm.fila, IF(SUM(_xlpm.fila)=0,"",SUM(_xlpm.fila))))
 )</f>
        <v>6.95</v>
      </c>
      <c r="R3" s="96" cm="1">
        <f t="array" ref="R3:R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Alimentacion_data!K2:K200, ""),
  _xlpm.valores, IF(_xlpm.alimentos="", 0, IF(_xlpm.unidades="ud", _xlpm.cantidades*_xlpm.macro, (_xlpm.cantidades/100)*_xlpm.macro)),
  _xlfn.BYROW(_xlpm.valores, _xlfn.LAMBDA(_xlpm.fila, IF(SUM(_xlpm.fila)=0,"",SUM(_xlpm.fila))))
 )</f>
        <v>4.2</v>
      </c>
      <c r="S3" s="96" cm="1">
        <f t="array" ref="S3:S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Alimentacion_data!L2:L200, ""),
  _xlpm.valores, IF(_xlpm.alimentos="", 0, IF(_xlpm.unidades="ud", _xlpm.cantidades*_xlpm.macro, (_xlpm.cantidades/100)*_xlpm.macro)),
  _xlfn.BYROW(_xlpm.valores, _xlfn.LAMBDA(_xlpm.fila, IF(SUM(_xlpm.fila)=0,"",SUM(_xlpm.fila))))
 )</f>
        <v>12.05</v>
      </c>
      <c r="T3" s="96" cm="1">
        <f t="array" ref="T3:T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Alimentacion_data!M2:M200 * 2.5 / 1000, ""),
  _xlpm.valores, IF(_xlpm.alimentos="", 0, IF(_xlpm.unidades="ud", _xlpm.cantidades*_xlpm.macro, (_xlpm.cantidades/100)*_xlpm.macro)),
  _xlfn.BYROW(_xlpm.valores, _xlfn.LAMBDA(_xlpm.fila, IF(SUM(_xlpm.fila)=0,"",SUM(_xlpm.fila))))
 )</f>
        <v>0.5774999999999999</v>
      </c>
      <c r="U3" s="109" cm="1">
        <f t="array" ref="U3:U100">_xlfn.LET(
  _xlpm.rango, $C3:$L100,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Alimentacion_data!F2:F200 * Alimentacion_data!N2:N200, ""),
  _xlpm.valores, IF(_xlpm.alimentos="", 0, IF(_xlpm.unidades="ud", _xlpm.cantidades*_xlpm.macro, (_xlpm.cantidades/100)*_xlpm.macro)),
  _xlfn.BYROW(_xlpm.valores, _xlfn.LAMBDA(_xlpm.fila, IF(SUM(_xlpm.fila)=0,"",SUM(_xlpm.fila))))
 )</f>
        <v>1580</v>
      </c>
      <c r="V3" s="96" cm="1">
        <f t="array" ref="V3:V100">IFERROR(ROUND(U3:U100/M3:M100,2),"")</f>
        <v>4.72</v>
      </c>
      <c r="W3" s="91" t="s">
        <v>364</v>
      </c>
      <c r="X3" s="92">
        <v>200</v>
      </c>
      <c r="Y3" s="93" t="s">
        <v>330</v>
      </c>
      <c r="Z3" s="92">
        <v>50</v>
      </c>
      <c r="AA3" s="93" t="s">
        <v>407</v>
      </c>
      <c r="AB3" s="92">
        <v>10</v>
      </c>
      <c r="AC3" s="93" t="s">
        <v>452</v>
      </c>
      <c r="AD3" s="92">
        <v>300</v>
      </c>
      <c r="AE3" s="93" t="s">
        <v>454</v>
      </c>
      <c r="AF3" s="92">
        <v>200</v>
      </c>
      <c r="AG3" s="96" cm="1">
        <f t="array" ref="AG3:AG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Alimentacion_data!F2:F200, ""),
  _xlpm.valores, IF(_xlpm.alimentos="", 0, IF(_xlpm.unidades="ud", _xlpm.cantidades*_xlpm.macro, (_xlpm.cantidades/100)*_xlpm.macro)),
  _xlfn.BYROW(_xlpm.valores, _xlfn.LAMBDA(_xlpm.fila, IF(SUM(_xlpm.fila)=0,"",SUM(_xlpm.fila))))
 )</f>
        <v>666</v>
      </c>
      <c r="AH3" s="96" cm="1">
        <f t="array" ref="AH3:AH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Alimentacion_data!G2:G200, ""),
  _xlpm.valores, IF(_xlpm.alimentos="", 0, IF(_xlpm.unidades="ud", _xlpm.cantidades*_xlpm.macro, (_xlpm.cantidades/100)*_xlpm.macro)),
  _xlfn.BYROW(_xlpm.valores, _xlfn.LAMBDA(_xlpm.fila, IF(SUM(_xlpm.fila)=0,"",SUM(_xlpm.fila))))
 )</f>
        <v>53.5</v>
      </c>
      <c r="AI3" s="96" cm="1">
        <f t="array" ref="AI3:AI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Alimentacion_data!H2:H200, ""),
  _xlpm.valores, IF(_xlpm.alimentos="", 0, IF(_xlpm.unidades="ud", _xlpm.cantidades*_xlpm.macro, (_xlpm.cantidades/100)*_xlpm.macro)),
  _xlfn.BYROW(_xlpm.valores, _xlfn.LAMBDA(_xlpm.fila, IF(SUM(_xlpm.fila)=0,"",SUM(_xlpm.fila))))
 )</f>
        <v>57.5</v>
      </c>
      <c r="AJ3" s="96" cm="1">
        <f t="array" ref="AJ3:AJ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Alimentacion_data!I2:I200, ""),
  _xlpm.valores, IF(_xlpm.alimentos="", 0, IF(_xlpm.unidades="ud", _xlpm.cantidades*_xlpm.macro, (_xlpm.cantidades/100)*_xlpm.macro)),
  _xlfn.BYROW(_xlpm.valores, _xlfn.LAMBDA(_xlpm.fila, IF(SUM(_xlpm.fila)=0,"",SUM(_xlpm.fila))))
 )</f>
        <v>24.8</v>
      </c>
      <c r="AK3" s="96" cm="1">
        <f t="array" ref="AK3:AK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Alimentacion_data!J2:J200, ""),
  _xlpm.valores, IF(_xlpm.alimentos="", 0, IF(_xlpm.unidades="ud", _xlpm.cantidades*_xlpm.macro, (_xlpm.cantidades/100)*_xlpm.macro)),
  _xlfn.BYROW(_xlpm.valores, _xlfn.LAMBDA(_xlpm.fila, IF(SUM(_xlpm.fila)=0,"",SUM(_xlpm.fila))))
 )</f>
        <v>5.8000000000000007</v>
      </c>
      <c r="AL3" s="96" cm="1">
        <f t="array" ref="AL3:AL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Alimentacion_data!K2:K200, ""),
  _xlpm.valores, IF(_xlpm.alimentos="", 0, IF(_xlpm.unidades="ud", _xlpm.cantidades*_xlpm.macro, (_xlpm.cantidades/100)*_xlpm.macro)),
  _xlfn.BYROW(_xlpm.valores, _xlfn.LAMBDA(_xlpm.fila, IF(SUM(_xlpm.fila)=0,"",SUM(_xlpm.fila))))
 )</f>
        <v>11.5</v>
      </c>
      <c r="AM3" s="96" cm="1">
        <f t="array" ref="AM3:AM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Alimentacion_data!L2:L200, ""),
  _xlpm.valores, IF(_xlpm.alimentos="", 0, IF(_xlpm.unidades="ud", _xlpm.cantidades*_xlpm.macro, (_xlpm.cantidades/100)*_xlpm.macro)),
  _xlfn.BYROW(_xlpm.valores, _xlfn.LAMBDA(_xlpm.fila, IF(SUM(_xlpm.fila)=0,"",SUM(_xlpm.fila))))
 )</f>
        <v>27.9</v>
      </c>
      <c r="AN3" s="96" cm="1">
        <f t="array" ref="AN3:AN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Alimentacion_data!M2:M200 * 2.5 / 1000, ""),
  _xlpm.valores, IF(_xlpm.alimentos="", 0, IF(_xlpm.unidades="ud", _xlpm.cantidades*_xlpm.macro, (_xlpm.cantidades/100)*_xlpm.macro)),
  _xlfn.BYROW(_xlpm.valores, _xlfn.LAMBDA(_xlpm.fila, IF(SUM(_xlpm.fila)=0,"",SUM(_xlpm.fila))))
 )</f>
        <v>1.07</v>
      </c>
      <c r="AO3" s="116" cm="1">
        <f t="array" ref="AO3:AO100">_xlfn.LET(
  _xlpm.rango, $W3:$AF100,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Alimentacion_data!F2:F200 * Alimentacion_data!N2:N200, ""),
  _xlpm.valores, IF(_xlpm.alimentos="", 0, IF(_xlpm.unidades="ud", _xlpm.cantidades*_xlpm.macro, (_xlpm.cantidades/100)*_xlpm.macro)),
  _xlfn.BYROW(_xlpm.valores, _xlfn.LAMBDA(_xlpm.fila, IF(SUM(_xlpm.fila)=0,"",SUM(_xlpm.fila))))
 )</f>
        <v>1402</v>
      </c>
      <c r="AP3" s="96" cm="1">
        <f t="array" ref="AP3:AP100">IFERROR(ROUND(AO3:AO100/AG3:AG100,2),"")</f>
        <v>2.11</v>
      </c>
      <c r="AQ3" s="91" t="s">
        <v>361</v>
      </c>
      <c r="AR3" s="92">
        <v>2</v>
      </c>
      <c r="AS3" s="93" t="s">
        <v>334</v>
      </c>
      <c r="AT3" s="92">
        <v>250</v>
      </c>
      <c r="AU3" s="93" t="s">
        <v>242</v>
      </c>
      <c r="AV3" s="92">
        <v>200</v>
      </c>
      <c r="AW3" s="93" t="s">
        <v>407</v>
      </c>
      <c r="AX3" s="92">
        <v>10</v>
      </c>
      <c r="AY3" s="93" t="s">
        <v>405</v>
      </c>
      <c r="AZ3" s="92">
        <v>125</v>
      </c>
      <c r="BA3" s="96" cm="1">
        <f t="array" ref="BA3:BA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Alimentacion_data!F2:F200, ""),
  _xlpm.valores, IF(_xlpm.alimentos="", 0, IF(_xlpm.unidades="ud", _xlpm.cantidades*_xlpm.macro, (_xlpm.cantidades/100)*_xlpm.macro)),
  _xlfn.BYROW(_xlpm.valores, _xlfn.LAMBDA(_xlpm.fila, IF(SUM(_xlpm.fila)=0,"",SUM(_xlpm.fila))))
 )</f>
        <v>600.5</v>
      </c>
      <c r="BB3" s="96" cm="1">
        <f t="array" ref="BB3:BB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Alimentacion_data!G2:G200, ""),
  _xlpm.valores, IF(_xlpm.alimentos="", 0, IF(_xlpm.unidades="ud", _xlpm.cantidades*_xlpm.macro, (_xlpm.cantidades/100)*_xlpm.macro)),
  _xlfn.BYROW(_xlpm.valores, _xlfn.LAMBDA(_xlpm.fila, IF(SUM(_xlpm.fila)=0,"",SUM(_xlpm.fila))))
 )</f>
        <v>26.6</v>
      </c>
      <c r="BC3" s="96" cm="1">
        <f t="array" ref="BC3:BC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Alimentacion_data!H2:H200, ""),
  _xlpm.valores, IF(_xlpm.alimentos="", 0, IF(_xlpm.unidades="ud", _xlpm.cantidades*_xlpm.macro, (_xlpm.cantidades/100)*_xlpm.macro)),
  _xlfn.BYROW(_xlpm.valores, _xlfn.LAMBDA(_xlpm.fila, IF(SUM(_xlpm.fila)=0,"",SUM(_xlpm.fila))))
 )</f>
        <v>71.7</v>
      </c>
      <c r="BD3" s="96" cm="1">
        <f t="array" ref="BD3:BD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Alimentacion_data!I2:I200, ""),
  _xlpm.valores, IF(_xlpm.alimentos="", 0, IF(_xlpm.unidades="ud", _xlpm.cantidades*_xlpm.macro, (_xlpm.cantidades/100)*_xlpm.macro)),
  _xlfn.BYROW(_xlpm.valores, _xlfn.LAMBDA(_xlpm.fila, IF(SUM(_xlpm.fila)=0,"",SUM(_xlpm.fila))))
 )</f>
        <v>24.799999999999997</v>
      </c>
      <c r="BE3" s="96" cm="1">
        <f t="array" ref="BE3:BE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Alimentacion_data!J2:J200, ""),
  _xlpm.valores, IF(_xlpm.alimentos="", 0, IF(_xlpm.unidades="ud", _xlpm.cantidades*_xlpm.macro, (_xlpm.cantidades/100)*_xlpm.macro)),
  _xlfn.BYROW(_xlpm.valores, _xlfn.LAMBDA(_xlpm.fila, IF(SUM(_xlpm.fila)=0,"",SUM(_xlpm.fila))))
 )</f>
        <v>7.1000000000000005</v>
      </c>
      <c r="BF3" s="96" cm="1">
        <f t="array" ref="BF3:BF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Alimentacion_data!K2:K200, ""),
  _xlpm.valores, IF(_xlpm.alimentos="", 0, IF(_xlpm.unidades="ud", _xlpm.cantidades*_xlpm.macro, (_xlpm.cantidades/100)*_xlpm.macro)),
  _xlfn.BYROW(_xlpm.valores, _xlfn.LAMBDA(_xlpm.fila, IF(SUM(_xlpm.fila)=0,"",SUM(_xlpm.fila))))
 )</f>
        <v>11.3</v>
      </c>
      <c r="BG3" s="96" cm="1">
        <f t="array" ref="BG3:BG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Alimentacion_data!L2:L200, ""),
  _xlpm.valores, IF(_xlpm.alimentos="", 0, IF(_xlpm.unidades="ud", _xlpm.cantidades*_xlpm.macro, (_xlpm.cantidades/100)*_xlpm.macro)),
  _xlfn.BYROW(_xlpm.valores, _xlfn.LAMBDA(_xlpm.fila, IF(SUM(_xlpm.fila)=0,"",SUM(_xlpm.fila))))
 )</f>
        <v>16.3</v>
      </c>
      <c r="BH3" s="96" cm="1">
        <f t="array" ref="BH3:BH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Alimentacion_data!M2:M200 * 2.5 / 1000, ""),
  _xlpm.valores, IF(_xlpm.alimentos="", 0, IF(_xlpm.unidades="ud", _xlpm.cantidades*_xlpm.macro, (_xlpm.cantidades/100)*_xlpm.macro)),
  _xlfn.BYROW(_xlpm.valores, _xlfn.LAMBDA(_xlpm.fila, IF(SUM(_xlpm.fila)=0,"",SUM(_xlpm.fila))))
 )</f>
        <v>0.49625000000000002</v>
      </c>
      <c r="BI3" s="116" cm="1">
        <f t="array" ref="BI3:BI100">_xlfn.LET(
  _xlpm.rango, $AQ3:$AZ100,
  _xlpm.alimentos, _xlfn.CHOOSECOLS(_xlpm.rango, _xlfn.SEQUENCE(1, COLUMNS(_xlpm.rango)/2, 1, 2)),
  _xlpm.cantidades, _xlfn.CHOOSECOLS(_xlpm.rango, _xlfn.SEQUENCE(1, COLUMNS(_xlpm.rango)/2, 2, 2)),
  _xlpm.unidades, _xlfn.XLOOKUP(_xlpm.alimentos, Alimentacion_data!$B2:$B200, Alimentacion_data!$D2:$D200, ""),
  _xlpm.macro, _xlfn.XLOOKUP(_xlpm.alimentos, Alimentacion_data!$B2:$B200, Alimentacion_data!F2:F200 * Alimentacion_data!N2:N200, ""),
  _xlpm.valores, IF(_xlpm.alimentos="", 0, IF(_xlpm.unidades="ud", _xlpm.cantidades*_xlpm.macro, (_xlpm.cantidades/100)*_xlpm.macro)),
  _xlfn.BYROW(_xlpm.valores, _xlfn.LAMBDA(_xlpm.fila, IF(SUM(_xlpm.fila)=0,"",SUM(_xlpm.fila))))
 )</f>
        <v>561</v>
      </c>
      <c r="BJ3" s="96" cm="1">
        <f t="array" ref="BJ3:BJ100">IFERROR(ROUND(BI3:BI100/BA3:BA100,2),"")</f>
        <v>0.93</v>
      </c>
      <c r="BK3" s="113" cm="1">
        <f t="array" ref="BK3:BK100">IF((M3:M100="") * (AG3:AG100="") * (BA3:BA100=""), "",  ROUND(IFERROR(M3:M100*1, 0) + IFERROR(AG3:AG100*1, 0) + IFERROR(BA3:BA100*1, 0),2))</f>
        <v>1601.5</v>
      </c>
      <c r="BL3" s="105" cm="1">
        <f t="array" ref="BL3:BL100">IF((N3:N100="") * (AH3:AH100="") * (BB3:BB100=""), "",  ROUND(IFERROR(N3:N100*1, 0) + IFERROR(AH3:AH100*1, 0) + IFERROR(BB3:BB100*1, 0),2))</f>
        <v>121.6</v>
      </c>
      <c r="BM3" s="105" cm="1">
        <f t="array" ref="BM3:BM100">IF((O3:O100="") * (AI3:AI100="") * (BC3:BC100=""), "",  ROUND(IFERROR(O3:O100*1, 0) + IFERROR(AI3:AI100*1, 0) + IFERROR(BC3:BC100*1, 0),2))</f>
        <v>147</v>
      </c>
      <c r="BN3" s="105" cm="1">
        <f t="array" ref="BN3:BN100">IF((P3:P100="") * (AJ3:AJ100="") * (BD3:BD100=""), "",  ROUND(IFERROR(P3:P100*1, 0) + IFERROR(AJ3:AJ100*1, 0) + IFERROR(BD3:BD100*1, 0),2))</f>
        <v>62.2</v>
      </c>
      <c r="BO3" s="105" cm="1">
        <f t="array" ref="BO3:BO100">IF((Q3:Q100="") * (AK3:AK100="") * (BE3:BE100=""), "",  ROUND(IFERROR(Q3:Q100*1, 0) + IFERROR(AK3:AK100*1, 0) + IFERROR(BE3:BE100*1, 0),2))</f>
        <v>19.850000000000001</v>
      </c>
      <c r="BP3" s="105" cm="1">
        <f t="array" ref="BP3:BP100">IF((R3:R100="") * (AL3:AL100="") * (BF3:BF100=""), "",  ROUND(IFERROR(R3:R100*1, 0) + IFERROR(AL3:AL100*1, 0) + IFERROR(BF3:BF100*1, 0),2))</f>
        <v>27</v>
      </c>
      <c r="BQ3" s="105" cm="1">
        <f t="array" ref="BQ3:BQ100">IF((S3:S100="") * (AM3:AM100="") * (BG3:BG100=""), "",  ROUND(IFERROR(S3:S100*1, 0) + IFERROR(AM3:AM100*1, 0) + IFERROR(BG3:BG100*1, 0),2))</f>
        <v>56.25</v>
      </c>
      <c r="BR3" s="105" cm="1">
        <f t="array" ref="BR3:BR100">IF((T3:T100="") * (AN3:AN100="") * (BH3:BH100=""), "",  ROUND(IFERROR(T3:T100*1, 0) + IFERROR(AN3:AN100*1, 0) + IFERROR(BH3:BH100*1, 0),4))</f>
        <v>2.1438000000000001</v>
      </c>
      <c r="BS3" s="114" cm="1">
        <f t="array" ref="BS3:BS100">IF((U3:U100="") * (AO3:AO100="") * (BI3:BI100=""), "",  ROUND(IFERROR(U3:U100*1, 0) + IFERROR(AO3:AO100*1, 0) + IFERROR(BI3:BI100*1, 0),2))</f>
        <v>3543</v>
      </c>
      <c r="BT3" s="112" cm="1">
        <f t="array" ref="BT3:BT100">IFERROR(ROUND(BS3:BS100/BK3:BK100,4),"")</f>
        <v>2.2122999999999999</v>
      </c>
      <c r="BU3" s="97"/>
      <c r="BV3" s="97"/>
    </row>
    <row r="4" spans="1:74">
      <c r="A4" s="90" t="s">
        <v>77</v>
      </c>
      <c r="B4" s="90" t="s">
        <v>532</v>
      </c>
      <c r="C4" s="91"/>
      <c r="D4" s="92"/>
      <c r="E4" s="94"/>
      <c r="F4" s="95"/>
      <c r="G4" s="94"/>
      <c r="H4" s="95"/>
      <c r="I4" s="94"/>
      <c r="J4" s="95"/>
      <c r="K4" s="94"/>
      <c r="L4" s="95"/>
      <c r="M4" s="98" t="str">
        <v/>
      </c>
      <c r="N4" s="98" t="str">
        <v/>
      </c>
      <c r="O4" s="98" t="str">
        <v/>
      </c>
      <c r="P4" s="98" t="str">
        <v/>
      </c>
      <c r="Q4" s="98" t="str">
        <v/>
      </c>
      <c r="R4" s="98" t="str">
        <v/>
      </c>
      <c r="S4" s="98" t="str">
        <v/>
      </c>
      <c r="T4" s="98" t="str">
        <v/>
      </c>
      <c r="U4" s="104" t="str">
        <v/>
      </c>
      <c r="V4" s="98" t="str">
        <v/>
      </c>
      <c r="W4" s="99"/>
      <c r="X4" s="95"/>
      <c r="Y4" s="94"/>
      <c r="Z4" s="95"/>
      <c r="AA4" s="94"/>
      <c r="AB4" s="95"/>
      <c r="AC4" s="94"/>
      <c r="AD4" s="95"/>
      <c r="AE4" s="94"/>
      <c r="AF4" s="95"/>
      <c r="AG4" s="98" t="str">
        <v/>
      </c>
      <c r="AH4" s="98" t="str">
        <v/>
      </c>
      <c r="AI4" s="98" t="str">
        <v/>
      </c>
      <c r="AJ4" s="98" t="str">
        <v/>
      </c>
      <c r="AK4" s="98" t="str">
        <v/>
      </c>
      <c r="AL4" s="98" t="str">
        <v/>
      </c>
      <c r="AM4" s="98" t="str">
        <v/>
      </c>
      <c r="AN4" s="98" t="str">
        <v/>
      </c>
      <c r="AO4" s="115" t="str">
        <v/>
      </c>
      <c r="AP4" s="98" t="str">
        <v/>
      </c>
      <c r="AQ4" s="99"/>
      <c r="AR4" s="95"/>
      <c r="AS4" s="94"/>
      <c r="AT4" s="95"/>
      <c r="AU4" s="94"/>
      <c r="AV4" s="95"/>
      <c r="AW4" s="94"/>
      <c r="AX4" s="95"/>
      <c r="AY4" s="94"/>
      <c r="AZ4" s="95"/>
      <c r="BA4" s="98" t="str">
        <v/>
      </c>
      <c r="BB4" s="98" t="str">
        <v/>
      </c>
      <c r="BC4" s="98" t="str">
        <v/>
      </c>
      <c r="BD4" s="98" t="str">
        <v/>
      </c>
      <c r="BE4" s="98" t="str">
        <v/>
      </c>
      <c r="BF4" s="98" t="str">
        <v/>
      </c>
      <c r="BG4" s="98" t="str">
        <v/>
      </c>
      <c r="BH4" s="98" t="str">
        <v/>
      </c>
      <c r="BI4" s="115" t="str">
        <v/>
      </c>
      <c r="BJ4" s="98" t="str">
        <v/>
      </c>
      <c r="BK4" s="100" t="str">
        <v/>
      </c>
      <c r="BL4" s="101" t="str">
        <v/>
      </c>
      <c r="BM4" s="101" t="str">
        <v/>
      </c>
      <c r="BN4" s="101" t="str">
        <v/>
      </c>
      <c r="BO4" s="101" t="str">
        <v/>
      </c>
      <c r="BP4" s="101" t="str">
        <v/>
      </c>
      <c r="BQ4" s="101" t="str">
        <v/>
      </c>
      <c r="BR4" s="101" t="str">
        <v/>
      </c>
      <c r="BS4" s="8" t="str">
        <v/>
      </c>
      <c r="BT4" s="102" t="str">
        <v/>
      </c>
      <c r="BU4" s="97"/>
      <c r="BV4" s="97"/>
    </row>
    <row r="5" spans="1:74">
      <c r="A5" s="90" t="s">
        <v>77</v>
      </c>
      <c r="B5" s="90" t="s">
        <v>533</v>
      </c>
      <c r="C5" s="91"/>
      <c r="D5" s="92"/>
      <c r="E5" s="94"/>
      <c r="F5" s="95"/>
      <c r="G5" s="94"/>
      <c r="H5" s="95"/>
      <c r="I5" s="94"/>
      <c r="J5" s="95"/>
      <c r="K5" s="94"/>
      <c r="L5" s="95"/>
      <c r="M5" s="98" t="str">
        <v/>
      </c>
      <c r="N5" s="98" t="str">
        <v/>
      </c>
      <c r="O5" s="98" t="str">
        <v/>
      </c>
      <c r="P5" s="98" t="str">
        <v/>
      </c>
      <c r="Q5" s="98" t="str">
        <v/>
      </c>
      <c r="R5" s="98" t="str">
        <v/>
      </c>
      <c r="S5" s="98" t="str">
        <v/>
      </c>
      <c r="T5" s="98" t="str">
        <v/>
      </c>
      <c r="U5" s="104" t="str">
        <v/>
      </c>
      <c r="V5" s="98" t="str">
        <v/>
      </c>
      <c r="W5" s="99"/>
      <c r="X5" s="95"/>
      <c r="Y5" s="94"/>
      <c r="Z5" s="95"/>
      <c r="AA5" s="94"/>
      <c r="AB5" s="95"/>
      <c r="AC5" s="94"/>
      <c r="AD5" s="95"/>
      <c r="AE5" s="94"/>
      <c r="AF5" s="95"/>
      <c r="AG5" s="98" t="str">
        <v/>
      </c>
      <c r="AH5" s="98" t="str">
        <v/>
      </c>
      <c r="AI5" s="98" t="str">
        <v/>
      </c>
      <c r="AJ5" s="98" t="str">
        <v/>
      </c>
      <c r="AK5" s="98" t="str">
        <v/>
      </c>
      <c r="AL5" s="98" t="str">
        <v/>
      </c>
      <c r="AM5" s="98" t="str">
        <v/>
      </c>
      <c r="AN5" s="98" t="str">
        <v/>
      </c>
      <c r="AO5" s="115" t="str">
        <v/>
      </c>
      <c r="AP5" s="98" t="str">
        <v/>
      </c>
      <c r="AQ5" s="99"/>
      <c r="AR5" s="95"/>
      <c r="AS5" s="94"/>
      <c r="AT5" s="95"/>
      <c r="AU5" s="94"/>
      <c r="AV5" s="95"/>
      <c r="AW5" s="94"/>
      <c r="AX5" s="95"/>
      <c r="AY5" s="94"/>
      <c r="AZ5" s="95"/>
      <c r="BA5" s="98" t="str">
        <v/>
      </c>
      <c r="BB5" s="98" t="str">
        <v/>
      </c>
      <c r="BC5" s="98" t="str">
        <v/>
      </c>
      <c r="BD5" s="98" t="str">
        <v/>
      </c>
      <c r="BE5" s="98" t="str">
        <v/>
      </c>
      <c r="BF5" s="98" t="str">
        <v/>
      </c>
      <c r="BG5" s="98" t="str">
        <v/>
      </c>
      <c r="BH5" s="98" t="str">
        <v/>
      </c>
      <c r="BI5" s="115" t="str">
        <v/>
      </c>
      <c r="BJ5" s="98" t="str">
        <v/>
      </c>
      <c r="BK5" s="100" t="str">
        <v/>
      </c>
      <c r="BL5" s="101" t="str">
        <v/>
      </c>
      <c r="BM5" s="101" t="str">
        <v/>
      </c>
      <c r="BN5" s="101" t="str">
        <v/>
      </c>
      <c r="BO5" s="101" t="str">
        <v/>
      </c>
      <c r="BP5" s="101" t="str">
        <v/>
      </c>
      <c r="BQ5" s="101" t="str">
        <v/>
      </c>
      <c r="BR5" s="101" t="str">
        <v/>
      </c>
      <c r="BS5" s="8" t="str">
        <v/>
      </c>
      <c r="BT5" s="102" t="str">
        <v/>
      </c>
      <c r="BU5" s="97"/>
      <c r="BV5" s="97"/>
    </row>
    <row r="6" spans="1:74">
      <c r="A6" s="90" t="s">
        <v>77</v>
      </c>
      <c r="B6" s="90" t="s">
        <v>534</v>
      </c>
      <c r="C6" s="91"/>
      <c r="D6" s="92"/>
      <c r="E6" s="94"/>
      <c r="F6" s="95"/>
      <c r="G6" s="94"/>
      <c r="H6" s="95"/>
      <c r="I6" s="94"/>
      <c r="J6" s="95"/>
      <c r="K6" s="94"/>
      <c r="L6" s="95"/>
      <c r="M6" s="98" t="str">
        <v/>
      </c>
      <c r="N6" s="98" t="str">
        <v/>
      </c>
      <c r="O6" s="98" t="str">
        <v/>
      </c>
      <c r="P6" s="98" t="str">
        <v/>
      </c>
      <c r="Q6" s="98" t="str">
        <v/>
      </c>
      <c r="R6" s="98" t="str">
        <v/>
      </c>
      <c r="S6" s="98" t="str">
        <v/>
      </c>
      <c r="T6" s="98" t="str">
        <v/>
      </c>
      <c r="U6" s="104" t="str">
        <v/>
      </c>
      <c r="V6" s="98" t="str">
        <v/>
      </c>
      <c r="W6" s="99"/>
      <c r="X6" s="95"/>
      <c r="Y6" s="94"/>
      <c r="Z6" s="95"/>
      <c r="AA6" s="94"/>
      <c r="AB6" s="95"/>
      <c r="AC6" s="94"/>
      <c r="AD6" s="95"/>
      <c r="AE6" s="94"/>
      <c r="AF6" s="95"/>
      <c r="AG6" s="98" t="str">
        <v/>
      </c>
      <c r="AH6" s="98" t="str">
        <v/>
      </c>
      <c r="AI6" s="98" t="str">
        <v/>
      </c>
      <c r="AJ6" s="98" t="str">
        <v/>
      </c>
      <c r="AK6" s="98" t="str">
        <v/>
      </c>
      <c r="AL6" s="98" t="str">
        <v/>
      </c>
      <c r="AM6" s="98" t="str">
        <v/>
      </c>
      <c r="AN6" s="98" t="str">
        <v/>
      </c>
      <c r="AO6" s="115" t="str">
        <v/>
      </c>
      <c r="AP6" s="98" t="str">
        <v/>
      </c>
      <c r="AQ6" s="99"/>
      <c r="AR6" s="95"/>
      <c r="AS6" s="94"/>
      <c r="AT6" s="95"/>
      <c r="AU6" s="94"/>
      <c r="AV6" s="95"/>
      <c r="AW6" s="94"/>
      <c r="AX6" s="95"/>
      <c r="AY6" s="94"/>
      <c r="AZ6" s="95"/>
      <c r="BA6" s="98" t="str">
        <v/>
      </c>
      <c r="BB6" s="98" t="str">
        <v/>
      </c>
      <c r="BC6" s="98" t="str">
        <v/>
      </c>
      <c r="BD6" s="98" t="str">
        <v/>
      </c>
      <c r="BE6" s="98" t="str">
        <v/>
      </c>
      <c r="BF6" s="98" t="str">
        <v/>
      </c>
      <c r="BG6" s="98" t="str">
        <v/>
      </c>
      <c r="BH6" s="98" t="str">
        <v/>
      </c>
      <c r="BI6" s="115" t="str">
        <v/>
      </c>
      <c r="BJ6" s="98" t="str">
        <v/>
      </c>
      <c r="BK6" s="100" t="str">
        <v/>
      </c>
      <c r="BL6" s="101" t="str">
        <v/>
      </c>
      <c r="BM6" s="101" t="str">
        <v/>
      </c>
      <c r="BN6" s="101" t="str">
        <v/>
      </c>
      <c r="BO6" s="101" t="str">
        <v/>
      </c>
      <c r="BP6" s="101" t="str">
        <v/>
      </c>
      <c r="BQ6" s="101" t="str">
        <v/>
      </c>
      <c r="BR6" s="101" t="str">
        <v/>
      </c>
      <c r="BS6" s="8" t="str">
        <v/>
      </c>
      <c r="BT6" s="102" t="str">
        <v/>
      </c>
      <c r="BU6" s="97"/>
      <c r="BV6" s="97"/>
    </row>
    <row r="7" spans="1:74">
      <c r="A7" s="90" t="s">
        <v>77</v>
      </c>
      <c r="B7" s="90" t="s">
        <v>535</v>
      </c>
      <c r="C7" s="99"/>
      <c r="D7" s="95"/>
      <c r="E7" s="94"/>
      <c r="F7" s="95"/>
      <c r="G7" s="94"/>
      <c r="H7" s="95"/>
      <c r="I7" s="94"/>
      <c r="J7" s="95"/>
      <c r="K7" s="94"/>
      <c r="L7" s="95"/>
      <c r="M7" s="98" t="str">
        <v/>
      </c>
      <c r="N7" s="98" t="str">
        <v/>
      </c>
      <c r="O7" s="98" t="str">
        <v/>
      </c>
      <c r="P7" s="98" t="str">
        <v/>
      </c>
      <c r="Q7" s="98" t="str">
        <v/>
      </c>
      <c r="R7" s="98" t="str">
        <v/>
      </c>
      <c r="S7" s="98" t="str">
        <v/>
      </c>
      <c r="T7" s="98" t="str">
        <v/>
      </c>
      <c r="U7" s="104" t="str">
        <v/>
      </c>
      <c r="V7" s="98" t="str">
        <v/>
      </c>
      <c r="W7" s="99"/>
      <c r="X7" s="95"/>
      <c r="Y7" s="94"/>
      <c r="Z7" s="95"/>
      <c r="AA7" s="94"/>
      <c r="AB7" s="95"/>
      <c r="AC7" s="94"/>
      <c r="AD7" s="95"/>
      <c r="AE7" s="94"/>
      <c r="AF7" s="95"/>
      <c r="AG7" s="98" t="str">
        <v/>
      </c>
      <c r="AH7" s="98" t="str">
        <v/>
      </c>
      <c r="AI7" s="98" t="str">
        <v/>
      </c>
      <c r="AJ7" s="98" t="str">
        <v/>
      </c>
      <c r="AK7" s="98" t="str">
        <v/>
      </c>
      <c r="AL7" s="98" t="str">
        <v/>
      </c>
      <c r="AM7" s="98" t="str">
        <v/>
      </c>
      <c r="AN7" s="98" t="str">
        <v/>
      </c>
      <c r="AO7" s="115" t="str">
        <v/>
      </c>
      <c r="AP7" s="98" t="str">
        <v/>
      </c>
      <c r="AQ7" s="99"/>
      <c r="AR7" s="95"/>
      <c r="AS7" s="94"/>
      <c r="AT7" s="95"/>
      <c r="AU7" s="94"/>
      <c r="AV7" s="95"/>
      <c r="AW7" s="94"/>
      <c r="AX7" s="95"/>
      <c r="AY7" s="94"/>
      <c r="AZ7" s="95"/>
      <c r="BA7" s="98" t="str">
        <v/>
      </c>
      <c r="BB7" s="98" t="str">
        <v/>
      </c>
      <c r="BC7" s="98" t="str">
        <v/>
      </c>
      <c r="BD7" s="98" t="str">
        <v/>
      </c>
      <c r="BE7" s="98" t="str">
        <v/>
      </c>
      <c r="BF7" s="98" t="str">
        <v/>
      </c>
      <c r="BG7" s="98" t="str">
        <v/>
      </c>
      <c r="BH7" s="98" t="str">
        <v/>
      </c>
      <c r="BI7" s="115" t="str">
        <v/>
      </c>
      <c r="BJ7" s="98" t="str">
        <v/>
      </c>
      <c r="BK7" s="100" t="str">
        <v/>
      </c>
      <c r="BL7" s="101" t="str">
        <v/>
      </c>
      <c r="BM7" s="101" t="str">
        <v/>
      </c>
      <c r="BN7" s="101" t="str">
        <v/>
      </c>
      <c r="BO7" s="101" t="str">
        <v/>
      </c>
      <c r="BP7" s="101" t="str">
        <v/>
      </c>
      <c r="BQ7" s="101" t="str">
        <v/>
      </c>
      <c r="BR7" s="101" t="str">
        <v/>
      </c>
      <c r="BS7" s="8" t="str">
        <v/>
      </c>
      <c r="BT7" s="102" t="str">
        <v/>
      </c>
      <c r="BU7" s="97"/>
      <c r="BV7" s="97"/>
    </row>
    <row r="8" spans="1:74">
      <c r="A8" s="90" t="s">
        <v>77</v>
      </c>
      <c r="B8" s="90" t="s">
        <v>536</v>
      </c>
      <c r="C8" s="99"/>
      <c r="D8" s="95"/>
      <c r="E8" s="94"/>
      <c r="F8" s="95"/>
      <c r="G8" s="94"/>
      <c r="H8" s="95"/>
      <c r="I8" s="94"/>
      <c r="J8" s="95"/>
      <c r="K8" s="94"/>
      <c r="L8" s="95"/>
      <c r="M8" s="98" t="str">
        <v/>
      </c>
      <c r="N8" s="98" t="str">
        <v/>
      </c>
      <c r="O8" s="98" t="str">
        <v/>
      </c>
      <c r="P8" s="98" t="str">
        <v/>
      </c>
      <c r="Q8" s="98" t="str">
        <v/>
      </c>
      <c r="R8" s="98" t="str">
        <v/>
      </c>
      <c r="S8" s="98" t="str">
        <v/>
      </c>
      <c r="T8" s="98" t="str">
        <v/>
      </c>
      <c r="U8" s="104" t="str">
        <v/>
      </c>
      <c r="V8" s="98" t="str">
        <v/>
      </c>
      <c r="W8" s="99"/>
      <c r="X8" s="95"/>
      <c r="Y8" s="94"/>
      <c r="Z8" s="95"/>
      <c r="AA8" s="94"/>
      <c r="AB8" s="95"/>
      <c r="AC8" s="94"/>
      <c r="AD8" s="95"/>
      <c r="AE8" s="94"/>
      <c r="AF8" s="95"/>
      <c r="AG8" s="98" t="str">
        <v/>
      </c>
      <c r="AH8" s="98" t="str">
        <v/>
      </c>
      <c r="AI8" s="98" t="str">
        <v/>
      </c>
      <c r="AJ8" s="98" t="str">
        <v/>
      </c>
      <c r="AK8" s="98" t="str">
        <v/>
      </c>
      <c r="AL8" s="98" t="str">
        <v/>
      </c>
      <c r="AM8" s="98" t="str">
        <v/>
      </c>
      <c r="AN8" s="98" t="str">
        <v/>
      </c>
      <c r="AO8" s="115" t="str">
        <v/>
      </c>
      <c r="AP8" s="98" t="str">
        <v/>
      </c>
      <c r="AQ8" s="99"/>
      <c r="AR8" s="95"/>
      <c r="AS8" s="94"/>
      <c r="AT8" s="95"/>
      <c r="AU8" s="94"/>
      <c r="AV8" s="95"/>
      <c r="AW8" s="94"/>
      <c r="AX8" s="95"/>
      <c r="AY8" s="94"/>
      <c r="AZ8" s="95"/>
      <c r="BA8" s="98" t="str">
        <v/>
      </c>
      <c r="BB8" s="98" t="str">
        <v/>
      </c>
      <c r="BC8" s="98" t="str">
        <v/>
      </c>
      <c r="BD8" s="98" t="str">
        <v/>
      </c>
      <c r="BE8" s="98" t="str">
        <v/>
      </c>
      <c r="BF8" s="98" t="str">
        <v/>
      </c>
      <c r="BG8" s="98" t="str">
        <v/>
      </c>
      <c r="BH8" s="98" t="str">
        <v/>
      </c>
      <c r="BI8" s="115" t="str">
        <v/>
      </c>
      <c r="BJ8" s="98" t="str">
        <v/>
      </c>
      <c r="BK8" s="100" t="str">
        <v/>
      </c>
      <c r="BL8" s="101" t="str">
        <v/>
      </c>
      <c r="BM8" s="101" t="str">
        <v/>
      </c>
      <c r="BN8" s="101" t="str">
        <v/>
      </c>
      <c r="BO8" s="101" t="str">
        <v/>
      </c>
      <c r="BP8" s="101" t="str">
        <v/>
      </c>
      <c r="BQ8" s="101" t="str">
        <v/>
      </c>
      <c r="BR8" s="101" t="str">
        <v/>
      </c>
      <c r="BS8" s="8" t="str">
        <v/>
      </c>
      <c r="BT8" s="102" t="str">
        <v/>
      </c>
      <c r="BU8" s="97"/>
      <c r="BV8" s="97"/>
    </row>
    <row r="9" spans="1:74">
      <c r="A9" s="103" t="s">
        <v>77</v>
      </c>
      <c r="B9" s="90" t="s">
        <v>537</v>
      </c>
      <c r="C9" s="99"/>
      <c r="D9" s="95"/>
      <c r="E9" s="94"/>
      <c r="F9" s="95"/>
      <c r="G9" s="94"/>
      <c r="H9" s="95"/>
      <c r="I9" s="94"/>
      <c r="J9" s="95"/>
      <c r="K9" s="94"/>
      <c r="L9" s="95"/>
      <c r="M9" s="98" t="str">
        <v/>
      </c>
      <c r="N9" s="98" t="str">
        <v/>
      </c>
      <c r="O9" s="98" t="str">
        <v/>
      </c>
      <c r="P9" s="98" t="str">
        <v/>
      </c>
      <c r="Q9" s="98" t="str">
        <v/>
      </c>
      <c r="R9" s="98" t="str">
        <v/>
      </c>
      <c r="S9" s="98" t="str">
        <v/>
      </c>
      <c r="T9" s="98" t="str">
        <v/>
      </c>
      <c r="U9" s="104" t="str">
        <v/>
      </c>
      <c r="V9" s="98" t="str">
        <v/>
      </c>
      <c r="W9" s="99"/>
      <c r="X9" s="95"/>
      <c r="Y9" s="94"/>
      <c r="Z9" s="95"/>
      <c r="AA9" s="94"/>
      <c r="AB9" s="95"/>
      <c r="AC9" s="94"/>
      <c r="AD9" s="95"/>
      <c r="AE9" s="94"/>
      <c r="AF9" s="95"/>
      <c r="AG9" s="98" t="str">
        <v/>
      </c>
      <c r="AH9" s="98" t="str">
        <v/>
      </c>
      <c r="AI9" s="98" t="str">
        <v/>
      </c>
      <c r="AJ9" s="98" t="str">
        <v/>
      </c>
      <c r="AK9" s="98" t="str">
        <v/>
      </c>
      <c r="AL9" s="98" t="str">
        <v/>
      </c>
      <c r="AM9" s="98" t="str">
        <v/>
      </c>
      <c r="AN9" s="98" t="str">
        <v/>
      </c>
      <c r="AO9" s="115" t="str">
        <v/>
      </c>
      <c r="AP9" s="98" t="str">
        <v/>
      </c>
      <c r="AQ9" s="99"/>
      <c r="AR9" s="95"/>
      <c r="AS9" s="94"/>
      <c r="AT9" s="95"/>
      <c r="AU9" s="94"/>
      <c r="AV9" s="95"/>
      <c r="AW9" s="94"/>
      <c r="AX9" s="95"/>
      <c r="AY9" s="94"/>
      <c r="AZ9" s="95"/>
      <c r="BA9" s="98" t="str">
        <v/>
      </c>
      <c r="BB9" s="98" t="str">
        <v/>
      </c>
      <c r="BC9" s="98" t="str">
        <v/>
      </c>
      <c r="BD9" s="98" t="str">
        <v/>
      </c>
      <c r="BE9" s="98" t="str">
        <v/>
      </c>
      <c r="BF9" s="98" t="str">
        <v/>
      </c>
      <c r="BG9" s="98" t="str">
        <v/>
      </c>
      <c r="BH9" s="98" t="str">
        <v/>
      </c>
      <c r="BI9" s="115" t="str">
        <v/>
      </c>
      <c r="BJ9" s="98" t="str">
        <v/>
      </c>
      <c r="BK9" s="100" t="str">
        <v/>
      </c>
      <c r="BL9" s="101" t="str">
        <v/>
      </c>
      <c r="BM9" s="101" t="str">
        <v/>
      </c>
      <c r="BN9" s="101" t="str">
        <v/>
      </c>
      <c r="BO9" s="101" t="str">
        <v/>
      </c>
      <c r="BP9" s="101" t="str">
        <v/>
      </c>
      <c r="BQ9" s="101" t="str">
        <v/>
      </c>
      <c r="BR9" s="101" t="str">
        <v/>
      </c>
      <c r="BS9" s="8" t="str">
        <v/>
      </c>
      <c r="BT9" s="102" t="str">
        <v/>
      </c>
      <c r="BU9" s="97"/>
      <c r="BV9" s="97"/>
    </row>
    <row r="10" spans="1:74">
      <c r="A10" s="90" t="s">
        <v>87</v>
      </c>
      <c r="B10" s="104" t="s">
        <v>531</v>
      </c>
      <c r="C10" s="91" t="s">
        <v>447</v>
      </c>
      <c r="D10" s="92">
        <v>1</v>
      </c>
      <c r="E10" s="93" t="s">
        <v>320</v>
      </c>
      <c r="F10" s="92">
        <v>60</v>
      </c>
      <c r="G10" s="93" t="s">
        <v>405</v>
      </c>
      <c r="H10" s="92">
        <v>125</v>
      </c>
      <c r="I10" s="93" t="s">
        <v>262</v>
      </c>
      <c r="J10" s="92">
        <v>80</v>
      </c>
      <c r="K10" s="94"/>
      <c r="L10" s="95"/>
      <c r="M10" s="98">
        <v>436.4</v>
      </c>
      <c r="N10" s="98">
        <v>16.739999999999998</v>
      </c>
      <c r="O10" s="98">
        <v>52.83</v>
      </c>
      <c r="P10" s="98">
        <v>19.649999999999999</v>
      </c>
      <c r="Q10" s="98">
        <v>4.9000000000000004</v>
      </c>
      <c r="R10" s="98">
        <v>11.719999999999999</v>
      </c>
      <c r="S10" s="98">
        <v>7.35</v>
      </c>
      <c r="T10" s="98">
        <v>0.14200000000000002</v>
      </c>
      <c r="U10" s="104">
        <v>458.4</v>
      </c>
      <c r="V10" s="98">
        <v>1.05</v>
      </c>
      <c r="W10" s="91" t="s">
        <v>364</v>
      </c>
      <c r="X10" s="92">
        <v>220</v>
      </c>
      <c r="Y10" s="93" t="s">
        <v>316</v>
      </c>
      <c r="Z10" s="92">
        <v>120</v>
      </c>
      <c r="AA10" s="93" t="s">
        <v>218</v>
      </c>
      <c r="AB10" s="92">
        <v>200</v>
      </c>
      <c r="AC10" s="93" t="s">
        <v>258</v>
      </c>
      <c r="AD10" s="92">
        <v>80</v>
      </c>
      <c r="AE10" s="93" t="s">
        <v>454</v>
      </c>
      <c r="AF10" s="92">
        <v>100</v>
      </c>
      <c r="AG10" s="98">
        <v>574</v>
      </c>
      <c r="AH10" s="98">
        <v>55.460000000000008</v>
      </c>
      <c r="AI10" s="98">
        <v>56.16</v>
      </c>
      <c r="AJ10" s="98">
        <v>14.3</v>
      </c>
      <c r="AK10" s="98">
        <v>4.7200000000000006</v>
      </c>
      <c r="AL10" s="98">
        <v>5.4399999999999995</v>
      </c>
      <c r="AM10" s="98">
        <v>17.2</v>
      </c>
      <c r="AN10" s="98">
        <v>0.39900000000000002</v>
      </c>
      <c r="AO10" s="115">
        <v>840.2</v>
      </c>
      <c r="AP10" s="98">
        <v>1.46</v>
      </c>
      <c r="AQ10" s="91" t="s">
        <v>368</v>
      </c>
      <c r="AR10" s="92">
        <v>220</v>
      </c>
      <c r="AS10" s="93" t="s">
        <v>232</v>
      </c>
      <c r="AT10" s="92">
        <v>220</v>
      </c>
      <c r="AU10" s="93" t="s">
        <v>407</v>
      </c>
      <c r="AV10" s="92">
        <v>5</v>
      </c>
      <c r="AW10" s="93" t="s">
        <v>394</v>
      </c>
      <c r="AX10" s="92">
        <v>125</v>
      </c>
      <c r="AY10" s="93" t="s">
        <v>618</v>
      </c>
      <c r="AZ10" s="92">
        <v>30</v>
      </c>
      <c r="BA10" s="98">
        <v>455.6</v>
      </c>
      <c r="BB10" s="98">
        <v>67.754999999999995</v>
      </c>
      <c r="BC10" s="98">
        <v>19.399999999999999</v>
      </c>
      <c r="BD10" s="98">
        <v>13.785</v>
      </c>
      <c r="BE10" s="98">
        <v>4.585</v>
      </c>
      <c r="BF10" s="98">
        <v>5</v>
      </c>
      <c r="BG10" s="98">
        <v>11.08</v>
      </c>
      <c r="BH10" s="98">
        <v>0.995</v>
      </c>
      <c r="BI10" s="115">
        <v>1390.6</v>
      </c>
      <c r="BJ10" s="98">
        <v>3.05</v>
      </c>
      <c r="BK10" s="100">
        <v>1466</v>
      </c>
      <c r="BL10" s="101">
        <v>139.96</v>
      </c>
      <c r="BM10" s="101">
        <v>128.38999999999999</v>
      </c>
      <c r="BN10" s="101">
        <v>47.74</v>
      </c>
      <c r="BO10" s="101">
        <v>14.21</v>
      </c>
      <c r="BP10" s="101">
        <v>22.16</v>
      </c>
      <c r="BQ10" s="101">
        <v>35.630000000000003</v>
      </c>
      <c r="BR10" s="101">
        <v>1.536</v>
      </c>
      <c r="BS10" s="8">
        <v>2689.2</v>
      </c>
      <c r="BT10" s="102">
        <v>1.8344</v>
      </c>
      <c r="BU10" s="97"/>
      <c r="BV10" s="97"/>
    </row>
    <row r="11" spans="1:74">
      <c r="A11" s="90" t="s">
        <v>87</v>
      </c>
      <c r="B11" s="104" t="s">
        <v>532</v>
      </c>
      <c r="C11" s="99"/>
      <c r="D11" s="95"/>
      <c r="E11" s="94"/>
      <c r="F11" s="95"/>
      <c r="G11" s="94"/>
      <c r="H11" s="95"/>
      <c r="I11" s="94"/>
      <c r="J11" s="95"/>
      <c r="K11" s="94"/>
      <c r="L11" s="95"/>
      <c r="M11" s="98" t="str">
        <v/>
      </c>
      <c r="N11" s="98" t="str">
        <v/>
      </c>
      <c r="O11" s="98" t="str">
        <v/>
      </c>
      <c r="P11" s="98" t="str">
        <v/>
      </c>
      <c r="Q11" s="98" t="str">
        <v/>
      </c>
      <c r="R11" s="98" t="str">
        <v/>
      </c>
      <c r="S11" s="98" t="str">
        <v/>
      </c>
      <c r="T11" s="98" t="str">
        <v/>
      </c>
      <c r="U11" s="104" t="str">
        <v/>
      </c>
      <c r="V11" s="98" t="str">
        <v/>
      </c>
      <c r="W11" s="99"/>
      <c r="X11" s="95"/>
      <c r="Y11" s="94"/>
      <c r="Z11" s="95"/>
      <c r="AA11" s="94"/>
      <c r="AB11" s="95"/>
      <c r="AC11" s="94"/>
      <c r="AD11" s="95"/>
      <c r="AE11" s="94"/>
      <c r="AF11" s="95"/>
      <c r="AG11" s="98" t="str">
        <v/>
      </c>
      <c r="AH11" s="98" t="str">
        <v/>
      </c>
      <c r="AI11" s="98" t="str">
        <v/>
      </c>
      <c r="AJ11" s="98" t="str">
        <v/>
      </c>
      <c r="AK11" s="98" t="str">
        <v/>
      </c>
      <c r="AL11" s="98" t="str">
        <v/>
      </c>
      <c r="AM11" s="98" t="str">
        <v/>
      </c>
      <c r="AN11" s="98" t="str">
        <v/>
      </c>
      <c r="AO11" s="115" t="str">
        <v/>
      </c>
      <c r="AP11" s="98" t="str">
        <v/>
      </c>
      <c r="AQ11" s="99"/>
      <c r="AR11" s="95"/>
      <c r="AS11" s="94"/>
      <c r="AT11" s="95"/>
      <c r="AU11" s="94"/>
      <c r="AV11" s="95"/>
      <c r="AW11" s="94"/>
      <c r="AX11" s="95"/>
      <c r="AY11" s="94"/>
      <c r="AZ11" s="95"/>
      <c r="BA11" s="98" t="str">
        <v/>
      </c>
      <c r="BB11" s="98" t="str">
        <v/>
      </c>
      <c r="BC11" s="98" t="str">
        <v/>
      </c>
      <c r="BD11" s="98" t="str">
        <v/>
      </c>
      <c r="BE11" s="98" t="str">
        <v/>
      </c>
      <c r="BF11" s="98" t="str">
        <v/>
      </c>
      <c r="BG11" s="98" t="str">
        <v/>
      </c>
      <c r="BH11" s="98" t="str">
        <v/>
      </c>
      <c r="BI11" s="115" t="str">
        <v/>
      </c>
      <c r="BJ11" s="98" t="str">
        <v/>
      </c>
      <c r="BK11" s="100" t="str">
        <v/>
      </c>
      <c r="BL11" s="101" t="str">
        <v/>
      </c>
      <c r="BM11" s="101" t="str">
        <v/>
      </c>
      <c r="BN11" s="101" t="str">
        <v/>
      </c>
      <c r="BO11" s="101" t="str">
        <v/>
      </c>
      <c r="BP11" s="101" t="str">
        <v/>
      </c>
      <c r="BQ11" s="101" t="str">
        <v/>
      </c>
      <c r="BR11" s="101" t="str">
        <v/>
      </c>
      <c r="BS11" s="8" t="str">
        <v/>
      </c>
      <c r="BT11" s="102" t="str">
        <v/>
      </c>
      <c r="BU11" s="97"/>
      <c r="BV11" s="97"/>
    </row>
    <row r="12" spans="1:74">
      <c r="A12" s="90" t="s">
        <v>87</v>
      </c>
      <c r="B12" s="104" t="s">
        <v>533</v>
      </c>
      <c r="C12" s="99"/>
      <c r="D12" s="95"/>
      <c r="E12" s="94"/>
      <c r="F12" s="95"/>
      <c r="G12" s="94"/>
      <c r="H12" s="95"/>
      <c r="I12" s="94"/>
      <c r="J12" s="95"/>
      <c r="K12" s="94"/>
      <c r="L12" s="95"/>
      <c r="M12" s="98" t="str">
        <v/>
      </c>
      <c r="N12" s="98" t="str">
        <v/>
      </c>
      <c r="O12" s="98" t="str">
        <v/>
      </c>
      <c r="P12" s="98" t="str">
        <v/>
      </c>
      <c r="Q12" s="98" t="str">
        <v/>
      </c>
      <c r="R12" s="98" t="str">
        <v/>
      </c>
      <c r="S12" s="98" t="str">
        <v/>
      </c>
      <c r="T12" s="98" t="str">
        <v/>
      </c>
      <c r="U12" s="104" t="str">
        <v/>
      </c>
      <c r="V12" s="98" t="str">
        <v/>
      </c>
      <c r="W12" s="99"/>
      <c r="X12" s="95"/>
      <c r="Y12" s="94"/>
      <c r="Z12" s="95"/>
      <c r="AA12" s="94"/>
      <c r="AB12" s="95"/>
      <c r="AC12" s="94"/>
      <c r="AD12" s="95"/>
      <c r="AE12" s="94"/>
      <c r="AF12" s="95"/>
      <c r="AG12" s="98" t="str">
        <v/>
      </c>
      <c r="AH12" s="98" t="str">
        <v/>
      </c>
      <c r="AI12" s="98" t="str">
        <v/>
      </c>
      <c r="AJ12" s="98" t="str">
        <v/>
      </c>
      <c r="AK12" s="98" t="str">
        <v/>
      </c>
      <c r="AL12" s="98" t="str">
        <v/>
      </c>
      <c r="AM12" s="98" t="str">
        <v/>
      </c>
      <c r="AN12" s="98" t="str">
        <v/>
      </c>
      <c r="AO12" s="115" t="str">
        <v/>
      </c>
      <c r="AP12" s="98" t="str">
        <v/>
      </c>
      <c r="AQ12" s="99"/>
      <c r="AR12" s="95"/>
      <c r="AS12" s="94"/>
      <c r="AT12" s="95"/>
      <c r="AU12" s="94"/>
      <c r="AV12" s="95"/>
      <c r="AW12" s="94"/>
      <c r="AX12" s="95"/>
      <c r="AY12" s="94"/>
      <c r="AZ12" s="95"/>
      <c r="BA12" s="98" t="str">
        <v/>
      </c>
      <c r="BB12" s="98" t="str">
        <v/>
      </c>
      <c r="BC12" s="98" t="str">
        <v/>
      </c>
      <c r="BD12" s="98" t="str">
        <v/>
      </c>
      <c r="BE12" s="98" t="str">
        <v/>
      </c>
      <c r="BF12" s="98" t="str">
        <v/>
      </c>
      <c r="BG12" s="98" t="str">
        <v/>
      </c>
      <c r="BH12" s="98" t="str">
        <v/>
      </c>
      <c r="BI12" s="115" t="str">
        <v/>
      </c>
      <c r="BJ12" s="98" t="str">
        <v/>
      </c>
      <c r="BK12" s="100" t="str">
        <v/>
      </c>
      <c r="BL12" s="101" t="str">
        <v/>
      </c>
      <c r="BM12" s="101" t="str">
        <v/>
      </c>
      <c r="BN12" s="101" t="str">
        <v/>
      </c>
      <c r="BO12" s="101" t="str">
        <v/>
      </c>
      <c r="BP12" s="101" t="str">
        <v/>
      </c>
      <c r="BQ12" s="101" t="str">
        <v/>
      </c>
      <c r="BR12" s="101" t="str">
        <v/>
      </c>
      <c r="BS12" s="8" t="str">
        <v/>
      </c>
      <c r="BT12" s="102" t="str">
        <v/>
      </c>
      <c r="BU12" s="97"/>
      <c r="BV12" s="97"/>
    </row>
    <row r="13" spans="1:74">
      <c r="A13" s="90" t="s">
        <v>87</v>
      </c>
      <c r="B13" s="104" t="s">
        <v>534</v>
      </c>
      <c r="C13" s="99"/>
      <c r="D13" s="95"/>
      <c r="E13" s="94"/>
      <c r="F13" s="95"/>
      <c r="G13" s="94"/>
      <c r="H13" s="95"/>
      <c r="I13" s="94"/>
      <c r="J13" s="95"/>
      <c r="K13" s="94"/>
      <c r="L13" s="95"/>
      <c r="M13" s="98" t="str">
        <v/>
      </c>
      <c r="N13" s="98" t="str">
        <v/>
      </c>
      <c r="O13" s="98" t="str">
        <v/>
      </c>
      <c r="P13" s="98" t="str">
        <v/>
      </c>
      <c r="Q13" s="98" t="str">
        <v/>
      </c>
      <c r="R13" s="98" t="str">
        <v/>
      </c>
      <c r="S13" s="98" t="str">
        <v/>
      </c>
      <c r="T13" s="98" t="str">
        <v/>
      </c>
      <c r="U13" s="104" t="str">
        <v/>
      </c>
      <c r="V13" s="98" t="str">
        <v/>
      </c>
      <c r="W13" s="99"/>
      <c r="X13" s="95"/>
      <c r="Y13" s="94"/>
      <c r="Z13" s="95"/>
      <c r="AA13" s="94"/>
      <c r="AB13" s="95"/>
      <c r="AC13" s="94"/>
      <c r="AD13" s="95"/>
      <c r="AE13" s="94"/>
      <c r="AF13" s="95"/>
      <c r="AG13" s="98" t="str">
        <v/>
      </c>
      <c r="AH13" s="98" t="str">
        <v/>
      </c>
      <c r="AI13" s="98" t="str">
        <v/>
      </c>
      <c r="AJ13" s="98" t="str">
        <v/>
      </c>
      <c r="AK13" s="98" t="str">
        <v/>
      </c>
      <c r="AL13" s="98" t="str">
        <v/>
      </c>
      <c r="AM13" s="98" t="str">
        <v/>
      </c>
      <c r="AN13" s="98" t="str">
        <v/>
      </c>
      <c r="AO13" s="115" t="str">
        <v/>
      </c>
      <c r="AP13" s="98" t="str">
        <v/>
      </c>
      <c r="AQ13" s="99"/>
      <c r="AR13" s="95"/>
      <c r="AS13" s="94"/>
      <c r="AT13" s="95"/>
      <c r="AU13" s="94"/>
      <c r="AV13" s="95"/>
      <c r="AW13" s="94"/>
      <c r="AX13" s="95"/>
      <c r="AY13" s="94"/>
      <c r="AZ13" s="95"/>
      <c r="BA13" s="98" t="str">
        <v/>
      </c>
      <c r="BB13" s="98" t="str">
        <v/>
      </c>
      <c r="BC13" s="98" t="str">
        <v/>
      </c>
      <c r="BD13" s="98" t="str">
        <v/>
      </c>
      <c r="BE13" s="98" t="str">
        <v/>
      </c>
      <c r="BF13" s="98" t="str">
        <v/>
      </c>
      <c r="BG13" s="98" t="str">
        <v/>
      </c>
      <c r="BH13" s="98" t="str">
        <v/>
      </c>
      <c r="BI13" s="115" t="str">
        <v/>
      </c>
      <c r="BJ13" s="98" t="str">
        <v/>
      </c>
      <c r="BK13" s="100" t="str">
        <v/>
      </c>
      <c r="BL13" s="101" t="str">
        <v/>
      </c>
      <c r="BM13" s="101" t="str">
        <v/>
      </c>
      <c r="BN13" s="101" t="str">
        <v/>
      </c>
      <c r="BO13" s="101" t="str">
        <v/>
      </c>
      <c r="BP13" s="101" t="str">
        <v/>
      </c>
      <c r="BQ13" s="101" t="str">
        <v/>
      </c>
      <c r="BR13" s="101" t="str">
        <v/>
      </c>
      <c r="BS13" s="8" t="str">
        <v/>
      </c>
      <c r="BT13" s="102" t="str">
        <v/>
      </c>
      <c r="BU13" s="97"/>
      <c r="BV13" s="97"/>
    </row>
    <row r="14" spans="1:74">
      <c r="A14" s="90" t="s">
        <v>87</v>
      </c>
      <c r="B14" s="104" t="s">
        <v>535</v>
      </c>
      <c r="C14" s="99" t="s">
        <v>447</v>
      </c>
      <c r="D14" s="95">
        <v>1</v>
      </c>
      <c r="E14" s="94" t="s">
        <v>405</v>
      </c>
      <c r="F14" s="95">
        <v>170</v>
      </c>
      <c r="G14" s="94" t="s">
        <v>320</v>
      </c>
      <c r="H14" s="95">
        <v>40</v>
      </c>
      <c r="I14" s="94" t="s">
        <v>618</v>
      </c>
      <c r="J14" s="95">
        <v>30</v>
      </c>
      <c r="K14" s="94" t="s">
        <v>454</v>
      </c>
      <c r="L14" s="95">
        <v>100</v>
      </c>
      <c r="M14" s="98">
        <v>432.6</v>
      </c>
      <c r="N14" s="98">
        <v>38.260000000000005</v>
      </c>
      <c r="O14" s="98">
        <v>50.419999999999995</v>
      </c>
      <c r="P14" s="98">
        <v>9.86</v>
      </c>
      <c r="Q14" s="98">
        <v>4.4799999999999995</v>
      </c>
      <c r="R14" s="98">
        <v>6.84</v>
      </c>
      <c r="S14" s="98">
        <v>19.759999999999998</v>
      </c>
      <c r="T14" s="98">
        <v>0.54749999999999999</v>
      </c>
      <c r="U14" s="104">
        <v>1356.6</v>
      </c>
      <c r="V14" s="98">
        <v>3.14</v>
      </c>
      <c r="W14" s="99" t="s">
        <v>370</v>
      </c>
      <c r="X14" s="95">
        <v>250</v>
      </c>
      <c r="Y14" s="94" t="s">
        <v>324</v>
      </c>
      <c r="Z14" s="95">
        <v>100</v>
      </c>
      <c r="AA14" s="94" t="s">
        <v>240</v>
      </c>
      <c r="AB14" s="95">
        <v>120</v>
      </c>
      <c r="AC14" s="94" t="s">
        <v>250</v>
      </c>
      <c r="AD14" s="95">
        <v>100</v>
      </c>
      <c r="AE14" s="94" t="s">
        <v>407</v>
      </c>
      <c r="AF14" s="95">
        <v>5</v>
      </c>
      <c r="AG14" s="98">
        <v>560.20000000000005</v>
      </c>
      <c r="AH14" s="98">
        <v>71.28</v>
      </c>
      <c r="AI14" s="98">
        <v>46.599999999999994</v>
      </c>
      <c r="AJ14" s="98">
        <v>8.48</v>
      </c>
      <c r="AK14" s="98">
        <v>1.57</v>
      </c>
      <c r="AL14" s="98">
        <v>9.6199999999999992</v>
      </c>
      <c r="AM14" s="98">
        <v>11.14</v>
      </c>
      <c r="AN14" s="98">
        <v>0.47000000000000003</v>
      </c>
      <c r="AO14" s="115">
        <v>589</v>
      </c>
      <c r="AP14" s="98">
        <v>1.05</v>
      </c>
      <c r="AQ14" s="91" t="s">
        <v>361</v>
      </c>
      <c r="AR14" s="92">
        <v>3</v>
      </c>
      <c r="AS14" s="93" t="s">
        <v>224</v>
      </c>
      <c r="AT14" s="92">
        <v>250</v>
      </c>
      <c r="AU14" s="93" t="s">
        <v>334</v>
      </c>
      <c r="AV14" s="92">
        <v>80</v>
      </c>
      <c r="AW14" s="93" t="s">
        <v>407</v>
      </c>
      <c r="AX14" s="92">
        <v>5</v>
      </c>
      <c r="AY14" s="94" t="s">
        <v>405</v>
      </c>
      <c r="AZ14" s="95">
        <v>125</v>
      </c>
      <c r="BA14" s="98">
        <v>478.6</v>
      </c>
      <c r="BB14" s="98">
        <v>33.85</v>
      </c>
      <c r="BC14" s="98">
        <v>32.380000000000003</v>
      </c>
      <c r="BD14" s="98">
        <v>25.479999999999997</v>
      </c>
      <c r="BE14" s="98">
        <v>8.25</v>
      </c>
      <c r="BF14" s="98">
        <v>3.9400000000000004</v>
      </c>
      <c r="BG14" s="98">
        <v>13.77</v>
      </c>
      <c r="BH14" s="98">
        <v>0.62274999999999991</v>
      </c>
      <c r="BI14" s="115">
        <v>549</v>
      </c>
      <c r="BJ14" s="98">
        <v>1.1499999999999999</v>
      </c>
      <c r="BK14" s="100">
        <v>1471.4</v>
      </c>
      <c r="BL14" s="101">
        <v>143.38999999999999</v>
      </c>
      <c r="BM14" s="101">
        <v>129.4</v>
      </c>
      <c r="BN14" s="101">
        <v>43.82</v>
      </c>
      <c r="BO14" s="101">
        <v>14.3</v>
      </c>
      <c r="BP14" s="101">
        <v>20.399999999999999</v>
      </c>
      <c r="BQ14" s="101">
        <v>44.67</v>
      </c>
      <c r="BR14" s="101">
        <v>1.6403000000000001</v>
      </c>
      <c r="BS14" s="8">
        <v>2494.6</v>
      </c>
      <c r="BT14" s="102">
        <v>1.6954</v>
      </c>
      <c r="BU14" s="97"/>
      <c r="BV14" s="97"/>
    </row>
    <row r="15" spans="1:74">
      <c r="A15" s="90" t="s">
        <v>87</v>
      </c>
      <c r="B15" s="104" t="s">
        <v>536</v>
      </c>
      <c r="C15" s="99"/>
      <c r="D15" s="95"/>
      <c r="E15" s="94"/>
      <c r="F15" s="95"/>
      <c r="G15" s="94"/>
      <c r="H15" s="95"/>
      <c r="I15" s="94"/>
      <c r="J15" s="95"/>
      <c r="K15" s="94"/>
      <c r="L15" s="95"/>
      <c r="M15" s="98" t="str">
        <v/>
      </c>
      <c r="N15" s="98" t="str">
        <v/>
      </c>
      <c r="O15" s="98" t="str">
        <v/>
      </c>
      <c r="P15" s="98" t="str">
        <v/>
      </c>
      <c r="Q15" s="98" t="str">
        <v/>
      </c>
      <c r="R15" s="98" t="str">
        <v/>
      </c>
      <c r="S15" s="98" t="str">
        <v/>
      </c>
      <c r="T15" s="98" t="str">
        <v/>
      </c>
      <c r="U15" s="104" t="str">
        <v/>
      </c>
      <c r="V15" s="98" t="str">
        <v/>
      </c>
      <c r="W15" s="99"/>
      <c r="X15" s="95"/>
      <c r="Y15" s="94"/>
      <c r="Z15" s="95"/>
      <c r="AA15" s="94"/>
      <c r="AB15" s="95"/>
      <c r="AC15" s="94"/>
      <c r="AD15" s="95"/>
      <c r="AE15" s="94"/>
      <c r="AF15" s="95"/>
      <c r="AG15" s="98" t="str">
        <v/>
      </c>
      <c r="AH15" s="98" t="str">
        <v/>
      </c>
      <c r="AI15" s="98" t="str">
        <v/>
      </c>
      <c r="AJ15" s="98" t="str">
        <v/>
      </c>
      <c r="AK15" s="98" t="str">
        <v/>
      </c>
      <c r="AL15" s="98" t="str">
        <v/>
      </c>
      <c r="AM15" s="98" t="str">
        <v/>
      </c>
      <c r="AN15" s="98" t="str">
        <v/>
      </c>
      <c r="AO15" s="115" t="str">
        <v/>
      </c>
      <c r="AP15" s="98" t="str">
        <v/>
      </c>
      <c r="AQ15" s="99"/>
      <c r="AR15" s="95"/>
      <c r="AS15" s="94"/>
      <c r="AT15" s="95"/>
      <c r="AU15" s="94"/>
      <c r="AV15" s="95"/>
      <c r="AW15" s="94"/>
      <c r="AX15" s="95"/>
      <c r="AY15" s="94"/>
      <c r="AZ15" s="95"/>
      <c r="BA15" s="98" t="str">
        <v/>
      </c>
      <c r="BB15" s="98" t="str">
        <v/>
      </c>
      <c r="BC15" s="98" t="str">
        <v/>
      </c>
      <c r="BD15" s="98" t="str">
        <v/>
      </c>
      <c r="BE15" s="98" t="str">
        <v/>
      </c>
      <c r="BF15" s="98" t="str">
        <v/>
      </c>
      <c r="BG15" s="98" t="str">
        <v/>
      </c>
      <c r="BH15" s="98" t="str">
        <v/>
      </c>
      <c r="BI15" s="115" t="str">
        <v/>
      </c>
      <c r="BJ15" s="98" t="str">
        <v/>
      </c>
      <c r="BK15" s="100" t="str">
        <v/>
      </c>
      <c r="BL15" s="101" t="str">
        <v/>
      </c>
      <c r="BM15" s="101" t="str">
        <v/>
      </c>
      <c r="BN15" s="101" t="str">
        <v/>
      </c>
      <c r="BO15" s="101" t="str">
        <v/>
      </c>
      <c r="BP15" s="101" t="str">
        <v/>
      </c>
      <c r="BQ15" s="101" t="str">
        <v/>
      </c>
      <c r="BR15" s="101" t="str">
        <v/>
      </c>
      <c r="BS15" s="8" t="str">
        <v/>
      </c>
      <c r="BT15" s="102" t="str">
        <v/>
      </c>
      <c r="BU15" s="97"/>
      <c r="BV15" s="97"/>
    </row>
    <row r="16" spans="1:74">
      <c r="A16" s="90" t="s">
        <v>87</v>
      </c>
      <c r="B16" s="104" t="s">
        <v>537</v>
      </c>
      <c r="C16" s="99"/>
      <c r="D16" s="95"/>
      <c r="E16" s="94"/>
      <c r="F16" s="95"/>
      <c r="G16" s="94"/>
      <c r="H16" s="95"/>
      <c r="I16" s="94"/>
      <c r="J16" s="95"/>
      <c r="K16" s="94"/>
      <c r="L16" s="95"/>
      <c r="M16" s="98" t="str">
        <v/>
      </c>
      <c r="N16" s="98" t="str">
        <v/>
      </c>
      <c r="O16" s="98" t="str">
        <v/>
      </c>
      <c r="P16" s="98" t="str">
        <v/>
      </c>
      <c r="Q16" s="98" t="str">
        <v/>
      </c>
      <c r="R16" s="98" t="str">
        <v/>
      </c>
      <c r="S16" s="98" t="str">
        <v/>
      </c>
      <c r="T16" s="98" t="str">
        <v/>
      </c>
      <c r="U16" s="104" t="str">
        <v/>
      </c>
      <c r="V16" s="98" t="str">
        <v/>
      </c>
      <c r="W16" s="99"/>
      <c r="X16" s="95"/>
      <c r="Y16" s="94"/>
      <c r="Z16" s="95"/>
      <c r="AA16" s="94"/>
      <c r="AB16" s="95"/>
      <c r="AC16" s="94"/>
      <c r="AD16" s="95"/>
      <c r="AE16" s="94"/>
      <c r="AF16" s="95"/>
      <c r="AG16" s="98" t="str">
        <v/>
      </c>
      <c r="AH16" s="98" t="str">
        <v/>
      </c>
      <c r="AI16" s="98" t="str">
        <v/>
      </c>
      <c r="AJ16" s="98" t="str">
        <v/>
      </c>
      <c r="AK16" s="98" t="str">
        <v/>
      </c>
      <c r="AL16" s="98" t="str">
        <v/>
      </c>
      <c r="AM16" s="98" t="str">
        <v/>
      </c>
      <c r="AN16" s="98" t="str">
        <v/>
      </c>
      <c r="AO16" s="115" t="str">
        <v/>
      </c>
      <c r="AP16" s="98" t="str">
        <v/>
      </c>
      <c r="AQ16" s="99"/>
      <c r="AR16" s="95"/>
      <c r="AS16" s="94"/>
      <c r="AT16" s="95"/>
      <c r="AU16" s="94"/>
      <c r="AV16" s="95"/>
      <c r="AW16" s="94"/>
      <c r="AX16" s="95"/>
      <c r="AY16" s="94"/>
      <c r="AZ16" s="95"/>
      <c r="BA16" s="98" t="str">
        <v/>
      </c>
      <c r="BB16" s="98" t="str">
        <v/>
      </c>
      <c r="BC16" s="98" t="str">
        <v/>
      </c>
      <c r="BD16" s="98" t="str">
        <v/>
      </c>
      <c r="BE16" s="98" t="str">
        <v/>
      </c>
      <c r="BF16" s="98" t="str">
        <v/>
      </c>
      <c r="BG16" s="98" t="str">
        <v/>
      </c>
      <c r="BH16" s="98" t="str">
        <v/>
      </c>
      <c r="BI16" s="115" t="str">
        <v/>
      </c>
      <c r="BJ16" s="98" t="str">
        <v/>
      </c>
      <c r="BK16" s="100" t="str">
        <v/>
      </c>
      <c r="BL16" s="101" t="str">
        <v/>
      </c>
      <c r="BM16" s="101" t="str">
        <v/>
      </c>
      <c r="BN16" s="101" t="str">
        <v/>
      </c>
      <c r="BO16" s="101" t="str">
        <v/>
      </c>
      <c r="BP16" s="101" t="str">
        <v/>
      </c>
      <c r="BQ16" s="101" t="str">
        <v/>
      </c>
      <c r="BR16" s="101" t="str">
        <v/>
      </c>
      <c r="BS16" s="8" t="str">
        <v/>
      </c>
      <c r="BT16" s="102" t="str">
        <v/>
      </c>
      <c r="BU16" s="97"/>
      <c r="BV16" s="97"/>
    </row>
    <row r="17" spans="1:74">
      <c r="A17" s="104"/>
      <c r="B17" s="104"/>
      <c r="C17" s="99"/>
      <c r="D17" s="95"/>
      <c r="E17" s="94"/>
      <c r="F17" s="95"/>
      <c r="G17" s="94"/>
      <c r="H17" s="95"/>
      <c r="I17" s="94"/>
      <c r="J17" s="95"/>
      <c r="K17" s="94"/>
      <c r="L17" s="95"/>
      <c r="M17" s="98" t="str">
        <v/>
      </c>
      <c r="N17" s="98" t="str">
        <v/>
      </c>
      <c r="O17" s="98" t="str">
        <v/>
      </c>
      <c r="P17" s="98" t="str">
        <v/>
      </c>
      <c r="Q17" s="98" t="str">
        <v/>
      </c>
      <c r="R17" s="98" t="str">
        <v/>
      </c>
      <c r="S17" s="98" t="str">
        <v/>
      </c>
      <c r="T17" s="98" t="str">
        <v/>
      </c>
      <c r="U17" s="104" t="str">
        <v/>
      </c>
      <c r="V17" s="98" t="str">
        <v/>
      </c>
      <c r="W17" s="99"/>
      <c r="X17" s="95"/>
      <c r="Y17" s="94"/>
      <c r="Z17" s="95"/>
      <c r="AA17" s="94"/>
      <c r="AB17" s="95"/>
      <c r="AC17" s="94"/>
      <c r="AD17" s="95"/>
      <c r="AE17" s="94"/>
      <c r="AF17" s="95"/>
      <c r="AG17" s="98" t="str">
        <v/>
      </c>
      <c r="AH17" s="98" t="str">
        <v/>
      </c>
      <c r="AI17" s="98" t="str">
        <v/>
      </c>
      <c r="AJ17" s="98" t="str">
        <v/>
      </c>
      <c r="AK17" s="98" t="str">
        <v/>
      </c>
      <c r="AL17" s="98" t="str">
        <v/>
      </c>
      <c r="AM17" s="98" t="str">
        <v/>
      </c>
      <c r="AN17" s="98" t="str">
        <v/>
      </c>
      <c r="AO17" s="115" t="str">
        <v/>
      </c>
      <c r="AP17" s="98" t="str">
        <v/>
      </c>
      <c r="AQ17" s="99"/>
      <c r="AR17" s="95"/>
      <c r="AS17" s="94"/>
      <c r="AT17" s="95"/>
      <c r="AU17" s="94"/>
      <c r="AV17" s="95"/>
      <c r="AW17" s="94"/>
      <c r="AX17" s="95"/>
      <c r="AY17" s="94"/>
      <c r="AZ17" s="95"/>
      <c r="BA17" s="98" t="str">
        <v/>
      </c>
      <c r="BB17" s="98" t="str">
        <v/>
      </c>
      <c r="BC17" s="98" t="str">
        <v/>
      </c>
      <c r="BD17" s="98" t="str">
        <v/>
      </c>
      <c r="BE17" s="98" t="str">
        <v/>
      </c>
      <c r="BF17" s="98" t="str">
        <v/>
      </c>
      <c r="BG17" s="98" t="str">
        <v/>
      </c>
      <c r="BH17" s="98" t="str">
        <v/>
      </c>
      <c r="BI17" s="115" t="str">
        <v/>
      </c>
      <c r="BJ17" s="98" t="str">
        <v/>
      </c>
      <c r="BK17" s="100" t="str">
        <v/>
      </c>
      <c r="BL17" s="101" t="str">
        <v/>
      </c>
      <c r="BM17" s="101" t="str">
        <v/>
      </c>
      <c r="BN17" s="101" t="str">
        <v/>
      </c>
      <c r="BO17" s="101" t="str">
        <v/>
      </c>
      <c r="BP17" s="101" t="str">
        <v/>
      </c>
      <c r="BQ17" s="101" t="str">
        <v/>
      </c>
      <c r="BR17" s="101" t="str">
        <v/>
      </c>
      <c r="BS17" s="8" t="str">
        <v/>
      </c>
      <c r="BT17" s="102" t="str">
        <v/>
      </c>
      <c r="BU17" s="97"/>
      <c r="BV17" s="97"/>
    </row>
    <row r="18" spans="1:74">
      <c r="A18" s="104"/>
      <c r="B18" s="104"/>
      <c r="C18" s="99"/>
      <c r="D18" s="95"/>
      <c r="E18" s="94"/>
      <c r="F18" s="95"/>
      <c r="G18" s="94"/>
      <c r="H18" s="95"/>
      <c r="I18" s="94"/>
      <c r="J18" s="95"/>
      <c r="K18" s="94"/>
      <c r="L18" s="95"/>
      <c r="M18" s="98" t="str">
        <v/>
      </c>
      <c r="N18" s="98" t="str">
        <v/>
      </c>
      <c r="O18" s="98" t="str">
        <v/>
      </c>
      <c r="P18" s="98" t="str">
        <v/>
      </c>
      <c r="Q18" s="98" t="str">
        <v/>
      </c>
      <c r="R18" s="98" t="str">
        <v/>
      </c>
      <c r="S18" s="98" t="str">
        <v/>
      </c>
      <c r="T18" s="98" t="str">
        <v/>
      </c>
      <c r="U18" s="104" t="str">
        <v/>
      </c>
      <c r="V18" s="98" t="str">
        <v/>
      </c>
      <c r="W18" s="99"/>
      <c r="X18" s="95"/>
      <c r="Y18" s="94"/>
      <c r="Z18" s="95"/>
      <c r="AA18" s="94"/>
      <c r="AB18" s="95"/>
      <c r="AC18" s="94"/>
      <c r="AD18" s="95"/>
      <c r="AE18" s="94"/>
      <c r="AF18" s="95"/>
      <c r="AG18" s="98" t="str">
        <v/>
      </c>
      <c r="AH18" s="98" t="str">
        <v/>
      </c>
      <c r="AI18" s="98" t="str">
        <v/>
      </c>
      <c r="AJ18" s="98" t="str">
        <v/>
      </c>
      <c r="AK18" s="98" t="str">
        <v/>
      </c>
      <c r="AL18" s="98" t="str">
        <v/>
      </c>
      <c r="AM18" s="98" t="str">
        <v/>
      </c>
      <c r="AN18" s="98" t="str">
        <v/>
      </c>
      <c r="AO18" s="115" t="str">
        <v/>
      </c>
      <c r="AP18" s="98" t="str">
        <v/>
      </c>
      <c r="AQ18" s="99"/>
      <c r="AR18" s="95"/>
      <c r="AS18" s="94"/>
      <c r="AT18" s="95"/>
      <c r="AU18" s="94"/>
      <c r="AV18" s="95"/>
      <c r="AW18" s="94"/>
      <c r="AX18" s="95"/>
      <c r="AY18" s="94"/>
      <c r="AZ18" s="95"/>
      <c r="BA18" s="98" t="str">
        <v/>
      </c>
      <c r="BB18" s="98" t="str">
        <v/>
      </c>
      <c r="BC18" s="98" t="str">
        <v/>
      </c>
      <c r="BD18" s="98" t="str">
        <v/>
      </c>
      <c r="BE18" s="98" t="str">
        <v/>
      </c>
      <c r="BF18" s="98" t="str">
        <v/>
      </c>
      <c r="BG18" s="98" t="str">
        <v/>
      </c>
      <c r="BH18" s="98" t="str">
        <v/>
      </c>
      <c r="BI18" s="115" t="str">
        <v/>
      </c>
      <c r="BJ18" s="98" t="str">
        <v/>
      </c>
      <c r="BK18" s="100" t="str">
        <v/>
      </c>
      <c r="BL18" s="101" t="str">
        <v/>
      </c>
      <c r="BM18" s="101" t="str">
        <v/>
      </c>
      <c r="BN18" s="101" t="str">
        <v/>
      </c>
      <c r="BO18" s="101" t="str">
        <v/>
      </c>
      <c r="BP18" s="101" t="str">
        <v/>
      </c>
      <c r="BQ18" s="101" t="str">
        <v/>
      </c>
      <c r="BR18" s="101" t="str">
        <v/>
      </c>
      <c r="BS18" s="8" t="str">
        <v/>
      </c>
      <c r="BT18" s="102" t="str">
        <v/>
      </c>
      <c r="BU18" s="97"/>
      <c r="BV18" s="97"/>
    </row>
    <row r="19" spans="1:74">
      <c r="A19" s="104"/>
      <c r="B19" s="104"/>
      <c r="C19" s="99"/>
      <c r="D19" s="95"/>
      <c r="E19" s="94"/>
      <c r="F19" s="95"/>
      <c r="G19" s="94"/>
      <c r="H19" s="95"/>
      <c r="I19" s="94"/>
      <c r="J19" s="95"/>
      <c r="K19" s="94"/>
      <c r="L19" s="95"/>
      <c r="M19" s="98" t="str">
        <v/>
      </c>
      <c r="N19" s="98" t="str">
        <v/>
      </c>
      <c r="O19" s="98" t="str">
        <v/>
      </c>
      <c r="P19" s="98" t="str">
        <v/>
      </c>
      <c r="Q19" s="98" t="str">
        <v/>
      </c>
      <c r="R19" s="98" t="str">
        <v/>
      </c>
      <c r="S19" s="98" t="str">
        <v/>
      </c>
      <c r="T19" s="98" t="str">
        <v/>
      </c>
      <c r="U19" s="104" t="str">
        <v/>
      </c>
      <c r="V19" s="98" t="str">
        <v/>
      </c>
      <c r="W19" s="99"/>
      <c r="X19" s="95"/>
      <c r="Y19" s="94"/>
      <c r="Z19" s="95"/>
      <c r="AA19" s="94"/>
      <c r="AB19" s="95"/>
      <c r="AC19" s="94"/>
      <c r="AD19" s="95"/>
      <c r="AE19" s="94"/>
      <c r="AF19" s="95"/>
      <c r="AG19" s="98" t="str">
        <v/>
      </c>
      <c r="AH19" s="98" t="str">
        <v/>
      </c>
      <c r="AI19" s="98" t="str">
        <v/>
      </c>
      <c r="AJ19" s="98" t="str">
        <v/>
      </c>
      <c r="AK19" s="98" t="str">
        <v/>
      </c>
      <c r="AL19" s="98" t="str">
        <v/>
      </c>
      <c r="AM19" s="98" t="str">
        <v/>
      </c>
      <c r="AN19" s="98" t="str">
        <v/>
      </c>
      <c r="AO19" s="115" t="str">
        <v/>
      </c>
      <c r="AP19" s="98" t="str">
        <v/>
      </c>
      <c r="AQ19" s="99"/>
      <c r="AR19" s="95"/>
      <c r="AS19" s="94"/>
      <c r="AT19" s="95"/>
      <c r="AU19" s="94"/>
      <c r="AV19" s="95"/>
      <c r="AW19" s="94"/>
      <c r="AX19" s="95"/>
      <c r="AY19" s="94"/>
      <c r="AZ19" s="95"/>
      <c r="BA19" s="98" t="str">
        <v/>
      </c>
      <c r="BB19" s="98" t="str">
        <v/>
      </c>
      <c r="BC19" s="98" t="str">
        <v/>
      </c>
      <c r="BD19" s="98" t="str">
        <v/>
      </c>
      <c r="BE19" s="98" t="str">
        <v/>
      </c>
      <c r="BF19" s="98" t="str">
        <v/>
      </c>
      <c r="BG19" s="98" t="str">
        <v/>
      </c>
      <c r="BH19" s="98" t="str">
        <v/>
      </c>
      <c r="BI19" s="115" t="str">
        <v/>
      </c>
      <c r="BJ19" s="98" t="str">
        <v/>
      </c>
      <c r="BK19" s="100" t="str">
        <v/>
      </c>
      <c r="BL19" s="101" t="str">
        <v/>
      </c>
      <c r="BM19" s="101" t="str">
        <v/>
      </c>
      <c r="BN19" s="101" t="str">
        <v/>
      </c>
      <c r="BO19" s="101" t="str">
        <v/>
      </c>
      <c r="BP19" s="101" t="str">
        <v/>
      </c>
      <c r="BQ19" s="101" t="str">
        <v/>
      </c>
      <c r="BR19" s="101" t="str">
        <v/>
      </c>
      <c r="BS19" s="8" t="str">
        <v/>
      </c>
      <c r="BT19" s="102" t="str">
        <v/>
      </c>
      <c r="BU19" s="97"/>
      <c r="BV19" s="97"/>
    </row>
    <row r="20" spans="1:74">
      <c r="A20" s="104"/>
      <c r="B20" s="104"/>
      <c r="C20" s="99"/>
      <c r="D20" s="95"/>
      <c r="E20" s="94"/>
      <c r="F20" s="95"/>
      <c r="G20" s="94"/>
      <c r="H20" s="95"/>
      <c r="I20" s="94"/>
      <c r="J20" s="95"/>
      <c r="K20" s="94"/>
      <c r="L20" s="95"/>
      <c r="M20" s="98" t="str">
        <v/>
      </c>
      <c r="N20" s="98" t="str">
        <v/>
      </c>
      <c r="O20" s="98" t="str">
        <v/>
      </c>
      <c r="P20" s="98" t="str">
        <v/>
      </c>
      <c r="Q20" s="98" t="str">
        <v/>
      </c>
      <c r="R20" s="98" t="str">
        <v/>
      </c>
      <c r="S20" s="98" t="str">
        <v/>
      </c>
      <c r="T20" s="98" t="str">
        <v/>
      </c>
      <c r="U20" s="104" t="str">
        <v/>
      </c>
      <c r="V20" s="98" t="str">
        <v/>
      </c>
      <c r="W20" s="99"/>
      <c r="X20" s="95"/>
      <c r="Y20" s="94"/>
      <c r="Z20" s="95"/>
      <c r="AA20" s="94"/>
      <c r="AB20" s="95"/>
      <c r="AC20" s="94"/>
      <c r="AD20" s="95"/>
      <c r="AE20" s="94"/>
      <c r="AF20" s="95"/>
      <c r="AG20" s="98" t="str">
        <v/>
      </c>
      <c r="AH20" s="98" t="str">
        <v/>
      </c>
      <c r="AI20" s="98" t="str">
        <v/>
      </c>
      <c r="AJ20" s="98" t="str">
        <v/>
      </c>
      <c r="AK20" s="98" t="str">
        <v/>
      </c>
      <c r="AL20" s="98" t="str">
        <v/>
      </c>
      <c r="AM20" s="98" t="str">
        <v/>
      </c>
      <c r="AN20" s="98" t="str">
        <v/>
      </c>
      <c r="AO20" s="115" t="str">
        <v/>
      </c>
      <c r="AP20" s="98" t="str">
        <v/>
      </c>
      <c r="AQ20" s="99"/>
      <c r="AR20" s="95"/>
      <c r="AS20" s="94"/>
      <c r="AT20" s="95"/>
      <c r="AU20" s="94"/>
      <c r="AV20" s="95"/>
      <c r="AW20" s="94"/>
      <c r="AX20" s="95"/>
      <c r="AY20" s="94"/>
      <c r="AZ20" s="95"/>
      <c r="BA20" s="98" t="str">
        <v/>
      </c>
      <c r="BB20" s="98" t="str">
        <v/>
      </c>
      <c r="BC20" s="98" t="str">
        <v/>
      </c>
      <c r="BD20" s="98" t="str">
        <v/>
      </c>
      <c r="BE20" s="98" t="str">
        <v/>
      </c>
      <c r="BF20" s="98" t="str">
        <v/>
      </c>
      <c r="BG20" s="98" t="str">
        <v/>
      </c>
      <c r="BH20" s="98" t="str">
        <v/>
      </c>
      <c r="BI20" s="115" t="str">
        <v/>
      </c>
      <c r="BJ20" s="98" t="str">
        <v/>
      </c>
      <c r="BK20" s="100" t="str">
        <v/>
      </c>
      <c r="BL20" s="101" t="str">
        <v/>
      </c>
      <c r="BM20" s="101" t="str">
        <v/>
      </c>
      <c r="BN20" s="101" t="str">
        <v/>
      </c>
      <c r="BO20" s="101" t="str">
        <v/>
      </c>
      <c r="BP20" s="101" t="str">
        <v/>
      </c>
      <c r="BQ20" s="101" t="str">
        <v/>
      </c>
      <c r="BR20" s="101" t="str">
        <v/>
      </c>
      <c r="BS20" s="8" t="str">
        <v/>
      </c>
      <c r="BT20" s="102" t="str">
        <v/>
      </c>
      <c r="BU20" s="97"/>
      <c r="BV20" s="97"/>
    </row>
    <row r="21" spans="1:74">
      <c r="A21" s="104"/>
      <c r="B21" s="104"/>
      <c r="C21" s="99"/>
      <c r="D21" s="95"/>
      <c r="E21" s="94"/>
      <c r="F21" s="95"/>
      <c r="G21" s="94"/>
      <c r="H21" s="95"/>
      <c r="I21" s="94"/>
      <c r="J21" s="95"/>
      <c r="K21" s="94"/>
      <c r="L21" s="95"/>
      <c r="M21" s="98" t="str">
        <v/>
      </c>
      <c r="N21" s="98" t="str">
        <v/>
      </c>
      <c r="O21" s="98" t="str">
        <v/>
      </c>
      <c r="P21" s="98" t="str">
        <v/>
      </c>
      <c r="Q21" s="98" t="str">
        <v/>
      </c>
      <c r="R21" s="98" t="str">
        <v/>
      </c>
      <c r="S21" s="98" t="str">
        <v/>
      </c>
      <c r="T21" s="98" t="str">
        <v/>
      </c>
      <c r="U21" s="104" t="str">
        <v/>
      </c>
      <c r="V21" s="98" t="str">
        <v/>
      </c>
      <c r="W21" s="99"/>
      <c r="X21" s="95"/>
      <c r="Y21" s="94"/>
      <c r="Z21" s="95"/>
      <c r="AA21" s="94"/>
      <c r="AB21" s="95"/>
      <c r="AC21" s="94"/>
      <c r="AD21" s="95"/>
      <c r="AE21" s="94"/>
      <c r="AF21" s="95"/>
      <c r="AG21" s="98" t="str">
        <v/>
      </c>
      <c r="AH21" s="98" t="str">
        <v/>
      </c>
      <c r="AI21" s="98" t="str">
        <v/>
      </c>
      <c r="AJ21" s="98" t="str">
        <v/>
      </c>
      <c r="AK21" s="98" t="str">
        <v/>
      </c>
      <c r="AL21" s="98" t="str">
        <v/>
      </c>
      <c r="AM21" s="98" t="str">
        <v/>
      </c>
      <c r="AN21" s="98" t="str">
        <v/>
      </c>
      <c r="AO21" s="115" t="str">
        <v/>
      </c>
      <c r="AP21" s="98" t="str">
        <v/>
      </c>
      <c r="AQ21" s="99"/>
      <c r="AR21" s="95"/>
      <c r="AS21" s="94"/>
      <c r="AT21" s="95"/>
      <c r="AU21" s="94"/>
      <c r="AV21" s="95"/>
      <c r="AW21" s="94"/>
      <c r="AX21" s="95"/>
      <c r="AY21" s="94"/>
      <c r="AZ21" s="95"/>
      <c r="BA21" s="98" t="str">
        <v/>
      </c>
      <c r="BB21" s="98" t="str">
        <v/>
      </c>
      <c r="BC21" s="98" t="str">
        <v/>
      </c>
      <c r="BD21" s="98" t="str">
        <v/>
      </c>
      <c r="BE21" s="98" t="str">
        <v/>
      </c>
      <c r="BF21" s="98" t="str">
        <v/>
      </c>
      <c r="BG21" s="98" t="str">
        <v/>
      </c>
      <c r="BH21" s="98" t="str">
        <v/>
      </c>
      <c r="BI21" s="115" t="str">
        <v/>
      </c>
      <c r="BJ21" s="98" t="str">
        <v/>
      </c>
      <c r="BK21" s="100" t="str">
        <v/>
      </c>
      <c r="BL21" s="101" t="str">
        <v/>
      </c>
      <c r="BM21" s="101" t="str">
        <v/>
      </c>
      <c r="BN21" s="101" t="str">
        <v/>
      </c>
      <c r="BO21" s="101" t="str">
        <v/>
      </c>
      <c r="BP21" s="101" t="str">
        <v/>
      </c>
      <c r="BQ21" s="101" t="str">
        <v/>
      </c>
      <c r="BR21" s="101" t="str">
        <v/>
      </c>
      <c r="BS21" s="8" t="str">
        <v/>
      </c>
      <c r="BT21" s="102" t="str">
        <v/>
      </c>
      <c r="BU21" s="97"/>
      <c r="BV21" s="97"/>
    </row>
    <row r="22" spans="1:74">
      <c r="A22" s="104"/>
      <c r="B22" s="104"/>
      <c r="C22" s="99"/>
      <c r="D22" s="95"/>
      <c r="E22" s="94"/>
      <c r="F22" s="95"/>
      <c r="G22" s="94"/>
      <c r="H22" s="95"/>
      <c r="I22" s="94"/>
      <c r="J22" s="95"/>
      <c r="K22" s="94"/>
      <c r="L22" s="95"/>
      <c r="M22" s="98" t="str">
        <v/>
      </c>
      <c r="N22" s="98" t="str">
        <v/>
      </c>
      <c r="O22" s="98" t="str">
        <v/>
      </c>
      <c r="P22" s="98" t="str">
        <v/>
      </c>
      <c r="Q22" s="98" t="str">
        <v/>
      </c>
      <c r="R22" s="98" t="str">
        <v/>
      </c>
      <c r="S22" s="98" t="str">
        <v/>
      </c>
      <c r="T22" s="98" t="str">
        <v/>
      </c>
      <c r="U22" s="104" t="str">
        <v/>
      </c>
      <c r="V22" s="98" t="str">
        <v/>
      </c>
      <c r="W22" s="99"/>
      <c r="X22" s="95"/>
      <c r="Y22" s="94"/>
      <c r="Z22" s="95"/>
      <c r="AA22" s="94"/>
      <c r="AB22" s="95"/>
      <c r="AC22" s="94"/>
      <c r="AD22" s="95"/>
      <c r="AE22" s="94"/>
      <c r="AF22" s="95"/>
      <c r="AG22" s="98" t="str">
        <v/>
      </c>
      <c r="AH22" s="98" t="str">
        <v/>
      </c>
      <c r="AI22" s="98" t="str">
        <v/>
      </c>
      <c r="AJ22" s="98" t="str">
        <v/>
      </c>
      <c r="AK22" s="98" t="str">
        <v/>
      </c>
      <c r="AL22" s="98" t="str">
        <v/>
      </c>
      <c r="AM22" s="98" t="str">
        <v/>
      </c>
      <c r="AN22" s="98" t="str">
        <v/>
      </c>
      <c r="AO22" s="115" t="str">
        <v/>
      </c>
      <c r="AP22" s="98" t="str">
        <v/>
      </c>
      <c r="AQ22" s="99"/>
      <c r="AR22" s="95"/>
      <c r="AS22" s="94"/>
      <c r="AT22" s="95"/>
      <c r="AU22" s="94"/>
      <c r="AV22" s="95"/>
      <c r="AW22" s="94"/>
      <c r="AX22" s="95"/>
      <c r="AY22" s="94"/>
      <c r="AZ22" s="95"/>
      <c r="BA22" s="98" t="str">
        <v/>
      </c>
      <c r="BB22" s="98" t="str">
        <v/>
      </c>
      <c r="BC22" s="98" t="str">
        <v/>
      </c>
      <c r="BD22" s="98" t="str">
        <v/>
      </c>
      <c r="BE22" s="98" t="str">
        <v/>
      </c>
      <c r="BF22" s="98" t="str">
        <v/>
      </c>
      <c r="BG22" s="98" t="str">
        <v/>
      </c>
      <c r="BH22" s="98" t="str">
        <v/>
      </c>
      <c r="BI22" s="115" t="str">
        <v/>
      </c>
      <c r="BJ22" s="98" t="str">
        <v/>
      </c>
      <c r="BK22" s="100" t="str">
        <v/>
      </c>
      <c r="BL22" s="101" t="str">
        <v/>
      </c>
      <c r="BM22" s="101" t="str">
        <v/>
      </c>
      <c r="BN22" s="101" t="str">
        <v/>
      </c>
      <c r="BO22" s="101" t="str">
        <v/>
      </c>
      <c r="BP22" s="101" t="str">
        <v/>
      </c>
      <c r="BQ22" s="101" t="str">
        <v/>
      </c>
      <c r="BR22" s="101" t="str">
        <v/>
      </c>
      <c r="BS22" s="8" t="str">
        <v/>
      </c>
      <c r="BT22" s="102" t="str">
        <v/>
      </c>
      <c r="BU22" s="97"/>
      <c r="BV22" s="97"/>
    </row>
    <row r="23" spans="1:74">
      <c r="A23" s="104"/>
      <c r="B23" s="104"/>
      <c r="C23" s="99"/>
      <c r="D23" s="95"/>
      <c r="E23" s="94"/>
      <c r="F23" s="95"/>
      <c r="G23" s="94"/>
      <c r="H23" s="95"/>
      <c r="I23" s="94"/>
      <c r="J23" s="95"/>
      <c r="K23" s="94"/>
      <c r="L23" s="95"/>
      <c r="M23" s="98" t="str">
        <v/>
      </c>
      <c r="N23" s="98" t="str">
        <v/>
      </c>
      <c r="O23" s="98" t="str">
        <v/>
      </c>
      <c r="P23" s="98" t="str">
        <v/>
      </c>
      <c r="Q23" s="98" t="str">
        <v/>
      </c>
      <c r="R23" s="98" t="str">
        <v/>
      </c>
      <c r="S23" s="98" t="str">
        <v/>
      </c>
      <c r="T23" s="98" t="str">
        <v/>
      </c>
      <c r="U23" s="104" t="str">
        <v/>
      </c>
      <c r="V23" s="98" t="str">
        <v/>
      </c>
      <c r="W23" s="99"/>
      <c r="X23" s="95"/>
      <c r="Y23" s="94"/>
      <c r="Z23" s="95"/>
      <c r="AA23" s="94"/>
      <c r="AB23" s="95"/>
      <c r="AC23" s="94"/>
      <c r="AD23" s="95"/>
      <c r="AE23" s="94"/>
      <c r="AF23" s="95"/>
      <c r="AG23" s="98" t="str">
        <v/>
      </c>
      <c r="AH23" s="98" t="str">
        <v/>
      </c>
      <c r="AI23" s="98" t="str">
        <v/>
      </c>
      <c r="AJ23" s="98" t="str">
        <v/>
      </c>
      <c r="AK23" s="98" t="str">
        <v/>
      </c>
      <c r="AL23" s="98" t="str">
        <v/>
      </c>
      <c r="AM23" s="98" t="str">
        <v/>
      </c>
      <c r="AN23" s="98" t="str">
        <v/>
      </c>
      <c r="AO23" s="115" t="str">
        <v/>
      </c>
      <c r="AP23" s="98" t="str">
        <v/>
      </c>
      <c r="AQ23" s="99"/>
      <c r="AR23" s="95"/>
      <c r="AS23" s="94"/>
      <c r="AT23" s="95"/>
      <c r="AU23" s="94"/>
      <c r="AV23" s="95"/>
      <c r="AW23" s="94"/>
      <c r="AX23" s="95"/>
      <c r="AY23" s="94"/>
      <c r="AZ23" s="95"/>
      <c r="BA23" s="98" t="str">
        <v/>
      </c>
      <c r="BB23" s="98" t="str">
        <v/>
      </c>
      <c r="BC23" s="98" t="str">
        <v/>
      </c>
      <c r="BD23" s="98" t="str">
        <v/>
      </c>
      <c r="BE23" s="98" t="str">
        <v/>
      </c>
      <c r="BF23" s="98" t="str">
        <v/>
      </c>
      <c r="BG23" s="98" t="str">
        <v/>
      </c>
      <c r="BH23" s="98" t="str">
        <v/>
      </c>
      <c r="BI23" s="115" t="str">
        <v/>
      </c>
      <c r="BJ23" s="98" t="str">
        <v/>
      </c>
      <c r="BK23" s="100" t="str">
        <v/>
      </c>
      <c r="BL23" s="101" t="str">
        <v/>
      </c>
      <c r="BM23" s="101" t="str">
        <v/>
      </c>
      <c r="BN23" s="101" t="str">
        <v/>
      </c>
      <c r="BO23" s="101" t="str">
        <v/>
      </c>
      <c r="BP23" s="101" t="str">
        <v/>
      </c>
      <c r="BQ23" s="101" t="str">
        <v/>
      </c>
      <c r="BR23" s="101" t="str">
        <v/>
      </c>
      <c r="BS23" s="8" t="str">
        <v/>
      </c>
      <c r="BT23" s="102" t="str">
        <v/>
      </c>
      <c r="BU23" s="97"/>
      <c r="BV23" s="97"/>
    </row>
    <row r="24" spans="1:74">
      <c r="A24" s="104"/>
      <c r="B24" s="104"/>
      <c r="C24" s="99"/>
      <c r="D24" s="95"/>
      <c r="E24" s="94"/>
      <c r="F24" s="95"/>
      <c r="G24" s="94"/>
      <c r="H24" s="95"/>
      <c r="I24" s="94"/>
      <c r="J24" s="95"/>
      <c r="K24" s="94"/>
      <c r="L24" s="95"/>
      <c r="M24" s="98" t="str">
        <v/>
      </c>
      <c r="N24" s="98" t="str">
        <v/>
      </c>
      <c r="O24" s="98" t="str">
        <v/>
      </c>
      <c r="P24" s="98" t="str">
        <v/>
      </c>
      <c r="Q24" s="98" t="str">
        <v/>
      </c>
      <c r="R24" s="98" t="str">
        <v/>
      </c>
      <c r="S24" s="98" t="str">
        <v/>
      </c>
      <c r="T24" s="98" t="str">
        <v/>
      </c>
      <c r="U24" s="104" t="str">
        <v/>
      </c>
      <c r="V24" s="98" t="str">
        <v/>
      </c>
      <c r="W24" s="99"/>
      <c r="X24" s="95"/>
      <c r="Y24" s="94"/>
      <c r="Z24" s="95"/>
      <c r="AA24" s="94"/>
      <c r="AB24" s="95"/>
      <c r="AC24" s="94"/>
      <c r="AD24" s="95"/>
      <c r="AE24" s="94"/>
      <c r="AF24" s="95"/>
      <c r="AG24" s="98" t="str">
        <v/>
      </c>
      <c r="AH24" s="98" t="str">
        <v/>
      </c>
      <c r="AI24" s="98" t="str">
        <v/>
      </c>
      <c r="AJ24" s="98" t="str">
        <v/>
      </c>
      <c r="AK24" s="98" t="str">
        <v/>
      </c>
      <c r="AL24" s="98" t="str">
        <v/>
      </c>
      <c r="AM24" s="98" t="str">
        <v/>
      </c>
      <c r="AN24" s="98" t="str">
        <v/>
      </c>
      <c r="AO24" s="115" t="str">
        <v/>
      </c>
      <c r="AP24" s="98" t="str">
        <v/>
      </c>
      <c r="AQ24" s="99"/>
      <c r="AR24" s="95"/>
      <c r="AS24" s="94"/>
      <c r="AT24" s="95"/>
      <c r="AU24" s="94"/>
      <c r="AV24" s="95"/>
      <c r="AW24" s="94"/>
      <c r="AX24" s="95"/>
      <c r="AY24" s="94"/>
      <c r="AZ24" s="95"/>
      <c r="BA24" s="98" t="str">
        <v/>
      </c>
      <c r="BB24" s="98" t="str">
        <v/>
      </c>
      <c r="BC24" s="98" t="str">
        <v/>
      </c>
      <c r="BD24" s="98" t="str">
        <v/>
      </c>
      <c r="BE24" s="98" t="str">
        <v/>
      </c>
      <c r="BF24" s="98" t="str">
        <v/>
      </c>
      <c r="BG24" s="98" t="str">
        <v/>
      </c>
      <c r="BH24" s="98" t="str">
        <v/>
      </c>
      <c r="BI24" s="115" t="str">
        <v/>
      </c>
      <c r="BJ24" s="98" t="str">
        <v/>
      </c>
      <c r="BK24" s="100" t="str">
        <v/>
      </c>
      <c r="BL24" s="101" t="str">
        <v/>
      </c>
      <c r="BM24" s="101" t="str">
        <v/>
      </c>
      <c r="BN24" s="101" t="str">
        <v/>
      </c>
      <c r="BO24" s="101" t="str">
        <v/>
      </c>
      <c r="BP24" s="101" t="str">
        <v/>
      </c>
      <c r="BQ24" s="101" t="str">
        <v/>
      </c>
      <c r="BR24" s="101" t="str">
        <v/>
      </c>
      <c r="BS24" s="8" t="str">
        <v/>
      </c>
      <c r="BT24" s="102" t="str">
        <v/>
      </c>
      <c r="BU24" s="97"/>
      <c r="BV24" s="97"/>
    </row>
    <row r="25" spans="1:74">
      <c r="A25" s="104"/>
      <c r="B25" s="104"/>
      <c r="C25" s="99"/>
      <c r="D25" s="95"/>
      <c r="E25" s="94"/>
      <c r="F25" s="95"/>
      <c r="G25" s="94"/>
      <c r="H25" s="95"/>
      <c r="I25" s="94"/>
      <c r="J25" s="95"/>
      <c r="K25" s="94"/>
      <c r="L25" s="95"/>
      <c r="M25" s="98" t="str">
        <v/>
      </c>
      <c r="N25" s="98" t="str">
        <v/>
      </c>
      <c r="O25" s="98" t="str">
        <v/>
      </c>
      <c r="P25" s="98" t="str">
        <v/>
      </c>
      <c r="Q25" s="98" t="str">
        <v/>
      </c>
      <c r="R25" s="98" t="str">
        <v/>
      </c>
      <c r="S25" s="98" t="str">
        <v/>
      </c>
      <c r="T25" s="98" t="str">
        <v/>
      </c>
      <c r="U25" s="104" t="str">
        <v/>
      </c>
      <c r="V25" s="98" t="str">
        <v/>
      </c>
      <c r="W25" s="99"/>
      <c r="X25" s="95"/>
      <c r="Y25" s="94"/>
      <c r="Z25" s="95"/>
      <c r="AA25" s="94"/>
      <c r="AB25" s="95"/>
      <c r="AC25" s="94"/>
      <c r="AD25" s="95"/>
      <c r="AE25" s="94"/>
      <c r="AF25" s="95"/>
      <c r="AG25" s="98" t="str">
        <v/>
      </c>
      <c r="AH25" s="98" t="str">
        <v/>
      </c>
      <c r="AI25" s="98" t="str">
        <v/>
      </c>
      <c r="AJ25" s="98" t="str">
        <v/>
      </c>
      <c r="AK25" s="98" t="str">
        <v/>
      </c>
      <c r="AL25" s="98" t="str">
        <v/>
      </c>
      <c r="AM25" s="98" t="str">
        <v/>
      </c>
      <c r="AN25" s="98" t="str">
        <v/>
      </c>
      <c r="AO25" s="115" t="str">
        <v/>
      </c>
      <c r="AP25" s="98" t="str">
        <v/>
      </c>
      <c r="AQ25" s="99"/>
      <c r="AR25" s="95"/>
      <c r="AS25" s="94"/>
      <c r="AT25" s="95"/>
      <c r="AU25" s="94"/>
      <c r="AV25" s="95"/>
      <c r="AW25" s="94"/>
      <c r="AX25" s="95"/>
      <c r="AY25" s="94"/>
      <c r="AZ25" s="95"/>
      <c r="BA25" s="98" t="str">
        <v/>
      </c>
      <c r="BB25" s="98" t="str">
        <v/>
      </c>
      <c r="BC25" s="98" t="str">
        <v/>
      </c>
      <c r="BD25" s="98" t="str">
        <v/>
      </c>
      <c r="BE25" s="98" t="str">
        <v/>
      </c>
      <c r="BF25" s="98" t="str">
        <v/>
      </c>
      <c r="BG25" s="98" t="str">
        <v/>
      </c>
      <c r="BH25" s="98" t="str">
        <v/>
      </c>
      <c r="BI25" s="115" t="str">
        <v/>
      </c>
      <c r="BJ25" s="98" t="str">
        <v/>
      </c>
      <c r="BK25" s="100" t="str">
        <v/>
      </c>
      <c r="BL25" s="101" t="str">
        <v/>
      </c>
      <c r="BM25" s="101" t="str">
        <v/>
      </c>
      <c r="BN25" s="101" t="str">
        <v/>
      </c>
      <c r="BO25" s="101" t="str">
        <v/>
      </c>
      <c r="BP25" s="101" t="str">
        <v/>
      </c>
      <c r="BQ25" s="101" t="str">
        <v/>
      </c>
      <c r="BR25" s="101" t="str">
        <v/>
      </c>
      <c r="BS25" s="8" t="str">
        <v/>
      </c>
      <c r="BT25" s="102" t="str">
        <v/>
      </c>
      <c r="BU25" s="97"/>
      <c r="BV25" s="97"/>
    </row>
    <row r="26" spans="1:74">
      <c r="A26" s="104"/>
      <c r="B26" s="104"/>
      <c r="C26" s="99"/>
      <c r="D26" s="95"/>
      <c r="E26" s="94"/>
      <c r="F26" s="95"/>
      <c r="G26" s="94"/>
      <c r="H26" s="95"/>
      <c r="I26" s="94"/>
      <c r="J26" s="95"/>
      <c r="K26" s="94"/>
      <c r="L26" s="95"/>
      <c r="M26" s="98" t="str">
        <v/>
      </c>
      <c r="N26" s="98" t="str">
        <v/>
      </c>
      <c r="O26" s="98" t="str">
        <v/>
      </c>
      <c r="P26" s="98" t="str">
        <v/>
      </c>
      <c r="Q26" s="98" t="str">
        <v/>
      </c>
      <c r="R26" s="98" t="str">
        <v/>
      </c>
      <c r="S26" s="98" t="str">
        <v/>
      </c>
      <c r="T26" s="98" t="str">
        <v/>
      </c>
      <c r="U26" s="104" t="str">
        <v/>
      </c>
      <c r="V26" s="98" t="str">
        <v/>
      </c>
      <c r="W26" s="99"/>
      <c r="X26" s="95"/>
      <c r="Y26" s="94"/>
      <c r="Z26" s="95"/>
      <c r="AA26" s="94"/>
      <c r="AB26" s="95"/>
      <c r="AC26" s="94"/>
      <c r="AD26" s="95"/>
      <c r="AE26" s="94"/>
      <c r="AF26" s="95"/>
      <c r="AG26" s="98" t="str">
        <v/>
      </c>
      <c r="AH26" s="98" t="str">
        <v/>
      </c>
      <c r="AI26" s="98" t="str">
        <v/>
      </c>
      <c r="AJ26" s="98" t="str">
        <v/>
      </c>
      <c r="AK26" s="98" t="str">
        <v/>
      </c>
      <c r="AL26" s="98" t="str">
        <v/>
      </c>
      <c r="AM26" s="98" t="str">
        <v/>
      </c>
      <c r="AN26" s="98" t="str">
        <v/>
      </c>
      <c r="AO26" s="115" t="str">
        <v/>
      </c>
      <c r="AP26" s="98" t="str">
        <v/>
      </c>
      <c r="AQ26" s="99"/>
      <c r="AR26" s="95"/>
      <c r="AS26" s="94"/>
      <c r="AT26" s="95"/>
      <c r="AU26" s="94"/>
      <c r="AV26" s="95"/>
      <c r="AW26" s="94"/>
      <c r="AX26" s="95"/>
      <c r="AY26" s="94"/>
      <c r="AZ26" s="95"/>
      <c r="BA26" s="98" t="str">
        <v/>
      </c>
      <c r="BB26" s="98" t="str">
        <v/>
      </c>
      <c r="BC26" s="98" t="str">
        <v/>
      </c>
      <c r="BD26" s="98" t="str">
        <v/>
      </c>
      <c r="BE26" s="98" t="str">
        <v/>
      </c>
      <c r="BF26" s="98" t="str">
        <v/>
      </c>
      <c r="BG26" s="98" t="str">
        <v/>
      </c>
      <c r="BH26" s="98" t="str">
        <v/>
      </c>
      <c r="BI26" s="115" t="str">
        <v/>
      </c>
      <c r="BJ26" s="98" t="str">
        <v/>
      </c>
      <c r="BK26" s="100" t="str">
        <v/>
      </c>
      <c r="BL26" s="101" t="str">
        <v/>
      </c>
      <c r="BM26" s="101" t="str">
        <v/>
      </c>
      <c r="BN26" s="101" t="str">
        <v/>
      </c>
      <c r="BO26" s="101" t="str">
        <v/>
      </c>
      <c r="BP26" s="101" t="str">
        <v/>
      </c>
      <c r="BQ26" s="101" t="str">
        <v/>
      </c>
      <c r="BR26" s="101" t="str">
        <v/>
      </c>
      <c r="BS26" s="8" t="str">
        <v/>
      </c>
      <c r="BT26" s="102" t="str">
        <v/>
      </c>
      <c r="BU26" s="97"/>
      <c r="BV26" s="97"/>
    </row>
    <row r="27" spans="1:74">
      <c r="A27" s="104"/>
      <c r="B27" s="104"/>
      <c r="C27" s="99"/>
      <c r="D27" s="95"/>
      <c r="E27" s="94"/>
      <c r="F27" s="95"/>
      <c r="G27" s="94"/>
      <c r="H27" s="95"/>
      <c r="I27" s="94"/>
      <c r="J27" s="95"/>
      <c r="K27" s="94"/>
      <c r="L27" s="95"/>
      <c r="M27" s="98" t="str">
        <v/>
      </c>
      <c r="N27" s="98" t="str">
        <v/>
      </c>
      <c r="O27" s="98" t="str">
        <v/>
      </c>
      <c r="P27" s="98" t="str">
        <v/>
      </c>
      <c r="Q27" s="98" t="str">
        <v/>
      </c>
      <c r="R27" s="98" t="str">
        <v/>
      </c>
      <c r="S27" s="98" t="str">
        <v/>
      </c>
      <c r="T27" s="98" t="str">
        <v/>
      </c>
      <c r="U27" s="104" t="str">
        <v/>
      </c>
      <c r="V27" s="98" t="str">
        <v/>
      </c>
      <c r="W27" s="99"/>
      <c r="X27" s="95"/>
      <c r="Y27" s="94"/>
      <c r="Z27" s="95"/>
      <c r="AA27" s="94"/>
      <c r="AB27" s="95"/>
      <c r="AC27" s="94"/>
      <c r="AD27" s="95"/>
      <c r="AE27" s="94"/>
      <c r="AF27" s="95"/>
      <c r="AG27" s="98" t="str">
        <v/>
      </c>
      <c r="AH27" s="98" t="str">
        <v/>
      </c>
      <c r="AI27" s="98" t="str">
        <v/>
      </c>
      <c r="AJ27" s="98" t="str">
        <v/>
      </c>
      <c r="AK27" s="98" t="str">
        <v/>
      </c>
      <c r="AL27" s="98" t="str">
        <v/>
      </c>
      <c r="AM27" s="98" t="str">
        <v/>
      </c>
      <c r="AN27" s="98" t="str">
        <v/>
      </c>
      <c r="AO27" s="115" t="str">
        <v/>
      </c>
      <c r="AP27" s="98" t="str">
        <v/>
      </c>
      <c r="AQ27" s="99"/>
      <c r="AR27" s="95"/>
      <c r="AS27" s="94"/>
      <c r="AT27" s="95"/>
      <c r="AU27" s="94"/>
      <c r="AV27" s="95"/>
      <c r="AW27" s="94"/>
      <c r="AX27" s="95"/>
      <c r="AY27" s="94"/>
      <c r="AZ27" s="95"/>
      <c r="BA27" s="98" t="str">
        <v/>
      </c>
      <c r="BB27" s="98" t="str">
        <v/>
      </c>
      <c r="BC27" s="98" t="str">
        <v/>
      </c>
      <c r="BD27" s="98" t="str">
        <v/>
      </c>
      <c r="BE27" s="98" t="str">
        <v/>
      </c>
      <c r="BF27" s="98" t="str">
        <v/>
      </c>
      <c r="BG27" s="98" t="str">
        <v/>
      </c>
      <c r="BH27" s="98" t="str">
        <v/>
      </c>
      <c r="BI27" s="115" t="str">
        <v/>
      </c>
      <c r="BJ27" s="98" t="str">
        <v/>
      </c>
      <c r="BK27" s="100" t="str">
        <v/>
      </c>
      <c r="BL27" s="101" t="str">
        <v/>
      </c>
      <c r="BM27" s="101" t="str">
        <v/>
      </c>
      <c r="BN27" s="101" t="str">
        <v/>
      </c>
      <c r="BO27" s="101" t="str">
        <v/>
      </c>
      <c r="BP27" s="101" t="str">
        <v/>
      </c>
      <c r="BQ27" s="101" t="str">
        <v/>
      </c>
      <c r="BR27" s="101" t="str">
        <v/>
      </c>
      <c r="BS27" s="8" t="str">
        <v/>
      </c>
      <c r="BT27" s="102" t="str">
        <v/>
      </c>
      <c r="BU27" s="97"/>
      <c r="BV27" s="97"/>
    </row>
    <row r="28" spans="1:74">
      <c r="A28" s="104"/>
      <c r="B28" s="104"/>
      <c r="C28" s="99"/>
      <c r="D28" s="95"/>
      <c r="E28" s="94"/>
      <c r="F28" s="95"/>
      <c r="G28" s="94"/>
      <c r="H28" s="95"/>
      <c r="I28" s="94"/>
      <c r="J28" s="95"/>
      <c r="K28" s="94"/>
      <c r="L28" s="95"/>
      <c r="M28" s="98" t="str">
        <v/>
      </c>
      <c r="N28" s="98" t="str">
        <v/>
      </c>
      <c r="O28" s="98" t="str">
        <v/>
      </c>
      <c r="P28" s="98" t="str">
        <v/>
      </c>
      <c r="Q28" s="98" t="str">
        <v/>
      </c>
      <c r="R28" s="98" t="str">
        <v/>
      </c>
      <c r="S28" s="98" t="str">
        <v/>
      </c>
      <c r="T28" s="98" t="str">
        <v/>
      </c>
      <c r="U28" s="104" t="str">
        <v/>
      </c>
      <c r="V28" s="98" t="str">
        <v/>
      </c>
      <c r="W28" s="99"/>
      <c r="X28" s="95"/>
      <c r="Y28" s="94"/>
      <c r="Z28" s="95"/>
      <c r="AA28" s="94"/>
      <c r="AB28" s="95"/>
      <c r="AC28" s="94"/>
      <c r="AD28" s="95"/>
      <c r="AE28" s="94"/>
      <c r="AF28" s="95"/>
      <c r="AG28" s="98" t="str">
        <v/>
      </c>
      <c r="AH28" s="98" t="str">
        <v/>
      </c>
      <c r="AI28" s="98" t="str">
        <v/>
      </c>
      <c r="AJ28" s="98" t="str">
        <v/>
      </c>
      <c r="AK28" s="98" t="str">
        <v/>
      </c>
      <c r="AL28" s="98" t="str">
        <v/>
      </c>
      <c r="AM28" s="98" t="str">
        <v/>
      </c>
      <c r="AN28" s="98" t="str">
        <v/>
      </c>
      <c r="AO28" s="115" t="str">
        <v/>
      </c>
      <c r="AP28" s="98" t="str">
        <v/>
      </c>
      <c r="AQ28" s="99"/>
      <c r="AR28" s="95"/>
      <c r="AS28" s="94"/>
      <c r="AT28" s="95"/>
      <c r="AU28" s="94"/>
      <c r="AV28" s="95"/>
      <c r="AW28" s="94"/>
      <c r="AX28" s="95"/>
      <c r="AY28" s="94"/>
      <c r="AZ28" s="95"/>
      <c r="BA28" s="98" t="str">
        <v/>
      </c>
      <c r="BB28" s="98" t="str">
        <v/>
      </c>
      <c r="BC28" s="98" t="str">
        <v/>
      </c>
      <c r="BD28" s="98" t="str">
        <v/>
      </c>
      <c r="BE28" s="98" t="str">
        <v/>
      </c>
      <c r="BF28" s="98" t="str">
        <v/>
      </c>
      <c r="BG28" s="98" t="str">
        <v/>
      </c>
      <c r="BH28" s="98" t="str">
        <v/>
      </c>
      <c r="BI28" s="115" t="str">
        <v/>
      </c>
      <c r="BJ28" s="98" t="str">
        <v/>
      </c>
      <c r="BK28" s="100" t="str">
        <v/>
      </c>
      <c r="BL28" s="101" t="str">
        <v/>
      </c>
      <c r="BM28" s="101" t="str">
        <v/>
      </c>
      <c r="BN28" s="101" t="str">
        <v/>
      </c>
      <c r="BO28" s="101" t="str">
        <v/>
      </c>
      <c r="BP28" s="101" t="str">
        <v/>
      </c>
      <c r="BQ28" s="101" t="str">
        <v/>
      </c>
      <c r="BR28" s="101" t="str">
        <v/>
      </c>
      <c r="BS28" s="8" t="str">
        <v/>
      </c>
      <c r="BT28" s="102" t="str">
        <v/>
      </c>
      <c r="BU28" s="97"/>
      <c r="BV28" s="97"/>
    </row>
    <row r="29" spans="1:74">
      <c r="A29" s="104"/>
      <c r="B29" s="104"/>
      <c r="C29" s="99"/>
      <c r="D29" s="95"/>
      <c r="E29" s="94"/>
      <c r="F29" s="95"/>
      <c r="G29" s="94"/>
      <c r="H29" s="95"/>
      <c r="I29" s="94"/>
      <c r="J29" s="95"/>
      <c r="K29" s="94"/>
      <c r="L29" s="95"/>
      <c r="M29" s="98" t="str">
        <v/>
      </c>
      <c r="N29" s="98" t="str">
        <v/>
      </c>
      <c r="O29" s="98" t="str">
        <v/>
      </c>
      <c r="P29" s="98" t="str">
        <v/>
      </c>
      <c r="Q29" s="98" t="str">
        <v/>
      </c>
      <c r="R29" s="98" t="str">
        <v/>
      </c>
      <c r="S29" s="98" t="str">
        <v/>
      </c>
      <c r="T29" s="98" t="str">
        <v/>
      </c>
      <c r="U29" s="104" t="str">
        <v/>
      </c>
      <c r="V29" s="98" t="str">
        <v/>
      </c>
      <c r="W29" s="99"/>
      <c r="X29" s="95"/>
      <c r="Y29" s="94"/>
      <c r="Z29" s="95"/>
      <c r="AA29" s="94"/>
      <c r="AB29" s="95"/>
      <c r="AC29" s="94"/>
      <c r="AD29" s="95"/>
      <c r="AE29" s="94"/>
      <c r="AF29" s="95"/>
      <c r="AG29" s="98" t="str">
        <v/>
      </c>
      <c r="AH29" s="98" t="str">
        <v/>
      </c>
      <c r="AI29" s="98" t="str">
        <v/>
      </c>
      <c r="AJ29" s="98" t="str">
        <v/>
      </c>
      <c r="AK29" s="98" t="str">
        <v/>
      </c>
      <c r="AL29" s="98" t="str">
        <v/>
      </c>
      <c r="AM29" s="98" t="str">
        <v/>
      </c>
      <c r="AN29" s="98" t="str">
        <v/>
      </c>
      <c r="AO29" s="115" t="str">
        <v/>
      </c>
      <c r="AP29" s="98" t="str">
        <v/>
      </c>
      <c r="AQ29" s="99"/>
      <c r="AR29" s="95"/>
      <c r="AS29" s="94"/>
      <c r="AT29" s="95"/>
      <c r="AU29" s="94"/>
      <c r="AV29" s="95"/>
      <c r="AW29" s="94"/>
      <c r="AX29" s="95"/>
      <c r="AY29" s="94"/>
      <c r="AZ29" s="95"/>
      <c r="BA29" s="98" t="str">
        <v/>
      </c>
      <c r="BB29" s="98" t="str">
        <v/>
      </c>
      <c r="BC29" s="98" t="str">
        <v/>
      </c>
      <c r="BD29" s="98" t="str">
        <v/>
      </c>
      <c r="BE29" s="98" t="str">
        <v/>
      </c>
      <c r="BF29" s="98" t="str">
        <v/>
      </c>
      <c r="BG29" s="98" t="str">
        <v/>
      </c>
      <c r="BH29" s="98" t="str">
        <v/>
      </c>
      <c r="BI29" s="115" t="str">
        <v/>
      </c>
      <c r="BJ29" s="98" t="str">
        <v/>
      </c>
      <c r="BK29" s="100" t="str">
        <v/>
      </c>
      <c r="BL29" s="101" t="str">
        <v/>
      </c>
      <c r="BM29" s="101" t="str">
        <v/>
      </c>
      <c r="BN29" s="101" t="str">
        <v/>
      </c>
      <c r="BO29" s="101" t="str">
        <v/>
      </c>
      <c r="BP29" s="101" t="str">
        <v/>
      </c>
      <c r="BQ29" s="101" t="str">
        <v/>
      </c>
      <c r="BR29" s="101" t="str">
        <v/>
      </c>
      <c r="BS29" s="8" t="str">
        <v/>
      </c>
      <c r="BT29" s="102" t="str">
        <v/>
      </c>
      <c r="BU29" s="97"/>
      <c r="BV29" s="97"/>
    </row>
    <row r="30" spans="1:74">
      <c r="A30" s="104"/>
      <c r="B30" s="104"/>
      <c r="C30" s="99"/>
      <c r="D30" s="95"/>
      <c r="E30" s="94"/>
      <c r="F30" s="95"/>
      <c r="G30" s="94"/>
      <c r="H30" s="95"/>
      <c r="I30" s="94"/>
      <c r="J30" s="95"/>
      <c r="K30" s="94"/>
      <c r="L30" s="95"/>
      <c r="M30" s="98" t="str">
        <v/>
      </c>
      <c r="N30" s="98" t="str">
        <v/>
      </c>
      <c r="O30" s="98" t="str">
        <v/>
      </c>
      <c r="P30" s="98" t="str">
        <v/>
      </c>
      <c r="Q30" s="98" t="str">
        <v/>
      </c>
      <c r="R30" s="98" t="str">
        <v/>
      </c>
      <c r="S30" s="98" t="str">
        <v/>
      </c>
      <c r="T30" s="98" t="str">
        <v/>
      </c>
      <c r="U30" s="104" t="str">
        <v/>
      </c>
      <c r="V30" s="98" t="str">
        <v/>
      </c>
      <c r="W30" s="99"/>
      <c r="X30" s="95"/>
      <c r="Y30" s="94"/>
      <c r="Z30" s="95"/>
      <c r="AA30" s="94"/>
      <c r="AB30" s="95"/>
      <c r="AC30" s="94"/>
      <c r="AD30" s="95"/>
      <c r="AE30" s="94"/>
      <c r="AF30" s="95"/>
      <c r="AG30" s="98" t="str">
        <v/>
      </c>
      <c r="AH30" s="98" t="str">
        <v/>
      </c>
      <c r="AI30" s="98" t="str">
        <v/>
      </c>
      <c r="AJ30" s="98" t="str">
        <v/>
      </c>
      <c r="AK30" s="98" t="str">
        <v/>
      </c>
      <c r="AL30" s="98" t="str">
        <v/>
      </c>
      <c r="AM30" s="98" t="str">
        <v/>
      </c>
      <c r="AN30" s="98" t="str">
        <v/>
      </c>
      <c r="AO30" s="115" t="str">
        <v/>
      </c>
      <c r="AP30" s="98" t="str">
        <v/>
      </c>
      <c r="AQ30" s="99"/>
      <c r="AR30" s="95"/>
      <c r="AS30" s="94"/>
      <c r="AT30" s="95"/>
      <c r="AU30" s="94"/>
      <c r="AV30" s="95"/>
      <c r="AW30" s="94"/>
      <c r="AX30" s="95"/>
      <c r="AY30" s="94"/>
      <c r="AZ30" s="95"/>
      <c r="BA30" s="98" t="str">
        <v/>
      </c>
      <c r="BB30" s="98" t="str">
        <v/>
      </c>
      <c r="BC30" s="98" t="str">
        <v/>
      </c>
      <c r="BD30" s="98" t="str">
        <v/>
      </c>
      <c r="BE30" s="98" t="str">
        <v/>
      </c>
      <c r="BF30" s="98" t="str">
        <v/>
      </c>
      <c r="BG30" s="98" t="str">
        <v/>
      </c>
      <c r="BH30" s="98" t="str">
        <v/>
      </c>
      <c r="BI30" s="115" t="str">
        <v/>
      </c>
      <c r="BJ30" s="98" t="str">
        <v/>
      </c>
      <c r="BK30" s="100" t="str">
        <v/>
      </c>
      <c r="BL30" s="101" t="str">
        <v/>
      </c>
      <c r="BM30" s="101" t="str">
        <v/>
      </c>
      <c r="BN30" s="101" t="str">
        <v/>
      </c>
      <c r="BO30" s="101" t="str">
        <v/>
      </c>
      <c r="BP30" s="101" t="str">
        <v/>
      </c>
      <c r="BQ30" s="101" t="str">
        <v/>
      </c>
      <c r="BR30" s="101" t="str">
        <v/>
      </c>
      <c r="BS30" s="8" t="str">
        <v/>
      </c>
      <c r="BT30" s="102" t="str">
        <v/>
      </c>
      <c r="BU30" s="97"/>
      <c r="BV30" s="97"/>
    </row>
    <row r="31" spans="1:74">
      <c r="A31" s="104"/>
      <c r="B31" s="104"/>
      <c r="C31" s="99"/>
      <c r="D31" s="95"/>
      <c r="E31" s="94"/>
      <c r="F31" s="95"/>
      <c r="G31" s="94"/>
      <c r="H31" s="95"/>
      <c r="I31" s="94"/>
      <c r="J31" s="95"/>
      <c r="K31" s="94"/>
      <c r="L31" s="95"/>
      <c r="M31" s="98" t="str">
        <v/>
      </c>
      <c r="N31" s="98" t="str">
        <v/>
      </c>
      <c r="O31" s="98" t="str">
        <v/>
      </c>
      <c r="P31" s="98" t="str">
        <v/>
      </c>
      <c r="Q31" s="98" t="str">
        <v/>
      </c>
      <c r="R31" s="98" t="str">
        <v/>
      </c>
      <c r="S31" s="98" t="str">
        <v/>
      </c>
      <c r="T31" s="98" t="str">
        <v/>
      </c>
      <c r="U31" s="104" t="str">
        <v/>
      </c>
      <c r="V31" s="98" t="str">
        <v/>
      </c>
      <c r="W31" s="99"/>
      <c r="X31" s="95"/>
      <c r="Y31" s="94"/>
      <c r="Z31" s="95"/>
      <c r="AA31" s="94"/>
      <c r="AB31" s="95"/>
      <c r="AC31" s="94"/>
      <c r="AD31" s="95"/>
      <c r="AE31" s="94"/>
      <c r="AF31" s="95"/>
      <c r="AG31" s="98" t="str">
        <v/>
      </c>
      <c r="AH31" s="98" t="str">
        <v/>
      </c>
      <c r="AI31" s="98" t="str">
        <v/>
      </c>
      <c r="AJ31" s="98" t="str">
        <v/>
      </c>
      <c r="AK31" s="98" t="str">
        <v/>
      </c>
      <c r="AL31" s="98" t="str">
        <v/>
      </c>
      <c r="AM31" s="98" t="str">
        <v/>
      </c>
      <c r="AN31" s="98" t="str">
        <v/>
      </c>
      <c r="AO31" s="115" t="str">
        <v/>
      </c>
      <c r="AP31" s="98" t="str">
        <v/>
      </c>
      <c r="AQ31" s="99"/>
      <c r="AR31" s="95"/>
      <c r="AS31" s="94"/>
      <c r="AT31" s="95"/>
      <c r="AU31" s="94"/>
      <c r="AV31" s="95"/>
      <c r="AW31" s="94"/>
      <c r="AX31" s="95"/>
      <c r="AY31" s="94"/>
      <c r="AZ31" s="95"/>
      <c r="BA31" s="98" t="str">
        <v/>
      </c>
      <c r="BB31" s="98" t="str">
        <v/>
      </c>
      <c r="BC31" s="98" t="str">
        <v/>
      </c>
      <c r="BD31" s="98" t="str">
        <v/>
      </c>
      <c r="BE31" s="98" t="str">
        <v/>
      </c>
      <c r="BF31" s="98" t="str">
        <v/>
      </c>
      <c r="BG31" s="98" t="str">
        <v/>
      </c>
      <c r="BH31" s="98" t="str">
        <v/>
      </c>
      <c r="BI31" s="115" t="str">
        <v/>
      </c>
      <c r="BJ31" s="98" t="str">
        <v/>
      </c>
      <c r="BK31" s="100" t="str">
        <v/>
      </c>
      <c r="BL31" s="101" t="str">
        <v/>
      </c>
      <c r="BM31" s="101" t="str">
        <v/>
      </c>
      <c r="BN31" s="101" t="str">
        <v/>
      </c>
      <c r="BO31" s="101" t="str">
        <v/>
      </c>
      <c r="BP31" s="101" t="str">
        <v/>
      </c>
      <c r="BQ31" s="101" t="str">
        <v/>
      </c>
      <c r="BR31" s="101" t="str">
        <v/>
      </c>
      <c r="BS31" s="8" t="str">
        <v/>
      </c>
      <c r="BT31" s="102" t="str">
        <v/>
      </c>
      <c r="BU31" s="97"/>
      <c r="BV31" s="97"/>
    </row>
    <row r="32" spans="1:74">
      <c r="A32" s="104"/>
      <c r="B32" s="104"/>
      <c r="C32" s="99"/>
      <c r="D32" s="95"/>
      <c r="E32" s="94"/>
      <c r="F32" s="95"/>
      <c r="G32" s="94"/>
      <c r="H32" s="95"/>
      <c r="I32" s="94"/>
      <c r="J32" s="95"/>
      <c r="K32" s="94"/>
      <c r="L32" s="95"/>
      <c r="M32" s="98" t="str">
        <v/>
      </c>
      <c r="N32" s="98" t="str">
        <v/>
      </c>
      <c r="O32" s="98" t="str">
        <v/>
      </c>
      <c r="P32" s="98" t="str">
        <v/>
      </c>
      <c r="Q32" s="98" t="str">
        <v/>
      </c>
      <c r="R32" s="98" t="str">
        <v/>
      </c>
      <c r="S32" s="98" t="str">
        <v/>
      </c>
      <c r="T32" s="98" t="str">
        <v/>
      </c>
      <c r="U32" s="104" t="str">
        <v/>
      </c>
      <c r="V32" s="98" t="str">
        <v/>
      </c>
      <c r="W32" s="99"/>
      <c r="X32" s="95"/>
      <c r="Y32" s="94"/>
      <c r="Z32" s="95"/>
      <c r="AA32" s="94"/>
      <c r="AB32" s="95"/>
      <c r="AC32" s="94"/>
      <c r="AD32" s="95"/>
      <c r="AE32" s="94"/>
      <c r="AF32" s="95"/>
      <c r="AG32" s="98" t="str">
        <v/>
      </c>
      <c r="AH32" s="98" t="str">
        <v/>
      </c>
      <c r="AI32" s="98" t="str">
        <v/>
      </c>
      <c r="AJ32" s="98" t="str">
        <v/>
      </c>
      <c r="AK32" s="98" t="str">
        <v/>
      </c>
      <c r="AL32" s="98" t="str">
        <v/>
      </c>
      <c r="AM32" s="98" t="str">
        <v/>
      </c>
      <c r="AN32" s="98" t="str">
        <v/>
      </c>
      <c r="AO32" s="115" t="str">
        <v/>
      </c>
      <c r="AP32" s="98" t="str">
        <v/>
      </c>
      <c r="AQ32" s="99"/>
      <c r="AR32" s="95"/>
      <c r="AS32" s="94"/>
      <c r="AT32" s="95"/>
      <c r="AU32" s="94"/>
      <c r="AV32" s="95"/>
      <c r="AW32" s="94"/>
      <c r="AX32" s="95"/>
      <c r="AY32" s="94"/>
      <c r="AZ32" s="95"/>
      <c r="BA32" s="98" t="str">
        <v/>
      </c>
      <c r="BB32" s="98" t="str">
        <v/>
      </c>
      <c r="BC32" s="98" t="str">
        <v/>
      </c>
      <c r="BD32" s="98" t="str">
        <v/>
      </c>
      <c r="BE32" s="98" t="str">
        <v/>
      </c>
      <c r="BF32" s="98" t="str">
        <v/>
      </c>
      <c r="BG32" s="98" t="str">
        <v/>
      </c>
      <c r="BH32" s="98" t="str">
        <v/>
      </c>
      <c r="BI32" s="115" t="str">
        <v/>
      </c>
      <c r="BJ32" s="98" t="str">
        <v/>
      </c>
      <c r="BK32" s="100" t="str">
        <v/>
      </c>
      <c r="BL32" s="101" t="str">
        <v/>
      </c>
      <c r="BM32" s="101" t="str">
        <v/>
      </c>
      <c r="BN32" s="101" t="str">
        <v/>
      </c>
      <c r="BO32" s="101" t="str">
        <v/>
      </c>
      <c r="BP32" s="101" t="str">
        <v/>
      </c>
      <c r="BQ32" s="101" t="str">
        <v/>
      </c>
      <c r="BR32" s="101" t="str">
        <v/>
      </c>
      <c r="BS32" s="8" t="str">
        <v/>
      </c>
      <c r="BT32" s="102" t="str">
        <v/>
      </c>
      <c r="BU32" s="97"/>
      <c r="BV32" s="97"/>
    </row>
    <row r="33" spans="1:74">
      <c r="A33" s="104"/>
      <c r="B33" s="104"/>
      <c r="C33" s="99"/>
      <c r="D33" s="95"/>
      <c r="E33" s="94"/>
      <c r="F33" s="95"/>
      <c r="G33" s="94"/>
      <c r="H33" s="95"/>
      <c r="I33" s="94"/>
      <c r="J33" s="95"/>
      <c r="K33" s="94"/>
      <c r="L33" s="95"/>
      <c r="M33" s="98" t="str">
        <v/>
      </c>
      <c r="N33" s="98" t="str">
        <v/>
      </c>
      <c r="O33" s="98" t="str">
        <v/>
      </c>
      <c r="P33" s="98" t="str">
        <v/>
      </c>
      <c r="Q33" s="98" t="str">
        <v/>
      </c>
      <c r="R33" s="98" t="str">
        <v/>
      </c>
      <c r="S33" s="98" t="str">
        <v/>
      </c>
      <c r="T33" s="98" t="str">
        <v/>
      </c>
      <c r="U33" s="104" t="str">
        <v/>
      </c>
      <c r="V33" s="98" t="str">
        <v/>
      </c>
      <c r="W33" s="99"/>
      <c r="X33" s="95"/>
      <c r="Y33" s="94"/>
      <c r="Z33" s="95"/>
      <c r="AA33" s="94"/>
      <c r="AB33" s="95"/>
      <c r="AC33" s="94"/>
      <c r="AD33" s="95"/>
      <c r="AE33" s="94"/>
      <c r="AF33" s="95"/>
      <c r="AG33" s="98" t="str">
        <v/>
      </c>
      <c r="AH33" s="98" t="str">
        <v/>
      </c>
      <c r="AI33" s="98" t="str">
        <v/>
      </c>
      <c r="AJ33" s="98" t="str">
        <v/>
      </c>
      <c r="AK33" s="98" t="str">
        <v/>
      </c>
      <c r="AL33" s="98" t="str">
        <v/>
      </c>
      <c r="AM33" s="98" t="str">
        <v/>
      </c>
      <c r="AN33" s="98" t="str">
        <v/>
      </c>
      <c r="AO33" s="115" t="str">
        <v/>
      </c>
      <c r="AP33" s="98" t="str">
        <v/>
      </c>
      <c r="AQ33" s="99"/>
      <c r="AR33" s="95"/>
      <c r="AS33" s="94"/>
      <c r="AT33" s="95"/>
      <c r="AU33" s="94"/>
      <c r="AV33" s="95"/>
      <c r="AW33" s="94"/>
      <c r="AX33" s="95"/>
      <c r="AY33" s="94"/>
      <c r="AZ33" s="95"/>
      <c r="BA33" s="98" t="str">
        <v/>
      </c>
      <c r="BB33" s="98" t="str">
        <v/>
      </c>
      <c r="BC33" s="98" t="str">
        <v/>
      </c>
      <c r="BD33" s="98" t="str">
        <v/>
      </c>
      <c r="BE33" s="98" t="str">
        <v/>
      </c>
      <c r="BF33" s="98" t="str">
        <v/>
      </c>
      <c r="BG33" s="98" t="str">
        <v/>
      </c>
      <c r="BH33" s="98" t="str">
        <v/>
      </c>
      <c r="BI33" s="115" t="str">
        <v/>
      </c>
      <c r="BJ33" s="98" t="str">
        <v/>
      </c>
      <c r="BK33" s="100" t="str">
        <v/>
      </c>
      <c r="BL33" s="101" t="str">
        <v/>
      </c>
      <c r="BM33" s="101" t="str">
        <v/>
      </c>
      <c r="BN33" s="101" t="str">
        <v/>
      </c>
      <c r="BO33" s="101" t="str">
        <v/>
      </c>
      <c r="BP33" s="101" t="str">
        <v/>
      </c>
      <c r="BQ33" s="101" t="str">
        <v/>
      </c>
      <c r="BR33" s="101" t="str">
        <v/>
      </c>
      <c r="BS33" s="8" t="str">
        <v/>
      </c>
      <c r="BT33" s="102" t="str">
        <v/>
      </c>
      <c r="BU33" s="97"/>
      <c r="BV33" s="97"/>
    </row>
    <row r="34" spans="1:74">
      <c r="A34" s="104"/>
      <c r="B34" s="104"/>
      <c r="C34" s="99"/>
      <c r="D34" s="95"/>
      <c r="E34" s="94"/>
      <c r="F34" s="95"/>
      <c r="G34" s="94"/>
      <c r="H34" s="95"/>
      <c r="I34" s="94"/>
      <c r="J34" s="95"/>
      <c r="K34" s="94"/>
      <c r="L34" s="95"/>
      <c r="M34" s="98" t="str">
        <v/>
      </c>
      <c r="N34" s="98" t="str">
        <v/>
      </c>
      <c r="O34" s="98" t="str">
        <v/>
      </c>
      <c r="P34" s="98" t="str">
        <v/>
      </c>
      <c r="Q34" s="98" t="str">
        <v/>
      </c>
      <c r="R34" s="98" t="str">
        <v/>
      </c>
      <c r="S34" s="98" t="str">
        <v/>
      </c>
      <c r="T34" s="98" t="str">
        <v/>
      </c>
      <c r="U34" s="104" t="str">
        <v/>
      </c>
      <c r="V34" s="98" t="str">
        <v/>
      </c>
      <c r="W34" s="99"/>
      <c r="X34" s="95"/>
      <c r="Y34" s="94"/>
      <c r="Z34" s="95"/>
      <c r="AA34" s="94"/>
      <c r="AB34" s="95"/>
      <c r="AC34" s="94"/>
      <c r="AD34" s="95"/>
      <c r="AE34" s="94"/>
      <c r="AF34" s="95"/>
      <c r="AG34" s="98" t="str">
        <v/>
      </c>
      <c r="AH34" s="98" t="str">
        <v/>
      </c>
      <c r="AI34" s="98" t="str">
        <v/>
      </c>
      <c r="AJ34" s="98" t="str">
        <v/>
      </c>
      <c r="AK34" s="98" t="str">
        <v/>
      </c>
      <c r="AL34" s="98" t="str">
        <v/>
      </c>
      <c r="AM34" s="98" t="str">
        <v/>
      </c>
      <c r="AN34" s="98" t="str">
        <v/>
      </c>
      <c r="AO34" s="115" t="str">
        <v/>
      </c>
      <c r="AP34" s="98" t="str">
        <v/>
      </c>
      <c r="AQ34" s="99"/>
      <c r="AR34" s="95"/>
      <c r="AS34" s="94"/>
      <c r="AT34" s="95"/>
      <c r="AU34" s="94"/>
      <c r="AV34" s="95"/>
      <c r="AW34" s="94"/>
      <c r="AX34" s="95"/>
      <c r="AY34" s="94"/>
      <c r="AZ34" s="95"/>
      <c r="BA34" s="98" t="str">
        <v/>
      </c>
      <c r="BB34" s="98" t="str">
        <v/>
      </c>
      <c r="BC34" s="98" t="str">
        <v/>
      </c>
      <c r="BD34" s="98" t="str">
        <v/>
      </c>
      <c r="BE34" s="98" t="str">
        <v/>
      </c>
      <c r="BF34" s="98" t="str">
        <v/>
      </c>
      <c r="BG34" s="98" t="str">
        <v/>
      </c>
      <c r="BH34" s="98" t="str">
        <v/>
      </c>
      <c r="BI34" s="115" t="str">
        <v/>
      </c>
      <c r="BJ34" s="98" t="str">
        <v/>
      </c>
      <c r="BK34" s="100" t="str">
        <v/>
      </c>
      <c r="BL34" s="101" t="str">
        <v/>
      </c>
      <c r="BM34" s="101" t="str">
        <v/>
      </c>
      <c r="BN34" s="101" t="str">
        <v/>
      </c>
      <c r="BO34" s="101" t="str">
        <v/>
      </c>
      <c r="BP34" s="101" t="str">
        <v/>
      </c>
      <c r="BQ34" s="101" t="str">
        <v/>
      </c>
      <c r="BR34" s="101" t="str">
        <v/>
      </c>
      <c r="BS34" s="8" t="str">
        <v/>
      </c>
      <c r="BT34" s="102" t="str">
        <v/>
      </c>
      <c r="BU34" s="97"/>
      <c r="BV34" s="97"/>
    </row>
    <row r="35" spans="1:74">
      <c r="A35" s="104"/>
      <c r="B35" s="104"/>
      <c r="C35" s="99"/>
      <c r="D35" s="95"/>
      <c r="E35" s="94"/>
      <c r="F35" s="95"/>
      <c r="G35" s="94"/>
      <c r="H35" s="95"/>
      <c r="I35" s="94"/>
      <c r="J35" s="95"/>
      <c r="K35" s="94"/>
      <c r="L35" s="95"/>
      <c r="M35" s="98" t="str">
        <v/>
      </c>
      <c r="N35" s="98" t="str">
        <v/>
      </c>
      <c r="O35" s="98" t="str">
        <v/>
      </c>
      <c r="P35" s="98" t="str">
        <v/>
      </c>
      <c r="Q35" s="98" t="str">
        <v/>
      </c>
      <c r="R35" s="98" t="str">
        <v/>
      </c>
      <c r="S35" s="98" t="str">
        <v/>
      </c>
      <c r="T35" s="98" t="str">
        <v/>
      </c>
      <c r="U35" s="104" t="str">
        <v/>
      </c>
      <c r="V35" s="98" t="str">
        <v/>
      </c>
      <c r="W35" s="99"/>
      <c r="X35" s="95"/>
      <c r="Y35" s="94"/>
      <c r="Z35" s="95"/>
      <c r="AA35" s="94"/>
      <c r="AB35" s="95"/>
      <c r="AC35" s="94"/>
      <c r="AD35" s="95"/>
      <c r="AE35" s="94"/>
      <c r="AF35" s="95"/>
      <c r="AG35" s="98" t="str">
        <v/>
      </c>
      <c r="AH35" s="98" t="str">
        <v/>
      </c>
      <c r="AI35" s="98" t="str">
        <v/>
      </c>
      <c r="AJ35" s="98" t="str">
        <v/>
      </c>
      <c r="AK35" s="98" t="str">
        <v/>
      </c>
      <c r="AL35" s="98" t="str">
        <v/>
      </c>
      <c r="AM35" s="98" t="str">
        <v/>
      </c>
      <c r="AN35" s="98" t="str">
        <v/>
      </c>
      <c r="AO35" s="115" t="str">
        <v/>
      </c>
      <c r="AP35" s="98" t="str">
        <v/>
      </c>
      <c r="AQ35" s="99"/>
      <c r="AR35" s="95"/>
      <c r="AS35" s="94"/>
      <c r="AT35" s="95"/>
      <c r="AU35" s="94"/>
      <c r="AV35" s="95"/>
      <c r="AW35" s="94"/>
      <c r="AX35" s="95"/>
      <c r="AY35" s="94"/>
      <c r="AZ35" s="95"/>
      <c r="BA35" s="98" t="str">
        <v/>
      </c>
      <c r="BB35" s="98" t="str">
        <v/>
      </c>
      <c r="BC35" s="98" t="str">
        <v/>
      </c>
      <c r="BD35" s="98" t="str">
        <v/>
      </c>
      <c r="BE35" s="98" t="str">
        <v/>
      </c>
      <c r="BF35" s="98" t="str">
        <v/>
      </c>
      <c r="BG35" s="98" t="str">
        <v/>
      </c>
      <c r="BH35" s="98" t="str">
        <v/>
      </c>
      <c r="BI35" s="115" t="str">
        <v/>
      </c>
      <c r="BJ35" s="98" t="str">
        <v/>
      </c>
      <c r="BK35" s="100" t="str">
        <v/>
      </c>
      <c r="BL35" s="101" t="str">
        <v/>
      </c>
      <c r="BM35" s="101" t="str">
        <v/>
      </c>
      <c r="BN35" s="101" t="str">
        <v/>
      </c>
      <c r="BO35" s="101" t="str">
        <v/>
      </c>
      <c r="BP35" s="101" t="str">
        <v/>
      </c>
      <c r="BQ35" s="101" t="str">
        <v/>
      </c>
      <c r="BR35" s="101" t="str">
        <v/>
      </c>
      <c r="BS35" s="8" t="str">
        <v/>
      </c>
      <c r="BT35" s="102" t="str">
        <v/>
      </c>
      <c r="BU35" s="97"/>
      <c r="BV35" s="97"/>
    </row>
    <row r="36" spans="1:74">
      <c r="A36" s="104"/>
      <c r="B36" s="104"/>
      <c r="C36" s="99"/>
      <c r="D36" s="95"/>
      <c r="E36" s="94"/>
      <c r="F36" s="95"/>
      <c r="G36" s="94"/>
      <c r="H36" s="95"/>
      <c r="I36" s="94"/>
      <c r="J36" s="95"/>
      <c r="K36" s="94"/>
      <c r="L36" s="95"/>
      <c r="M36" s="98" t="str">
        <v/>
      </c>
      <c r="N36" s="98" t="str">
        <v/>
      </c>
      <c r="O36" s="98" t="str">
        <v/>
      </c>
      <c r="P36" s="98" t="str">
        <v/>
      </c>
      <c r="Q36" s="98" t="str">
        <v/>
      </c>
      <c r="R36" s="98" t="str">
        <v/>
      </c>
      <c r="S36" s="98" t="str">
        <v/>
      </c>
      <c r="T36" s="98" t="str">
        <v/>
      </c>
      <c r="U36" s="104" t="str">
        <v/>
      </c>
      <c r="V36" s="98" t="str">
        <v/>
      </c>
      <c r="W36" s="99"/>
      <c r="X36" s="95"/>
      <c r="Y36" s="94"/>
      <c r="Z36" s="95"/>
      <c r="AA36" s="94"/>
      <c r="AB36" s="95"/>
      <c r="AC36" s="94"/>
      <c r="AD36" s="95"/>
      <c r="AE36" s="94"/>
      <c r="AF36" s="95"/>
      <c r="AG36" s="98" t="str">
        <v/>
      </c>
      <c r="AH36" s="98" t="str">
        <v/>
      </c>
      <c r="AI36" s="98" t="str">
        <v/>
      </c>
      <c r="AJ36" s="98" t="str">
        <v/>
      </c>
      <c r="AK36" s="98" t="str">
        <v/>
      </c>
      <c r="AL36" s="98" t="str">
        <v/>
      </c>
      <c r="AM36" s="98" t="str">
        <v/>
      </c>
      <c r="AN36" s="98" t="str">
        <v/>
      </c>
      <c r="AO36" s="115" t="str">
        <v/>
      </c>
      <c r="AP36" s="98" t="str">
        <v/>
      </c>
      <c r="AQ36" s="99"/>
      <c r="AR36" s="95"/>
      <c r="AS36" s="94"/>
      <c r="AT36" s="95"/>
      <c r="AU36" s="94"/>
      <c r="AV36" s="95"/>
      <c r="AW36" s="94"/>
      <c r="AX36" s="95"/>
      <c r="AY36" s="94"/>
      <c r="AZ36" s="95"/>
      <c r="BA36" s="98" t="str">
        <v/>
      </c>
      <c r="BB36" s="98" t="str">
        <v/>
      </c>
      <c r="BC36" s="98" t="str">
        <v/>
      </c>
      <c r="BD36" s="98" t="str">
        <v/>
      </c>
      <c r="BE36" s="98" t="str">
        <v/>
      </c>
      <c r="BF36" s="98" t="str">
        <v/>
      </c>
      <c r="BG36" s="98" t="str">
        <v/>
      </c>
      <c r="BH36" s="98" t="str">
        <v/>
      </c>
      <c r="BI36" s="115" t="str">
        <v/>
      </c>
      <c r="BJ36" s="98" t="str">
        <v/>
      </c>
      <c r="BK36" s="100" t="str">
        <v/>
      </c>
      <c r="BL36" s="101" t="str">
        <v/>
      </c>
      <c r="BM36" s="101" t="str">
        <v/>
      </c>
      <c r="BN36" s="101" t="str">
        <v/>
      </c>
      <c r="BO36" s="101" t="str">
        <v/>
      </c>
      <c r="BP36" s="101" t="str">
        <v/>
      </c>
      <c r="BQ36" s="101" t="str">
        <v/>
      </c>
      <c r="BR36" s="101" t="str">
        <v/>
      </c>
      <c r="BS36" s="8" t="str">
        <v/>
      </c>
      <c r="BT36" s="102" t="str">
        <v/>
      </c>
      <c r="BU36" s="97"/>
      <c r="BV36" s="97"/>
    </row>
    <row r="37" spans="1:74">
      <c r="A37" s="104"/>
      <c r="B37" s="104"/>
      <c r="C37" s="99"/>
      <c r="D37" s="95"/>
      <c r="E37" s="94"/>
      <c r="F37" s="95"/>
      <c r="G37" s="94"/>
      <c r="H37" s="95"/>
      <c r="I37" s="94"/>
      <c r="J37" s="95"/>
      <c r="K37" s="94"/>
      <c r="L37" s="95"/>
      <c r="M37" s="98" t="str">
        <v/>
      </c>
      <c r="N37" s="98" t="str">
        <v/>
      </c>
      <c r="O37" s="98" t="str">
        <v/>
      </c>
      <c r="P37" s="98" t="str">
        <v/>
      </c>
      <c r="Q37" s="98" t="str">
        <v/>
      </c>
      <c r="R37" s="98" t="str">
        <v/>
      </c>
      <c r="S37" s="98" t="str">
        <v/>
      </c>
      <c r="T37" s="98" t="str">
        <v/>
      </c>
      <c r="U37" s="104" t="str">
        <v/>
      </c>
      <c r="V37" s="98" t="str">
        <v/>
      </c>
      <c r="W37" s="99"/>
      <c r="X37" s="95"/>
      <c r="Y37" s="94"/>
      <c r="Z37" s="95"/>
      <c r="AA37" s="94"/>
      <c r="AB37" s="95"/>
      <c r="AC37" s="94"/>
      <c r="AD37" s="95"/>
      <c r="AE37" s="94"/>
      <c r="AF37" s="95"/>
      <c r="AG37" s="98" t="str">
        <v/>
      </c>
      <c r="AH37" s="98" t="str">
        <v/>
      </c>
      <c r="AI37" s="98" t="str">
        <v/>
      </c>
      <c r="AJ37" s="98" t="str">
        <v/>
      </c>
      <c r="AK37" s="98" t="str">
        <v/>
      </c>
      <c r="AL37" s="98" t="str">
        <v/>
      </c>
      <c r="AM37" s="98" t="str">
        <v/>
      </c>
      <c r="AN37" s="98" t="str">
        <v/>
      </c>
      <c r="AO37" s="115" t="str">
        <v/>
      </c>
      <c r="AP37" s="98" t="str">
        <v/>
      </c>
      <c r="AQ37" s="99"/>
      <c r="AR37" s="95"/>
      <c r="AS37" s="94"/>
      <c r="AT37" s="95"/>
      <c r="AU37" s="94"/>
      <c r="AV37" s="95"/>
      <c r="AW37" s="94"/>
      <c r="AX37" s="95"/>
      <c r="AY37" s="94"/>
      <c r="AZ37" s="95"/>
      <c r="BA37" s="98" t="str">
        <v/>
      </c>
      <c r="BB37" s="98" t="str">
        <v/>
      </c>
      <c r="BC37" s="98" t="str">
        <v/>
      </c>
      <c r="BD37" s="98" t="str">
        <v/>
      </c>
      <c r="BE37" s="98" t="str">
        <v/>
      </c>
      <c r="BF37" s="98" t="str">
        <v/>
      </c>
      <c r="BG37" s="98" t="str">
        <v/>
      </c>
      <c r="BH37" s="98" t="str">
        <v/>
      </c>
      <c r="BI37" s="115" t="str">
        <v/>
      </c>
      <c r="BJ37" s="98" t="str">
        <v/>
      </c>
      <c r="BK37" s="100" t="str">
        <v/>
      </c>
      <c r="BL37" s="101" t="str">
        <v/>
      </c>
      <c r="BM37" s="101" t="str">
        <v/>
      </c>
      <c r="BN37" s="101" t="str">
        <v/>
      </c>
      <c r="BO37" s="101" t="str">
        <v/>
      </c>
      <c r="BP37" s="101" t="str">
        <v/>
      </c>
      <c r="BQ37" s="101" t="str">
        <v/>
      </c>
      <c r="BR37" s="101" t="str">
        <v/>
      </c>
      <c r="BS37" s="8" t="str">
        <v/>
      </c>
      <c r="BT37" s="102" t="str">
        <v/>
      </c>
      <c r="BU37" s="97"/>
      <c r="BV37" s="97"/>
    </row>
    <row r="38" spans="1:74">
      <c r="A38" s="104"/>
      <c r="B38" s="104"/>
      <c r="C38" s="99"/>
      <c r="D38" s="95"/>
      <c r="E38" s="94"/>
      <c r="F38" s="95"/>
      <c r="G38" s="94"/>
      <c r="H38" s="95"/>
      <c r="I38" s="94"/>
      <c r="J38" s="95"/>
      <c r="K38" s="94"/>
      <c r="L38" s="95"/>
      <c r="M38" s="98" t="str">
        <v/>
      </c>
      <c r="N38" s="98" t="str">
        <v/>
      </c>
      <c r="O38" s="98" t="str">
        <v/>
      </c>
      <c r="P38" s="98" t="str">
        <v/>
      </c>
      <c r="Q38" s="98" t="str">
        <v/>
      </c>
      <c r="R38" s="98" t="str">
        <v/>
      </c>
      <c r="S38" s="98" t="str">
        <v/>
      </c>
      <c r="T38" s="98" t="str">
        <v/>
      </c>
      <c r="U38" s="104" t="str">
        <v/>
      </c>
      <c r="V38" s="98" t="str">
        <v/>
      </c>
      <c r="W38" s="99"/>
      <c r="X38" s="95"/>
      <c r="Y38" s="94"/>
      <c r="Z38" s="95"/>
      <c r="AA38" s="94"/>
      <c r="AB38" s="95"/>
      <c r="AC38" s="94"/>
      <c r="AD38" s="95"/>
      <c r="AE38" s="94"/>
      <c r="AF38" s="95"/>
      <c r="AG38" s="98" t="str">
        <v/>
      </c>
      <c r="AH38" s="98" t="str">
        <v/>
      </c>
      <c r="AI38" s="98" t="str">
        <v/>
      </c>
      <c r="AJ38" s="98" t="str">
        <v/>
      </c>
      <c r="AK38" s="98" t="str">
        <v/>
      </c>
      <c r="AL38" s="98" t="str">
        <v/>
      </c>
      <c r="AM38" s="98" t="str">
        <v/>
      </c>
      <c r="AN38" s="98" t="str">
        <v/>
      </c>
      <c r="AO38" s="115" t="str">
        <v/>
      </c>
      <c r="AP38" s="98" t="str">
        <v/>
      </c>
      <c r="AQ38" s="99"/>
      <c r="AR38" s="95"/>
      <c r="AS38" s="94"/>
      <c r="AT38" s="95"/>
      <c r="AU38" s="94"/>
      <c r="AV38" s="95"/>
      <c r="AW38" s="94"/>
      <c r="AX38" s="95"/>
      <c r="AY38" s="94"/>
      <c r="AZ38" s="95"/>
      <c r="BA38" s="98" t="str">
        <v/>
      </c>
      <c r="BB38" s="98" t="str">
        <v/>
      </c>
      <c r="BC38" s="98" t="str">
        <v/>
      </c>
      <c r="BD38" s="98" t="str">
        <v/>
      </c>
      <c r="BE38" s="98" t="str">
        <v/>
      </c>
      <c r="BF38" s="98" t="str">
        <v/>
      </c>
      <c r="BG38" s="98" t="str">
        <v/>
      </c>
      <c r="BH38" s="98" t="str">
        <v/>
      </c>
      <c r="BI38" s="115" t="str">
        <v/>
      </c>
      <c r="BJ38" s="98" t="str">
        <v/>
      </c>
      <c r="BK38" s="100" t="str">
        <v/>
      </c>
      <c r="BL38" s="101" t="str">
        <v/>
      </c>
      <c r="BM38" s="101" t="str">
        <v/>
      </c>
      <c r="BN38" s="101" t="str">
        <v/>
      </c>
      <c r="BO38" s="101" t="str">
        <v/>
      </c>
      <c r="BP38" s="101" t="str">
        <v/>
      </c>
      <c r="BQ38" s="101" t="str">
        <v/>
      </c>
      <c r="BR38" s="101" t="str">
        <v/>
      </c>
      <c r="BS38" s="8" t="str">
        <v/>
      </c>
      <c r="BT38" s="102" t="str">
        <v/>
      </c>
      <c r="BU38" s="97"/>
      <c r="BV38" s="97"/>
    </row>
    <row r="39" spans="1:74">
      <c r="A39" s="104"/>
      <c r="B39" s="104"/>
      <c r="C39" s="99"/>
      <c r="D39" s="95"/>
      <c r="E39" s="94"/>
      <c r="F39" s="95"/>
      <c r="G39" s="94"/>
      <c r="H39" s="95"/>
      <c r="I39" s="94"/>
      <c r="J39" s="95"/>
      <c r="K39" s="94"/>
      <c r="L39" s="95"/>
      <c r="M39" s="98" t="str">
        <v/>
      </c>
      <c r="N39" s="98" t="str">
        <v/>
      </c>
      <c r="O39" s="98" t="str">
        <v/>
      </c>
      <c r="P39" s="98" t="str">
        <v/>
      </c>
      <c r="Q39" s="98" t="str">
        <v/>
      </c>
      <c r="R39" s="98" t="str">
        <v/>
      </c>
      <c r="S39" s="98" t="str">
        <v/>
      </c>
      <c r="T39" s="98" t="str">
        <v/>
      </c>
      <c r="U39" s="104" t="str">
        <v/>
      </c>
      <c r="V39" s="98" t="str">
        <v/>
      </c>
      <c r="W39" s="99"/>
      <c r="X39" s="95"/>
      <c r="Y39" s="94"/>
      <c r="Z39" s="95"/>
      <c r="AA39" s="94"/>
      <c r="AB39" s="95"/>
      <c r="AC39" s="94"/>
      <c r="AD39" s="95"/>
      <c r="AE39" s="94"/>
      <c r="AF39" s="95"/>
      <c r="AG39" s="98" t="str">
        <v/>
      </c>
      <c r="AH39" s="98" t="str">
        <v/>
      </c>
      <c r="AI39" s="98" t="str">
        <v/>
      </c>
      <c r="AJ39" s="98" t="str">
        <v/>
      </c>
      <c r="AK39" s="98" t="str">
        <v/>
      </c>
      <c r="AL39" s="98" t="str">
        <v/>
      </c>
      <c r="AM39" s="98" t="str">
        <v/>
      </c>
      <c r="AN39" s="98" t="str">
        <v/>
      </c>
      <c r="AO39" s="115" t="str">
        <v/>
      </c>
      <c r="AP39" s="98" t="str">
        <v/>
      </c>
      <c r="AQ39" s="99"/>
      <c r="AR39" s="95"/>
      <c r="AS39" s="94"/>
      <c r="AT39" s="95"/>
      <c r="AU39" s="94"/>
      <c r="AV39" s="95"/>
      <c r="AW39" s="94"/>
      <c r="AX39" s="95"/>
      <c r="AY39" s="94"/>
      <c r="AZ39" s="95"/>
      <c r="BA39" s="98" t="str">
        <v/>
      </c>
      <c r="BB39" s="98" t="str">
        <v/>
      </c>
      <c r="BC39" s="98" t="str">
        <v/>
      </c>
      <c r="BD39" s="98" t="str">
        <v/>
      </c>
      <c r="BE39" s="98" t="str">
        <v/>
      </c>
      <c r="BF39" s="98" t="str">
        <v/>
      </c>
      <c r="BG39" s="98" t="str">
        <v/>
      </c>
      <c r="BH39" s="98" t="str">
        <v/>
      </c>
      <c r="BI39" s="115" t="str">
        <v/>
      </c>
      <c r="BJ39" s="98" t="str">
        <v/>
      </c>
      <c r="BK39" s="100" t="str">
        <v/>
      </c>
      <c r="BL39" s="101" t="str">
        <v/>
      </c>
      <c r="BM39" s="101" t="str">
        <v/>
      </c>
      <c r="BN39" s="101" t="str">
        <v/>
      </c>
      <c r="BO39" s="101" t="str">
        <v/>
      </c>
      <c r="BP39" s="101" t="str">
        <v/>
      </c>
      <c r="BQ39" s="101" t="str">
        <v/>
      </c>
      <c r="BR39" s="101" t="str">
        <v/>
      </c>
      <c r="BS39" s="8" t="str">
        <v/>
      </c>
      <c r="BT39" s="102" t="str">
        <v/>
      </c>
      <c r="BU39" s="97"/>
      <c r="BV39" s="97"/>
    </row>
    <row r="40" spans="1:74">
      <c r="A40" s="104"/>
      <c r="B40" s="104"/>
      <c r="C40" s="99"/>
      <c r="D40" s="95"/>
      <c r="E40" s="94"/>
      <c r="F40" s="95"/>
      <c r="G40" s="94"/>
      <c r="H40" s="95"/>
      <c r="I40" s="94"/>
      <c r="J40" s="95"/>
      <c r="K40" s="94"/>
      <c r="L40" s="95"/>
      <c r="M40" s="98" t="str">
        <v/>
      </c>
      <c r="N40" s="98" t="str">
        <v/>
      </c>
      <c r="O40" s="98" t="str">
        <v/>
      </c>
      <c r="P40" s="98" t="str">
        <v/>
      </c>
      <c r="Q40" s="98" t="str">
        <v/>
      </c>
      <c r="R40" s="98" t="str">
        <v/>
      </c>
      <c r="S40" s="98" t="str">
        <v/>
      </c>
      <c r="T40" s="98" t="str">
        <v/>
      </c>
      <c r="U40" s="104" t="str">
        <v/>
      </c>
      <c r="V40" s="98" t="str">
        <v/>
      </c>
      <c r="W40" s="99"/>
      <c r="X40" s="95"/>
      <c r="Y40" s="94"/>
      <c r="Z40" s="95"/>
      <c r="AA40" s="94"/>
      <c r="AB40" s="95"/>
      <c r="AC40" s="94"/>
      <c r="AD40" s="95"/>
      <c r="AE40" s="94"/>
      <c r="AF40" s="95"/>
      <c r="AG40" s="98" t="str">
        <v/>
      </c>
      <c r="AH40" s="98" t="str">
        <v/>
      </c>
      <c r="AI40" s="98" t="str">
        <v/>
      </c>
      <c r="AJ40" s="98" t="str">
        <v/>
      </c>
      <c r="AK40" s="98" t="str">
        <v/>
      </c>
      <c r="AL40" s="98" t="str">
        <v/>
      </c>
      <c r="AM40" s="98" t="str">
        <v/>
      </c>
      <c r="AN40" s="98" t="str">
        <v/>
      </c>
      <c r="AO40" s="115" t="str">
        <v/>
      </c>
      <c r="AP40" s="98" t="str">
        <v/>
      </c>
      <c r="AQ40" s="99"/>
      <c r="AR40" s="95"/>
      <c r="AS40" s="94"/>
      <c r="AT40" s="95"/>
      <c r="AU40" s="94"/>
      <c r="AV40" s="95"/>
      <c r="AW40" s="94"/>
      <c r="AX40" s="95"/>
      <c r="AY40" s="94"/>
      <c r="AZ40" s="95"/>
      <c r="BA40" s="98" t="str">
        <v/>
      </c>
      <c r="BB40" s="98" t="str">
        <v/>
      </c>
      <c r="BC40" s="98" t="str">
        <v/>
      </c>
      <c r="BD40" s="98" t="str">
        <v/>
      </c>
      <c r="BE40" s="98" t="str">
        <v/>
      </c>
      <c r="BF40" s="98" t="str">
        <v/>
      </c>
      <c r="BG40" s="98" t="str">
        <v/>
      </c>
      <c r="BH40" s="98" t="str">
        <v/>
      </c>
      <c r="BI40" s="115" t="str">
        <v/>
      </c>
      <c r="BJ40" s="98" t="str">
        <v/>
      </c>
      <c r="BK40" s="100" t="str">
        <v/>
      </c>
      <c r="BL40" s="101" t="str">
        <v/>
      </c>
      <c r="BM40" s="101" t="str">
        <v/>
      </c>
      <c r="BN40" s="101" t="str">
        <v/>
      </c>
      <c r="BO40" s="101" t="str">
        <v/>
      </c>
      <c r="BP40" s="101" t="str">
        <v/>
      </c>
      <c r="BQ40" s="101" t="str">
        <v/>
      </c>
      <c r="BR40" s="101" t="str">
        <v/>
      </c>
      <c r="BS40" s="8" t="str">
        <v/>
      </c>
      <c r="BT40" s="102" t="str">
        <v/>
      </c>
      <c r="BU40" s="97"/>
      <c r="BV40" s="97"/>
    </row>
    <row r="41" spans="1:74">
      <c r="A41" s="104"/>
      <c r="B41" s="104"/>
      <c r="C41" s="99"/>
      <c r="D41" s="95"/>
      <c r="E41" s="94"/>
      <c r="F41" s="95"/>
      <c r="G41" s="94"/>
      <c r="H41" s="95"/>
      <c r="I41" s="94"/>
      <c r="J41" s="95"/>
      <c r="K41" s="94"/>
      <c r="L41" s="95"/>
      <c r="M41" s="98" t="str">
        <v/>
      </c>
      <c r="N41" s="98" t="str">
        <v/>
      </c>
      <c r="O41" s="98" t="str">
        <v/>
      </c>
      <c r="P41" s="98" t="str">
        <v/>
      </c>
      <c r="Q41" s="98" t="str">
        <v/>
      </c>
      <c r="R41" s="98" t="str">
        <v/>
      </c>
      <c r="S41" s="98" t="str">
        <v/>
      </c>
      <c r="T41" s="98" t="str">
        <v/>
      </c>
      <c r="U41" s="104" t="str">
        <v/>
      </c>
      <c r="V41" s="98" t="str">
        <v/>
      </c>
      <c r="W41" s="99"/>
      <c r="X41" s="95"/>
      <c r="Y41" s="94"/>
      <c r="Z41" s="95"/>
      <c r="AA41" s="94"/>
      <c r="AB41" s="95"/>
      <c r="AC41" s="94"/>
      <c r="AD41" s="95"/>
      <c r="AE41" s="94"/>
      <c r="AF41" s="95"/>
      <c r="AG41" s="98" t="str">
        <v/>
      </c>
      <c r="AH41" s="98" t="str">
        <v/>
      </c>
      <c r="AI41" s="98" t="str">
        <v/>
      </c>
      <c r="AJ41" s="98" t="str">
        <v/>
      </c>
      <c r="AK41" s="98" t="str">
        <v/>
      </c>
      <c r="AL41" s="98" t="str">
        <v/>
      </c>
      <c r="AM41" s="98" t="str">
        <v/>
      </c>
      <c r="AN41" s="98" t="str">
        <v/>
      </c>
      <c r="AO41" s="115" t="str">
        <v/>
      </c>
      <c r="AP41" s="98" t="str">
        <v/>
      </c>
      <c r="AQ41" s="99"/>
      <c r="AR41" s="95"/>
      <c r="AS41" s="94"/>
      <c r="AT41" s="95"/>
      <c r="AU41" s="94"/>
      <c r="AV41" s="95"/>
      <c r="AW41" s="94"/>
      <c r="AX41" s="95"/>
      <c r="AY41" s="94"/>
      <c r="AZ41" s="95"/>
      <c r="BA41" s="98" t="str">
        <v/>
      </c>
      <c r="BB41" s="98" t="str">
        <v/>
      </c>
      <c r="BC41" s="98" t="str">
        <v/>
      </c>
      <c r="BD41" s="98" t="str">
        <v/>
      </c>
      <c r="BE41" s="98" t="str">
        <v/>
      </c>
      <c r="BF41" s="98" t="str">
        <v/>
      </c>
      <c r="BG41" s="98" t="str">
        <v/>
      </c>
      <c r="BH41" s="98" t="str">
        <v/>
      </c>
      <c r="BI41" s="115" t="str">
        <v/>
      </c>
      <c r="BJ41" s="98" t="str">
        <v/>
      </c>
      <c r="BK41" s="100" t="str">
        <v/>
      </c>
      <c r="BL41" s="101" t="str">
        <v/>
      </c>
      <c r="BM41" s="101" t="str">
        <v/>
      </c>
      <c r="BN41" s="101" t="str">
        <v/>
      </c>
      <c r="BO41" s="101" t="str">
        <v/>
      </c>
      <c r="BP41" s="101" t="str">
        <v/>
      </c>
      <c r="BQ41" s="101" t="str">
        <v/>
      </c>
      <c r="BR41" s="101" t="str">
        <v/>
      </c>
      <c r="BS41" s="8" t="str">
        <v/>
      </c>
      <c r="BT41" s="102" t="str">
        <v/>
      </c>
      <c r="BU41" s="97"/>
      <c r="BV41" s="97"/>
    </row>
    <row r="42" spans="1:74">
      <c r="A42" s="104"/>
      <c r="B42" s="104"/>
      <c r="C42" s="99"/>
      <c r="D42" s="95"/>
      <c r="E42" s="94"/>
      <c r="F42" s="95"/>
      <c r="G42" s="94"/>
      <c r="H42" s="95"/>
      <c r="I42" s="94"/>
      <c r="J42" s="95"/>
      <c r="K42" s="94"/>
      <c r="L42" s="95"/>
      <c r="M42" s="98" t="str">
        <v/>
      </c>
      <c r="N42" s="98" t="str">
        <v/>
      </c>
      <c r="O42" s="98" t="str">
        <v/>
      </c>
      <c r="P42" s="98" t="str">
        <v/>
      </c>
      <c r="Q42" s="98" t="str">
        <v/>
      </c>
      <c r="R42" s="98" t="str">
        <v/>
      </c>
      <c r="S42" s="98" t="str">
        <v/>
      </c>
      <c r="T42" s="98" t="str">
        <v/>
      </c>
      <c r="U42" s="104" t="str">
        <v/>
      </c>
      <c r="V42" s="98" t="str">
        <v/>
      </c>
      <c r="W42" s="99"/>
      <c r="X42" s="95"/>
      <c r="Y42" s="94"/>
      <c r="Z42" s="95"/>
      <c r="AA42" s="94"/>
      <c r="AB42" s="95"/>
      <c r="AC42" s="94"/>
      <c r="AD42" s="95"/>
      <c r="AE42" s="94"/>
      <c r="AF42" s="95"/>
      <c r="AG42" s="98" t="str">
        <v/>
      </c>
      <c r="AH42" s="98" t="str">
        <v/>
      </c>
      <c r="AI42" s="98" t="str">
        <v/>
      </c>
      <c r="AJ42" s="98" t="str">
        <v/>
      </c>
      <c r="AK42" s="98" t="str">
        <v/>
      </c>
      <c r="AL42" s="98" t="str">
        <v/>
      </c>
      <c r="AM42" s="98" t="str">
        <v/>
      </c>
      <c r="AN42" s="98" t="str">
        <v/>
      </c>
      <c r="AO42" s="115" t="str">
        <v/>
      </c>
      <c r="AP42" s="98" t="str">
        <v/>
      </c>
      <c r="AQ42" s="99"/>
      <c r="AR42" s="95"/>
      <c r="AS42" s="94"/>
      <c r="AT42" s="95"/>
      <c r="AU42" s="94"/>
      <c r="AV42" s="95"/>
      <c r="AW42" s="94"/>
      <c r="AX42" s="95"/>
      <c r="AY42" s="94"/>
      <c r="AZ42" s="95"/>
      <c r="BA42" s="98" t="str">
        <v/>
      </c>
      <c r="BB42" s="98" t="str">
        <v/>
      </c>
      <c r="BC42" s="98" t="str">
        <v/>
      </c>
      <c r="BD42" s="98" t="str">
        <v/>
      </c>
      <c r="BE42" s="98" t="str">
        <v/>
      </c>
      <c r="BF42" s="98" t="str">
        <v/>
      </c>
      <c r="BG42" s="98" t="str">
        <v/>
      </c>
      <c r="BH42" s="98" t="str">
        <v/>
      </c>
      <c r="BI42" s="115" t="str">
        <v/>
      </c>
      <c r="BJ42" s="98" t="str">
        <v/>
      </c>
      <c r="BK42" s="100" t="str">
        <v/>
      </c>
      <c r="BL42" s="101" t="str">
        <v/>
      </c>
      <c r="BM42" s="101" t="str">
        <v/>
      </c>
      <c r="BN42" s="101" t="str">
        <v/>
      </c>
      <c r="BO42" s="101" t="str">
        <v/>
      </c>
      <c r="BP42" s="101" t="str">
        <v/>
      </c>
      <c r="BQ42" s="101" t="str">
        <v/>
      </c>
      <c r="BR42" s="101" t="str">
        <v/>
      </c>
      <c r="BS42" s="8" t="str">
        <v/>
      </c>
      <c r="BT42" s="102" t="str">
        <v/>
      </c>
      <c r="BU42" s="97"/>
      <c r="BV42" s="97"/>
    </row>
    <row r="43" spans="1:74">
      <c r="A43" s="104"/>
      <c r="B43" s="104"/>
      <c r="C43" s="99"/>
      <c r="D43" s="95"/>
      <c r="E43" s="94"/>
      <c r="F43" s="95"/>
      <c r="G43" s="94"/>
      <c r="H43" s="95"/>
      <c r="I43" s="94"/>
      <c r="J43" s="95"/>
      <c r="K43" s="94"/>
      <c r="L43" s="95"/>
      <c r="M43" s="98" t="str">
        <v/>
      </c>
      <c r="N43" s="98" t="str">
        <v/>
      </c>
      <c r="O43" s="98" t="str">
        <v/>
      </c>
      <c r="P43" s="98" t="str">
        <v/>
      </c>
      <c r="Q43" s="98" t="str">
        <v/>
      </c>
      <c r="R43" s="98" t="str">
        <v/>
      </c>
      <c r="S43" s="98" t="str">
        <v/>
      </c>
      <c r="T43" s="98" t="str">
        <v/>
      </c>
      <c r="U43" s="104" t="str">
        <v/>
      </c>
      <c r="V43" s="98" t="str">
        <v/>
      </c>
      <c r="W43" s="99"/>
      <c r="X43" s="95"/>
      <c r="Y43" s="94"/>
      <c r="Z43" s="95"/>
      <c r="AA43" s="94"/>
      <c r="AB43" s="95"/>
      <c r="AC43" s="94"/>
      <c r="AD43" s="95"/>
      <c r="AE43" s="94"/>
      <c r="AF43" s="95"/>
      <c r="AG43" s="98" t="str">
        <v/>
      </c>
      <c r="AH43" s="98" t="str">
        <v/>
      </c>
      <c r="AI43" s="98" t="str">
        <v/>
      </c>
      <c r="AJ43" s="98" t="str">
        <v/>
      </c>
      <c r="AK43" s="98" t="str">
        <v/>
      </c>
      <c r="AL43" s="98" t="str">
        <v/>
      </c>
      <c r="AM43" s="98" t="str">
        <v/>
      </c>
      <c r="AN43" s="98" t="str">
        <v/>
      </c>
      <c r="AO43" s="115" t="str">
        <v/>
      </c>
      <c r="AP43" s="98" t="str">
        <v/>
      </c>
      <c r="AQ43" s="99"/>
      <c r="AR43" s="95"/>
      <c r="AS43" s="94"/>
      <c r="AT43" s="95"/>
      <c r="AU43" s="94"/>
      <c r="AV43" s="95"/>
      <c r="AW43" s="94"/>
      <c r="AX43" s="95"/>
      <c r="AY43" s="94"/>
      <c r="AZ43" s="95"/>
      <c r="BA43" s="98" t="str">
        <v/>
      </c>
      <c r="BB43" s="98" t="str">
        <v/>
      </c>
      <c r="BC43" s="98" t="str">
        <v/>
      </c>
      <c r="BD43" s="98" t="str">
        <v/>
      </c>
      <c r="BE43" s="98" t="str">
        <v/>
      </c>
      <c r="BF43" s="98" t="str">
        <v/>
      </c>
      <c r="BG43" s="98" t="str">
        <v/>
      </c>
      <c r="BH43" s="98" t="str">
        <v/>
      </c>
      <c r="BI43" s="115" t="str">
        <v/>
      </c>
      <c r="BJ43" s="98" t="str">
        <v/>
      </c>
      <c r="BK43" s="100" t="str">
        <v/>
      </c>
      <c r="BL43" s="101" t="str">
        <v/>
      </c>
      <c r="BM43" s="101" t="str">
        <v/>
      </c>
      <c r="BN43" s="101" t="str">
        <v/>
      </c>
      <c r="BO43" s="101" t="str">
        <v/>
      </c>
      <c r="BP43" s="101" t="str">
        <v/>
      </c>
      <c r="BQ43" s="101" t="str">
        <v/>
      </c>
      <c r="BR43" s="101" t="str">
        <v/>
      </c>
      <c r="BS43" s="8" t="str">
        <v/>
      </c>
      <c r="BT43" s="102" t="str">
        <v/>
      </c>
      <c r="BU43" s="97"/>
      <c r="BV43" s="97"/>
    </row>
    <row r="44" spans="1:74">
      <c r="A44" s="104"/>
      <c r="B44" s="104"/>
      <c r="C44" s="99"/>
      <c r="D44" s="95"/>
      <c r="E44" s="94"/>
      <c r="F44" s="95"/>
      <c r="G44" s="94"/>
      <c r="H44" s="95"/>
      <c r="I44" s="94"/>
      <c r="J44" s="95"/>
      <c r="K44" s="94"/>
      <c r="L44" s="95"/>
      <c r="M44" s="98" t="str">
        <v/>
      </c>
      <c r="N44" s="98" t="str">
        <v/>
      </c>
      <c r="O44" s="98" t="str">
        <v/>
      </c>
      <c r="P44" s="98" t="str">
        <v/>
      </c>
      <c r="Q44" s="98" t="str">
        <v/>
      </c>
      <c r="R44" s="98" t="str">
        <v/>
      </c>
      <c r="S44" s="98" t="str">
        <v/>
      </c>
      <c r="T44" s="98" t="str">
        <v/>
      </c>
      <c r="U44" s="104" t="str">
        <v/>
      </c>
      <c r="V44" s="98" t="str">
        <v/>
      </c>
      <c r="W44" s="99"/>
      <c r="X44" s="95"/>
      <c r="Y44" s="94"/>
      <c r="Z44" s="95"/>
      <c r="AA44" s="94"/>
      <c r="AB44" s="95"/>
      <c r="AC44" s="94"/>
      <c r="AD44" s="95"/>
      <c r="AE44" s="94"/>
      <c r="AF44" s="95"/>
      <c r="AG44" s="98" t="str">
        <v/>
      </c>
      <c r="AH44" s="98" t="str">
        <v/>
      </c>
      <c r="AI44" s="98" t="str">
        <v/>
      </c>
      <c r="AJ44" s="98" t="str">
        <v/>
      </c>
      <c r="AK44" s="98" t="str">
        <v/>
      </c>
      <c r="AL44" s="98" t="str">
        <v/>
      </c>
      <c r="AM44" s="98" t="str">
        <v/>
      </c>
      <c r="AN44" s="98" t="str">
        <v/>
      </c>
      <c r="AO44" s="115" t="str">
        <v/>
      </c>
      <c r="AP44" s="98" t="str">
        <v/>
      </c>
      <c r="AQ44" s="99"/>
      <c r="AR44" s="95"/>
      <c r="AS44" s="94"/>
      <c r="AT44" s="95"/>
      <c r="AU44" s="94"/>
      <c r="AV44" s="95"/>
      <c r="AW44" s="94"/>
      <c r="AX44" s="95"/>
      <c r="AY44" s="94"/>
      <c r="AZ44" s="95"/>
      <c r="BA44" s="98" t="str">
        <v/>
      </c>
      <c r="BB44" s="98" t="str">
        <v/>
      </c>
      <c r="BC44" s="98" t="str">
        <v/>
      </c>
      <c r="BD44" s="98" t="str">
        <v/>
      </c>
      <c r="BE44" s="98" t="str">
        <v/>
      </c>
      <c r="BF44" s="98" t="str">
        <v/>
      </c>
      <c r="BG44" s="98" t="str">
        <v/>
      </c>
      <c r="BH44" s="98" t="str">
        <v/>
      </c>
      <c r="BI44" s="115" t="str">
        <v/>
      </c>
      <c r="BJ44" s="98" t="str">
        <v/>
      </c>
      <c r="BK44" s="100" t="str">
        <v/>
      </c>
      <c r="BL44" s="101" t="str">
        <v/>
      </c>
      <c r="BM44" s="101" t="str">
        <v/>
      </c>
      <c r="BN44" s="101" t="str">
        <v/>
      </c>
      <c r="BO44" s="101" t="str">
        <v/>
      </c>
      <c r="BP44" s="101" t="str">
        <v/>
      </c>
      <c r="BQ44" s="101" t="str">
        <v/>
      </c>
      <c r="BR44" s="101" t="str">
        <v/>
      </c>
      <c r="BS44" s="8" t="str">
        <v/>
      </c>
      <c r="BT44" s="102" t="str">
        <v/>
      </c>
      <c r="BU44" s="97"/>
      <c r="BV44" s="97"/>
    </row>
    <row r="45" spans="1:74">
      <c r="A45" s="104"/>
      <c r="B45" s="104"/>
      <c r="C45" s="99"/>
      <c r="D45" s="95"/>
      <c r="E45" s="94"/>
      <c r="F45" s="95"/>
      <c r="G45" s="94"/>
      <c r="H45" s="95"/>
      <c r="I45" s="94"/>
      <c r="J45" s="95"/>
      <c r="K45" s="94"/>
      <c r="L45" s="95"/>
      <c r="M45" s="98" t="str">
        <v/>
      </c>
      <c r="N45" s="98" t="str">
        <v/>
      </c>
      <c r="O45" s="98" t="str">
        <v/>
      </c>
      <c r="P45" s="98" t="str">
        <v/>
      </c>
      <c r="Q45" s="98" t="str">
        <v/>
      </c>
      <c r="R45" s="98" t="str">
        <v/>
      </c>
      <c r="S45" s="98" t="str">
        <v/>
      </c>
      <c r="T45" s="98" t="str">
        <v/>
      </c>
      <c r="U45" s="104" t="str">
        <v/>
      </c>
      <c r="V45" s="98" t="str">
        <v/>
      </c>
      <c r="W45" s="99"/>
      <c r="X45" s="95"/>
      <c r="Y45" s="94"/>
      <c r="Z45" s="95"/>
      <c r="AA45" s="94"/>
      <c r="AB45" s="95"/>
      <c r="AC45" s="94"/>
      <c r="AD45" s="95"/>
      <c r="AE45" s="94"/>
      <c r="AF45" s="95"/>
      <c r="AG45" s="98" t="str">
        <v/>
      </c>
      <c r="AH45" s="98" t="str">
        <v/>
      </c>
      <c r="AI45" s="98" t="str">
        <v/>
      </c>
      <c r="AJ45" s="98" t="str">
        <v/>
      </c>
      <c r="AK45" s="98" t="str">
        <v/>
      </c>
      <c r="AL45" s="98" t="str">
        <v/>
      </c>
      <c r="AM45" s="98" t="str">
        <v/>
      </c>
      <c r="AN45" s="98" t="str">
        <v/>
      </c>
      <c r="AO45" s="115" t="str">
        <v/>
      </c>
      <c r="AP45" s="98" t="str">
        <v/>
      </c>
      <c r="AQ45" s="99"/>
      <c r="AR45" s="95"/>
      <c r="AS45" s="94"/>
      <c r="AT45" s="95"/>
      <c r="AU45" s="94"/>
      <c r="AV45" s="95"/>
      <c r="AW45" s="94"/>
      <c r="AX45" s="95"/>
      <c r="AY45" s="94"/>
      <c r="AZ45" s="95"/>
      <c r="BA45" s="98" t="str">
        <v/>
      </c>
      <c r="BB45" s="98" t="str">
        <v/>
      </c>
      <c r="BC45" s="98" t="str">
        <v/>
      </c>
      <c r="BD45" s="98" t="str">
        <v/>
      </c>
      <c r="BE45" s="98" t="str">
        <v/>
      </c>
      <c r="BF45" s="98" t="str">
        <v/>
      </c>
      <c r="BG45" s="98" t="str">
        <v/>
      </c>
      <c r="BH45" s="98" t="str">
        <v/>
      </c>
      <c r="BI45" s="115" t="str">
        <v/>
      </c>
      <c r="BJ45" s="98" t="str">
        <v/>
      </c>
      <c r="BK45" s="100" t="str">
        <v/>
      </c>
      <c r="BL45" s="101" t="str">
        <v/>
      </c>
      <c r="BM45" s="101" t="str">
        <v/>
      </c>
      <c r="BN45" s="101" t="str">
        <v/>
      </c>
      <c r="BO45" s="101" t="str">
        <v/>
      </c>
      <c r="BP45" s="101" t="str">
        <v/>
      </c>
      <c r="BQ45" s="101" t="str">
        <v/>
      </c>
      <c r="BR45" s="101" t="str">
        <v/>
      </c>
      <c r="BS45" s="8" t="str">
        <v/>
      </c>
      <c r="BT45" s="102" t="str">
        <v/>
      </c>
      <c r="BU45" s="97"/>
      <c r="BV45" s="97"/>
    </row>
    <row r="46" spans="1:74">
      <c r="A46" s="104"/>
      <c r="B46" s="104"/>
      <c r="C46" s="99"/>
      <c r="D46" s="95"/>
      <c r="E46" s="94"/>
      <c r="F46" s="95"/>
      <c r="G46" s="94"/>
      <c r="H46" s="95"/>
      <c r="I46" s="94"/>
      <c r="J46" s="95"/>
      <c r="K46" s="94"/>
      <c r="L46" s="95"/>
      <c r="M46" s="98" t="str">
        <v/>
      </c>
      <c r="N46" s="98" t="str">
        <v/>
      </c>
      <c r="O46" s="98" t="str">
        <v/>
      </c>
      <c r="P46" s="98" t="str">
        <v/>
      </c>
      <c r="Q46" s="98" t="str">
        <v/>
      </c>
      <c r="R46" s="98" t="str">
        <v/>
      </c>
      <c r="S46" s="98" t="str">
        <v/>
      </c>
      <c r="T46" s="98" t="str">
        <v/>
      </c>
      <c r="U46" s="104" t="str">
        <v/>
      </c>
      <c r="V46" s="98" t="str">
        <v/>
      </c>
      <c r="W46" s="99"/>
      <c r="X46" s="95"/>
      <c r="Y46" s="94"/>
      <c r="Z46" s="95"/>
      <c r="AA46" s="94"/>
      <c r="AB46" s="95"/>
      <c r="AC46" s="94"/>
      <c r="AD46" s="95"/>
      <c r="AE46" s="94"/>
      <c r="AF46" s="95"/>
      <c r="AG46" s="98" t="str">
        <v/>
      </c>
      <c r="AH46" s="98" t="str">
        <v/>
      </c>
      <c r="AI46" s="98" t="str">
        <v/>
      </c>
      <c r="AJ46" s="98" t="str">
        <v/>
      </c>
      <c r="AK46" s="98" t="str">
        <v/>
      </c>
      <c r="AL46" s="98" t="str">
        <v/>
      </c>
      <c r="AM46" s="98" t="str">
        <v/>
      </c>
      <c r="AN46" s="98" t="str">
        <v/>
      </c>
      <c r="AO46" s="115" t="str">
        <v/>
      </c>
      <c r="AP46" s="98" t="str">
        <v/>
      </c>
      <c r="AQ46" s="99"/>
      <c r="AR46" s="95"/>
      <c r="AS46" s="94"/>
      <c r="AT46" s="95"/>
      <c r="AU46" s="94"/>
      <c r="AV46" s="95"/>
      <c r="AW46" s="94"/>
      <c r="AX46" s="95"/>
      <c r="AY46" s="94"/>
      <c r="AZ46" s="95"/>
      <c r="BA46" s="98" t="str">
        <v/>
      </c>
      <c r="BB46" s="98" t="str">
        <v/>
      </c>
      <c r="BC46" s="98" t="str">
        <v/>
      </c>
      <c r="BD46" s="98" t="str">
        <v/>
      </c>
      <c r="BE46" s="98" t="str">
        <v/>
      </c>
      <c r="BF46" s="98" t="str">
        <v/>
      </c>
      <c r="BG46" s="98" t="str">
        <v/>
      </c>
      <c r="BH46" s="98" t="str">
        <v/>
      </c>
      <c r="BI46" s="115" t="str">
        <v/>
      </c>
      <c r="BJ46" s="98" t="str">
        <v/>
      </c>
      <c r="BK46" s="100" t="str">
        <v/>
      </c>
      <c r="BL46" s="101" t="str">
        <v/>
      </c>
      <c r="BM46" s="101" t="str">
        <v/>
      </c>
      <c r="BN46" s="101" t="str">
        <v/>
      </c>
      <c r="BO46" s="101" t="str">
        <v/>
      </c>
      <c r="BP46" s="101" t="str">
        <v/>
      </c>
      <c r="BQ46" s="101" t="str">
        <v/>
      </c>
      <c r="BR46" s="101" t="str">
        <v/>
      </c>
      <c r="BS46" s="8" t="str">
        <v/>
      </c>
      <c r="BT46" s="102" t="str">
        <v/>
      </c>
      <c r="BU46" s="97"/>
      <c r="BV46" s="97"/>
    </row>
    <row r="47" spans="1:74">
      <c r="A47" s="104"/>
      <c r="B47" s="104"/>
      <c r="C47" s="99"/>
      <c r="D47" s="95"/>
      <c r="E47" s="94"/>
      <c r="F47" s="95"/>
      <c r="G47" s="94"/>
      <c r="H47" s="95"/>
      <c r="I47" s="94"/>
      <c r="J47" s="95"/>
      <c r="K47" s="94"/>
      <c r="L47" s="95"/>
      <c r="M47" s="98" t="str">
        <v/>
      </c>
      <c r="N47" s="98" t="str">
        <v/>
      </c>
      <c r="O47" s="98" t="str">
        <v/>
      </c>
      <c r="P47" s="98" t="str">
        <v/>
      </c>
      <c r="Q47" s="98" t="str">
        <v/>
      </c>
      <c r="R47" s="98" t="str">
        <v/>
      </c>
      <c r="S47" s="98" t="str">
        <v/>
      </c>
      <c r="T47" s="98" t="str">
        <v/>
      </c>
      <c r="U47" s="104" t="str">
        <v/>
      </c>
      <c r="V47" s="98" t="str">
        <v/>
      </c>
      <c r="W47" s="99"/>
      <c r="X47" s="95"/>
      <c r="Y47" s="94"/>
      <c r="Z47" s="95"/>
      <c r="AA47" s="94"/>
      <c r="AB47" s="95"/>
      <c r="AC47" s="94"/>
      <c r="AD47" s="95"/>
      <c r="AE47" s="94"/>
      <c r="AF47" s="95"/>
      <c r="AG47" s="98" t="str">
        <v/>
      </c>
      <c r="AH47" s="98" t="str">
        <v/>
      </c>
      <c r="AI47" s="98" t="str">
        <v/>
      </c>
      <c r="AJ47" s="98" t="str">
        <v/>
      </c>
      <c r="AK47" s="98" t="str">
        <v/>
      </c>
      <c r="AL47" s="98" t="str">
        <v/>
      </c>
      <c r="AM47" s="98" t="str">
        <v/>
      </c>
      <c r="AN47" s="98" t="str">
        <v/>
      </c>
      <c r="AO47" s="115" t="str">
        <v/>
      </c>
      <c r="AP47" s="98" t="str">
        <v/>
      </c>
      <c r="AQ47" s="99"/>
      <c r="AR47" s="95"/>
      <c r="AS47" s="94"/>
      <c r="AT47" s="95"/>
      <c r="AU47" s="94"/>
      <c r="AV47" s="95"/>
      <c r="AW47" s="94"/>
      <c r="AX47" s="95"/>
      <c r="AY47" s="94"/>
      <c r="AZ47" s="95"/>
      <c r="BA47" s="98" t="str">
        <v/>
      </c>
      <c r="BB47" s="98" t="str">
        <v/>
      </c>
      <c r="BC47" s="98" t="str">
        <v/>
      </c>
      <c r="BD47" s="98" t="str">
        <v/>
      </c>
      <c r="BE47" s="98" t="str">
        <v/>
      </c>
      <c r="BF47" s="98" t="str">
        <v/>
      </c>
      <c r="BG47" s="98" t="str">
        <v/>
      </c>
      <c r="BH47" s="98" t="str">
        <v/>
      </c>
      <c r="BI47" s="115" t="str">
        <v/>
      </c>
      <c r="BJ47" s="98" t="str">
        <v/>
      </c>
      <c r="BK47" s="100" t="str">
        <v/>
      </c>
      <c r="BL47" s="101" t="str">
        <v/>
      </c>
      <c r="BM47" s="101" t="str">
        <v/>
      </c>
      <c r="BN47" s="101" t="str">
        <v/>
      </c>
      <c r="BO47" s="101" t="str">
        <v/>
      </c>
      <c r="BP47" s="101" t="str">
        <v/>
      </c>
      <c r="BQ47" s="101" t="str">
        <v/>
      </c>
      <c r="BR47" s="101" t="str">
        <v/>
      </c>
      <c r="BS47" s="8" t="str">
        <v/>
      </c>
      <c r="BT47" s="102" t="str">
        <v/>
      </c>
      <c r="BU47" s="97"/>
      <c r="BV47" s="97"/>
    </row>
    <row r="48" spans="1:74">
      <c r="A48" s="104"/>
      <c r="B48" s="104"/>
      <c r="C48" s="99"/>
      <c r="D48" s="95"/>
      <c r="E48" s="94"/>
      <c r="F48" s="95"/>
      <c r="G48" s="94"/>
      <c r="H48" s="95"/>
      <c r="I48" s="94"/>
      <c r="J48" s="95"/>
      <c r="K48" s="94"/>
      <c r="L48" s="95"/>
      <c r="M48" s="98" t="str">
        <v/>
      </c>
      <c r="N48" s="98" t="str">
        <v/>
      </c>
      <c r="O48" s="98" t="str">
        <v/>
      </c>
      <c r="P48" s="98" t="str">
        <v/>
      </c>
      <c r="Q48" s="98" t="str">
        <v/>
      </c>
      <c r="R48" s="98" t="str">
        <v/>
      </c>
      <c r="S48" s="98" t="str">
        <v/>
      </c>
      <c r="T48" s="98" t="str">
        <v/>
      </c>
      <c r="U48" s="104" t="str">
        <v/>
      </c>
      <c r="V48" s="98" t="str">
        <v/>
      </c>
      <c r="W48" s="99"/>
      <c r="X48" s="95"/>
      <c r="Y48" s="94"/>
      <c r="Z48" s="95"/>
      <c r="AA48" s="94"/>
      <c r="AB48" s="95"/>
      <c r="AC48" s="94"/>
      <c r="AD48" s="95"/>
      <c r="AE48" s="94"/>
      <c r="AF48" s="95"/>
      <c r="AG48" s="98" t="str">
        <v/>
      </c>
      <c r="AH48" s="98" t="str">
        <v/>
      </c>
      <c r="AI48" s="98" t="str">
        <v/>
      </c>
      <c r="AJ48" s="98" t="str">
        <v/>
      </c>
      <c r="AK48" s="98" t="str">
        <v/>
      </c>
      <c r="AL48" s="98" t="str">
        <v/>
      </c>
      <c r="AM48" s="98" t="str">
        <v/>
      </c>
      <c r="AN48" s="98" t="str">
        <v/>
      </c>
      <c r="AO48" s="115" t="str">
        <v/>
      </c>
      <c r="AP48" s="98" t="str">
        <v/>
      </c>
      <c r="AQ48" s="99"/>
      <c r="AR48" s="95"/>
      <c r="AS48" s="94"/>
      <c r="AT48" s="95"/>
      <c r="AU48" s="94"/>
      <c r="AV48" s="95"/>
      <c r="AW48" s="94"/>
      <c r="AX48" s="95"/>
      <c r="AY48" s="94"/>
      <c r="AZ48" s="95"/>
      <c r="BA48" s="98" t="str">
        <v/>
      </c>
      <c r="BB48" s="98" t="str">
        <v/>
      </c>
      <c r="BC48" s="98" t="str">
        <v/>
      </c>
      <c r="BD48" s="98" t="str">
        <v/>
      </c>
      <c r="BE48" s="98" t="str">
        <v/>
      </c>
      <c r="BF48" s="98" t="str">
        <v/>
      </c>
      <c r="BG48" s="98" t="str">
        <v/>
      </c>
      <c r="BH48" s="98" t="str">
        <v/>
      </c>
      <c r="BI48" s="115" t="str">
        <v/>
      </c>
      <c r="BJ48" s="98" t="str">
        <v/>
      </c>
      <c r="BK48" s="100" t="str">
        <v/>
      </c>
      <c r="BL48" s="101" t="str">
        <v/>
      </c>
      <c r="BM48" s="101" t="str">
        <v/>
      </c>
      <c r="BN48" s="101" t="str">
        <v/>
      </c>
      <c r="BO48" s="101" t="str">
        <v/>
      </c>
      <c r="BP48" s="101" t="str">
        <v/>
      </c>
      <c r="BQ48" s="101" t="str">
        <v/>
      </c>
      <c r="BR48" s="101" t="str">
        <v/>
      </c>
      <c r="BS48" s="8" t="str">
        <v/>
      </c>
      <c r="BT48" s="102" t="str">
        <v/>
      </c>
      <c r="BU48" s="97"/>
      <c r="BV48" s="97"/>
    </row>
    <row r="49" spans="1:74">
      <c r="A49" s="104"/>
      <c r="B49" s="104"/>
      <c r="C49" s="99"/>
      <c r="D49" s="95"/>
      <c r="E49" s="94"/>
      <c r="F49" s="95"/>
      <c r="G49" s="94"/>
      <c r="H49" s="95"/>
      <c r="I49" s="94"/>
      <c r="J49" s="95"/>
      <c r="K49" s="94"/>
      <c r="L49" s="95"/>
      <c r="M49" s="98" t="str">
        <v/>
      </c>
      <c r="N49" s="98" t="str">
        <v/>
      </c>
      <c r="O49" s="98" t="str">
        <v/>
      </c>
      <c r="P49" s="98" t="str">
        <v/>
      </c>
      <c r="Q49" s="98" t="str">
        <v/>
      </c>
      <c r="R49" s="98" t="str">
        <v/>
      </c>
      <c r="S49" s="98" t="str">
        <v/>
      </c>
      <c r="T49" s="98" t="str">
        <v/>
      </c>
      <c r="U49" s="104" t="str">
        <v/>
      </c>
      <c r="V49" s="98" t="str">
        <v/>
      </c>
      <c r="W49" s="99"/>
      <c r="X49" s="95"/>
      <c r="Y49" s="94"/>
      <c r="Z49" s="95"/>
      <c r="AA49" s="94"/>
      <c r="AB49" s="95"/>
      <c r="AC49" s="94"/>
      <c r="AD49" s="95"/>
      <c r="AE49" s="94"/>
      <c r="AF49" s="95"/>
      <c r="AG49" s="98" t="str">
        <v/>
      </c>
      <c r="AH49" s="98" t="str">
        <v/>
      </c>
      <c r="AI49" s="98" t="str">
        <v/>
      </c>
      <c r="AJ49" s="98" t="str">
        <v/>
      </c>
      <c r="AK49" s="98" t="str">
        <v/>
      </c>
      <c r="AL49" s="98" t="str">
        <v/>
      </c>
      <c r="AM49" s="98" t="str">
        <v/>
      </c>
      <c r="AN49" s="98" t="str">
        <v/>
      </c>
      <c r="AO49" s="115" t="str">
        <v/>
      </c>
      <c r="AP49" s="98" t="str">
        <v/>
      </c>
      <c r="AQ49" s="99"/>
      <c r="AR49" s="95"/>
      <c r="AS49" s="94"/>
      <c r="AT49" s="95"/>
      <c r="AU49" s="94"/>
      <c r="AV49" s="95"/>
      <c r="AW49" s="94"/>
      <c r="AX49" s="95"/>
      <c r="AY49" s="94"/>
      <c r="AZ49" s="95"/>
      <c r="BA49" s="98" t="str">
        <v/>
      </c>
      <c r="BB49" s="98" t="str">
        <v/>
      </c>
      <c r="BC49" s="98" t="str">
        <v/>
      </c>
      <c r="BD49" s="98" t="str">
        <v/>
      </c>
      <c r="BE49" s="98" t="str">
        <v/>
      </c>
      <c r="BF49" s="98" t="str">
        <v/>
      </c>
      <c r="BG49" s="98" t="str">
        <v/>
      </c>
      <c r="BH49" s="98" t="str">
        <v/>
      </c>
      <c r="BI49" s="115" t="str">
        <v/>
      </c>
      <c r="BJ49" s="98" t="str">
        <v/>
      </c>
      <c r="BK49" s="100" t="str">
        <v/>
      </c>
      <c r="BL49" s="101" t="str">
        <v/>
      </c>
      <c r="BM49" s="101" t="str">
        <v/>
      </c>
      <c r="BN49" s="101" t="str">
        <v/>
      </c>
      <c r="BO49" s="101" t="str">
        <v/>
      </c>
      <c r="BP49" s="101" t="str">
        <v/>
      </c>
      <c r="BQ49" s="101" t="str">
        <v/>
      </c>
      <c r="BR49" s="101" t="str">
        <v/>
      </c>
      <c r="BS49" s="8" t="str">
        <v/>
      </c>
      <c r="BT49" s="102" t="str">
        <v/>
      </c>
      <c r="BU49" s="97"/>
      <c r="BV49" s="97"/>
    </row>
    <row r="50" spans="1:74">
      <c r="A50" s="104"/>
      <c r="B50" s="104"/>
      <c r="C50" s="99"/>
      <c r="D50" s="95"/>
      <c r="E50" s="94"/>
      <c r="F50" s="95"/>
      <c r="G50" s="94"/>
      <c r="H50" s="95"/>
      <c r="I50" s="94"/>
      <c r="J50" s="95"/>
      <c r="K50" s="94"/>
      <c r="L50" s="95"/>
      <c r="M50" s="98" t="str">
        <v/>
      </c>
      <c r="N50" s="98" t="str">
        <v/>
      </c>
      <c r="O50" s="98" t="str">
        <v/>
      </c>
      <c r="P50" s="98" t="str">
        <v/>
      </c>
      <c r="Q50" s="98" t="str">
        <v/>
      </c>
      <c r="R50" s="98" t="str">
        <v/>
      </c>
      <c r="S50" s="98" t="str">
        <v/>
      </c>
      <c r="T50" s="98" t="str">
        <v/>
      </c>
      <c r="U50" s="104" t="str">
        <v/>
      </c>
      <c r="V50" s="98" t="str">
        <v/>
      </c>
      <c r="W50" s="99"/>
      <c r="X50" s="95"/>
      <c r="Y50" s="94"/>
      <c r="Z50" s="95"/>
      <c r="AA50" s="94"/>
      <c r="AB50" s="95"/>
      <c r="AC50" s="94"/>
      <c r="AD50" s="95"/>
      <c r="AE50" s="94"/>
      <c r="AF50" s="95"/>
      <c r="AG50" s="98" t="str">
        <v/>
      </c>
      <c r="AH50" s="98" t="str">
        <v/>
      </c>
      <c r="AI50" s="98" t="str">
        <v/>
      </c>
      <c r="AJ50" s="98" t="str">
        <v/>
      </c>
      <c r="AK50" s="98" t="str">
        <v/>
      </c>
      <c r="AL50" s="98" t="str">
        <v/>
      </c>
      <c r="AM50" s="98" t="str">
        <v/>
      </c>
      <c r="AN50" s="98" t="str">
        <v/>
      </c>
      <c r="AO50" s="115" t="str">
        <v/>
      </c>
      <c r="AP50" s="98" t="str">
        <v/>
      </c>
      <c r="AQ50" s="99"/>
      <c r="AR50" s="95"/>
      <c r="AS50" s="94"/>
      <c r="AT50" s="95"/>
      <c r="AU50" s="94"/>
      <c r="AV50" s="95"/>
      <c r="AW50" s="94"/>
      <c r="AX50" s="95"/>
      <c r="AY50" s="94"/>
      <c r="AZ50" s="95"/>
      <c r="BA50" s="98" t="str">
        <v/>
      </c>
      <c r="BB50" s="98" t="str">
        <v/>
      </c>
      <c r="BC50" s="98" t="str">
        <v/>
      </c>
      <c r="BD50" s="98" t="str">
        <v/>
      </c>
      <c r="BE50" s="98" t="str">
        <v/>
      </c>
      <c r="BF50" s="98" t="str">
        <v/>
      </c>
      <c r="BG50" s="98" t="str">
        <v/>
      </c>
      <c r="BH50" s="98" t="str">
        <v/>
      </c>
      <c r="BI50" s="115" t="str">
        <v/>
      </c>
      <c r="BJ50" s="98" t="str">
        <v/>
      </c>
      <c r="BK50" s="100" t="str">
        <v/>
      </c>
      <c r="BL50" s="101" t="str">
        <v/>
      </c>
      <c r="BM50" s="101" t="str">
        <v/>
      </c>
      <c r="BN50" s="101" t="str">
        <v/>
      </c>
      <c r="BO50" s="101" t="str">
        <v/>
      </c>
      <c r="BP50" s="101" t="str">
        <v/>
      </c>
      <c r="BQ50" s="101" t="str">
        <v/>
      </c>
      <c r="BR50" s="101" t="str">
        <v/>
      </c>
      <c r="BS50" s="8" t="str">
        <v/>
      </c>
      <c r="BT50" s="102" t="str">
        <v/>
      </c>
      <c r="BU50" s="97"/>
      <c r="BV50" s="97"/>
    </row>
    <row r="51" spans="1:74">
      <c r="A51" s="104"/>
      <c r="B51" s="104"/>
      <c r="C51" s="99"/>
      <c r="D51" s="95"/>
      <c r="E51" s="94"/>
      <c r="F51" s="95"/>
      <c r="G51" s="94"/>
      <c r="H51" s="95"/>
      <c r="I51" s="94"/>
      <c r="J51" s="95"/>
      <c r="K51" s="94"/>
      <c r="L51" s="95"/>
      <c r="M51" s="98" t="str">
        <v/>
      </c>
      <c r="N51" s="98" t="str">
        <v/>
      </c>
      <c r="O51" s="98" t="str">
        <v/>
      </c>
      <c r="P51" s="98" t="str">
        <v/>
      </c>
      <c r="Q51" s="98" t="str">
        <v/>
      </c>
      <c r="R51" s="98" t="str">
        <v/>
      </c>
      <c r="S51" s="98" t="str">
        <v/>
      </c>
      <c r="T51" s="98" t="str">
        <v/>
      </c>
      <c r="U51" s="104" t="str">
        <v/>
      </c>
      <c r="V51" s="98" t="str">
        <v/>
      </c>
      <c r="W51" s="99"/>
      <c r="X51" s="95"/>
      <c r="Y51" s="94"/>
      <c r="Z51" s="95"/>
      <c r="AA51" s="94"/>
      <c r="AB51" s="95"/>
      <c r="AC51" s="94"/>
      <c r="AD51" s="95"/>
      <c r="AE51" s="94"/>
      <c r="AF51" s="95"/>
      <c r="AG51" s="98" t="str">
        <v/>
      </c>
      <c r="AH51" s="98" t="str">
        <v/>
      </c>
      <c r="AI51" s="98" t="str">
        <v/>
      </c>
      <c r="AJ51" s="98" t="str">
        <v/>
      </c>
      <c r="AK51" s="98" t="str">
        <v/>
      </c>
      <c r="AL51" s="98" t="str">
        <v/>
      </c>
      <c r="AM51" s="98" t="str">
        <v/>
      </c>
      <c r="AN51" s="98" t="str">
        <v/>
      </c>
      <c r="AO51" s="115" t="str">
        <v/>
      </c>
      <c r="AP51" s="98" t="str">
        <v/>
      </c>
      <c r="AQ51" s="99"/>
      <c r="AR51" s="95"/>
      <c r="AS51" s="94"/>
      <c r="AT51" s="95"/>
      <c r="AU51" s="94"/>
      <c r="AV51" s="95"/>
      <c r="AW51" s="94"/>
      <c r="AX51" s="95"/>
      <c r="AY51" s="94"/>
      <c r="AZ51" s="95"/>
      <c r="BA51" s="98" t="str">
        <v/>
      </c>
      <c r="BB51" s="98" t="str">
        <v/>
      </c>
      <c r="BC51" s="98" t="str">
        <v/>
      </c>
      <c r="BD51" s="98" t="str">
        <v/>
      </c>
      <c r="BE51" s="98" t="str">
        <v/>
      </c>
      <c r="BF51" s="98" t="str">
        <v/>
      </c>
      <c r="BG51" s="98" t="str">
        <v/>
      </c>
      <c r="BH51" s="98" t="str">
        <v/>
      </c>
      <c r="BI51" s="115" t="str">
        <v/>
      </c>
      <c r="BJ51" s="98" t="str">
        <v/>
      </c>
      <c r="BK51" s="100" t="str">
        <v/>
      </c>
      <c r="BL51" s="101" t="str">
        <v/>
      </c>
      <c r="BM51" s="101" t="str">
        <v/>
      </c>
      <c r="BN51" s="101" t="str">
        <v/>
      </c>
      <c r="BO51" s="101" t="str">
        <v/>
      </c>
      <c r="BP51" s="101" t="str">
        <v/>
      </c>
      <c r="BQ51" s="101" t="str">
        <v/>
      </c>
      <c r="BR51" s="101" t="str">
        <v/>
      </c>
      <c r="BS51" s="8" t="str">
        <v/>
      </c>
      <c r="BT51" s="102" t="str">
        <v/>
      </c>
      <c r="BU51" s="97"/>
      <c r="BV51" s="97"/>
    </row>
    <row r="52" spans="1:74">
      <c r="A52" s="104"/>
      <c r="B52" s="104"/>
      <c r="C52" s="99"/>
      <c r="D52" s="95"/>
      <c r="E52" s="94"/>
      <c r="F52" s="95"/>
      <c r="G52" s="94"/>
      <c r="H52" s="95"/>
      <c r="I52" s="94"/>
      <c r="J52" s="95"/>
      <c r="K52" s="94"/>
      <c r="L52" s="95"/>
      <c r="M52" s="98" t="str">
        <v/>
      </c>
      <c r="N52" s="98" t="str">
        <v/>
      </c>
      <c r="O52" s="98" t="str">
        <v/>
      </c>
      <c r="P52" s="98" t="str">
        <v/>
      </c>
      <c r="Q52" s="98" t="str">
        <v/>
      </c>
      <c r="R52" s="98" t="str">
        <v/>
      </c>
      <c r="S52" s="98" t="str">
        <v/>
      </c>
      <c r="T52" s="98" t="str">
        <v/>
      </c>
      <c r="U52" s="104" t="str">
        <v/>
      </c>
      <c r="V52" s="98" t="str">
        <v/>
      </c>
      <c r="W52" s="99"/>
      <c r="X52" s="95"/>
      <c r="Y52" s="94"/>
      <c r="Z52" s="95"/>
      <c r="AA52" s="94"/>
      <c r="AB52" s="95"/>
      <c r="AC52" s="94"/>
      <c r="AD52" s="95"/>
      <c r="AE52" s="94"/>
      <c r="AF52" s="95"/>
      <c r="AG52" s="98" t="str">
        <v/>
      </c>
      <c r="AH52" s="98" t="str">
        <v/>
      </c>
      <c r="AI52" s="98" t="str">
        <v/>
      </c>
      <c r="AJ52" s="98" t="str">
        <v/>
      </c>
      <c r="AK52" s="98" t="str">
        <v/>
      </c>
      <c r="AL52" s="98" t="str">
        <v/>
      </c>
      <c r="AM52" s="98" t="str">
        <v/>
      </c>
      <c r="AN52" s="98" t="str">
        <v/>
      </c>
      <c r="AO52" s="115" t="str">
        <v/>
      </c>
      <c r="AP52" s="98" t="str">
        <v/>
      </c>
      <c r="AQ52" s="99"/>
      <c r="AR52" s="95"/>
      <c r="AS52" s="94"/>
      <c r="AT52" s="95"/>
      <c r="AU52" s="94"/>
      <c r="AV52" s="95"/>
      <c r="AW52" s="94"/>
      <c r="AX52" s="95"/>
      <c r="AY52" s="94"/>
      <c r="AZ52" s="95"/>
      <c r="BA52" s="98" t="str">
        <v/>
      </c>
      <c r="BB52" s="98" t="str">
        <v/>
      </c>
      <c r="BC52" s="98" t="str">
        <v/>
      </c>
      <c r="BD52" s="98" t="str">
        <v/>
      </c>
      <c r="BE52" s="98" t="str">
        <v/>
      </c>
      <c r="BF52" s="98" t="str">
        <v/>
      </c>
      <c r="BG52" s="98" t="str">
        <v/>
      </c>
      <c r="BH52" s="98" t="str">
        <v/>
      </c>
      <c r="BI52" s="115" t="str">
        <v/>
      </c>
      <c r="BJ52" s="98" t="str">
        <v/>
      </c>
      <c r="BK52" s="100" t="str">
        <v/>
      </c>
      <c r="BL52" s="101" t="str">
        <v/>
      </c>
      <c r="BM52" s="101" t="str">
        <v/>
      </c>
      <c r="BN52" s="101" t="str">
        <v/>
      </c>
      <c r="BO52" s="101" t="str">
        <v/>
      </c>
      <c r="BP52" s="101" t="str">
        <v/>
      </c>
      <c r="BQ52" s="101" t="str">
        <v/>
      </c>
      <c r="BR52" s="101" t="str">
        <v/>
      </c>
      <c r="BS52" s="8" t="str">
        <v/>
      </c>
      <c r="BT52" s="102" t="str">
        <v/>
      </c>
      <c r="BU52" s="97"/>
      <c r="BV52" s="97"/>
    </row>
    <row r="53" spans="1:74">
      <c r="A53" s="104"/>
      <c r="B53" s="104"/>
      <c r="C53" s="99"/>
      <c r="D53" s="95"/>
      <c r="E53" s="94"/>
      <c r="F53" s="95"/>
      <c r="G53" s="94"/>
      <c r="H53" s="95"/>
      <c r="I53" s="94"/>
      <c r="J53" s="95"/>
      <c r="K53" s="94"/>
      <c r="L53" s="95"/>
      <c r="M53" s="98" t="str">
        <v/>
      </c>
      <c r="N53" s="98" t="str">
        <v/>
      </c>
      <c r="O53" s="98" t="str">
        <v/>
      </c>
      <c r="P53" s="98" t="str">
        <v/>
      </c>
      <c r="Q53" s="98" t="str">
        <v/>
      </c>
      <c r="R53" s="98" t="str">
        <v/>
      </c>
      <c r="S53" s="98" t="str">
        <v/>
      </c>
      <c r="T53" s="98" t="str">
        <v/>
      </c>
      <c r="U53" s="104" t="str">
        <v/>
      </c>
      <c r="V53" s="98" t="str">
        <v/>
      </c>
      <c r="W53" s="99"/>
      <c r="X53" s="95"/>
      <c r="Y53" s="94"/>
      <c r="Z53" s="95"/>
      <c r="AA53" s="94"/>
      <c r="AB53" s="95"/>
      <c r="AC53" s="94"/>
      <c r="AD53" s="95"/>
      <c r="AE53" s="94"/>
      <c r="AF53" s="95"/>
      <c r="AG53" s="98" t="str">
        <v/>
      </c>
      <c r="AH53" s="98" t="str">
        <v/>
      </c>
      <c r="AI53" s="98" t="str">
        <v/>
      </c>
      <c r="AJ53" s="98" t="str">
        <v/>
      </c>
      <c r="AK53" s="98" t="str">
        <v/>
      </c>
      <c r="AL53" s="98" t="str">
        <v/>
      </c>
      <c r="AM53" s="98" t="str">
        <v/>
      </c>
      <c r="AN53" s="98" t="str">
        <v/>
      </c>
      <c r="AO53" s="115" t="str">
        <v/>
      </c>
      <c r="AP53" s="98" t="str">
        <v/>
      </c>
      <c r="AQ53" s="99"/>
      <c r="AR53" s="95"/>
      <c r="AS53" s="94"/>
      <c r="AT53" s="95"/>
      <c r="AU53" s="94"/>
      <c r="AV53" s="95"/>
      <c r="AW53" s="94"/>
      <c r="AX53" s="95"/>
      <c r="AY53" s="94"/>
      <c r="AZ53" s="95"/>
      <c r="BA53" s="98" t="str">
        <v/>
      </c>
      <c r="BB53" s="98" t="str">
        <v/>
      </c>
      <c r="BC53" s="98" t="str">
        <v/>
      </c>
      <c r="BD53" s="98" t="str">
        <v/>
      </c>
      <c r="BE53" s="98" t="str">
        <v/>
      </c>
      <c r="BF53" s="98" t="str">
        <v/>
      </c>
      <c r="BG53" s="98" t="str">
        <v/>
      </c>
      <c r="BH53" s="98" t="str">
        <v/>
      </c>
      <c r="BI53" s="115" t="str">
        <v/>
      </c>
      <c r="BJ53" s="98" t="str">
        <v/>
      </c>
      <c r="BK53" s="100" t="str">
        <v/>
      </c>
      <c r="BL53" s="101" t="str">
        <v/>
      </c>
      <c r="BM53" s="101" t="str">
        <v/>
      </c>
      <c r="BN53" s="101" t="str">
        <v/>
      </c>
      <c r="BO53" s="101" t="str">
        <v/>
      </c>
      <c r="BP53" s="101" t="str">
        <v/>
      </c>
      <c r="BQ53" s="101" t="str">
        <v/>
      </c>
      <c r="BR53" s="101" t="str">
        <v/>
      </c>
      <c r="BS53" s="8" t="str">
        <v/>
      </c>
      <c r="BT53" s="102" t="str">
        <v/>
      </c>
      <c r="BU53" s="97"/>
      <c r="BV53" s="97"/>
    </row>
    <row r="54" spans="1:74">
      <c r="A54" s="104"/>
      <c r="B54" s="104"/>
      <c r="C54" s="99"/>
      <c r="D54" s="95"/>
      <c r="E54" s="94"/>
      <c r="F54" s="95"/>
      <c r="G54" s="94"/>
      <c r="H54" s="95"/>
      <c r="I54" s="94"/>
      <c r="J54" s="95"/>
      <c r="K54" s="94"/>
      <c r="L54" s="95"/>
      <c r="M54" s="98" t="str">
        <v/>
      </c>
      <c r="N54" s="98" t="str">
        <v/>
      </c>
      <c r="O54" s="98" t="str">
        <v/>
      </c>
      <c r="P54" s="98" t="str">
        <v/>
      </c>
      <c r="Q54" s="98" t="str">
        <v/>
      </c>
      <c r="R54" s="98" t="str">
        <v/>
      </c>
      <c r="S54" s="98" t="str">
        <v/>
      </c>
      <c r="T54" s="98" t="str">
        <v/>
      </c>
      <c r="U54" s="104" t="str">
        <v/>
      </c>
      <c r="V54" s="98" t="str">
        <v/>
      </c>
      <c r="W54" s="99"/>
      <c r="X54" s="95"/>
      <c r="Y54" s="94"/>
      <c r="Z54" s="95"/>
      <c r="AA54" s="94"/>
      <c r="AB54" s="95"/>
      <c r="AC54" s="94"/>
      <c r="AD54" s="95"/>
      <c r="AE54" s="94"/>
      <c r="AF54" s="95"/>
      <c r="AG54" s="98" t="str">
        <v/>
      </c>
      <c r="AH54" s="98" t="str">
        <v/>
      </c>
      <c r="AI54" s="98" t="str">
        <v/>
      </c>
      <c r="AJ54" s="98" t="str">
        <v/>
      </c>
      <c r="AK54" s="98" t="str">
        <v/>
      </c>
      <c r="AL54" s="98" t="str">
        <v/>
      </c>
      <c r="AM54" s="98" t="str">
        <v/>
      </c>
      <c r="AN54" s="98" t="str">
        <v/>
      </c>
      <c r="AO54" s="115" t="str">
        <v/>
      </c>
      <c r="AP54" s="98" t="str">
        <v/>
      </c>
      <c r="AQ54" s="99"/>
      <c r="AR54" s="95"/>
      <c r="AS54" s="94"/>
      <c r="AT54" s="95"/>
      <c r="AU54" s="94"/>
      <c r="AV54" s="95"/>
      <c r="AW54" s="94"/>
      <c r="AX54" s="95"/>
      <c r="AY54" s="94"/>
      <c r="AZ54" s="95"/>
      <c r="BA54" s="98" t="str">
        <v/>
      </c>
      <c r="BB54" s="98" t="str">
        <v/>
      </c>
      <c r="BC54" s="98" t="str">
        <v/>
      </c>
      <c r="BD54" s="98" t="str">
        <v/>
      </c>
      <c r="BE54" s="98" t="str">
        <v/>
      </c>
      <c r="BF54" s="98" t="str">
        <v/>
      </c>
      <c r="BG54" s="98" t="str">
        <v/>
      </c>
      <c r="BH54" s="98" t="str">
        <v/>
      </c>
      <c r="BI54" s="115" t="str">
        <v/>
      </c>
      <c r="BJ54" s="98" t="str">
        <v/>
      </c>
      <c r="BK54" s="100" t="str">
        <v/>
      </c>
      <c r="BL54" s="101" t="str">
        <v/>
      </c>
      <c r="BM54" s="101" t="str">
        <v/>
      </c>
      <c r="BN54" s="101" t="str">
        <v/>
      </c>
      <c r="BO54" s="101" t="str">
        <v/>
      </c>
      <c r="BP54" s="101" t="str">
        <v/>
      </c>
      <c r="BQ54" s="101" t="str">
        <v/>
      </c>
      <c r="BR54" s="101" t="str">
        <v/>
      </c>
      <c r="BS54" s="8" t="str">
        <v/>
      </c>
      <c r="BT54" s="102" t="str">
        <v/>
      </c>
      <c r="BU54" s="97"/>
      <c r="BV54" s="97"/>
    </row>
    <row r="55" spans="1:74">
      <c r="A55" s="104"/>
      <c r="B55" s="104"/>
      <c r="C55" s="99"/>
      <c r="D55" s="95"/>
      <c r="E55" s="94"/>
      <c r="F55" s="95"/>
      <c r="G55" s="94"/>
      <c r="H55" s="95"/>
      <c r="I55" s="94"/>
      <c r="J55" s="95"/>
      <c r="K55" s="94"/>
      <c r="L55" s="95"/>
      <c r="M55" s="98" t="str">
        <v/>
      </c>
      <c r="N55" s="98" t="str">
        <v/>
      </c>
      <c r="O55" s="98" t="str">
        <v/>
      </c>
      <c r="P55" s="98" t="str">
        <v/>
      </c>
      <c r="Q55" s="98" t="str">
        <v/>
      </c>
      <c r="R55" s="98" t="str">
        <v/>
      </c>
      <c r="S55" s="98" t="str">
        <v/>
      </c>
      <c r="T55" s="98" t="str">
        <v/>
      </c>
      <c r="U55" s="104" t="str">
        <v/>
      </c>
      <c r="V55" s="98" t="str">
        <v/>
      </c>
      <c r="W55" s="99"/>
      <c r="X55" s="95"/>
      <c r="Y55" s="94"/>
      <c r="Z55" s="95"/>
      <c r="AA55" s="94"/>
      <c r="AB55" s="95"/>
      <c r="AC55" s="94"/>
      <c r="AD55" s="95"/>
      <c r="AE55" s="94"/>
      <c r="AF55" s="95"/>
      <c r="AG55" s="98" t="str">
        <v/>
      </c>
      <c r="AH55" s="98" t="str">
        <v/>
      </c>
      <c r="AI55" s="98" t="str">
        <v/>
      </c>
      <c r="AJ55" s="98" t="str">
        <v/>
      </c>
      <c r="AK55" s="98" t="str">
        <v/>
      </c>
      <c r="AL55" s="98" t="str">
        <v/>
      </c>
      <c r="AM55" s="98" t="str">
        <v/>
      </c>
      <c r="AN55" s="98" t="str">
        <v/>
      </c>
      <c r="AO55" s="115" t="str">
        <v/>
      </c>
      <c r="AP55" s="98" t="str">
        <v/>
      </c>
      <c r="AQ55" s="99"/>
      <c r="AR55" s="95"/>
      <c r="AS55" s="94"/>
      <c r="AT55" s="95"/>
      <c r="AU55" s="94"/>
      <c r="AV55" s="95"/>
      <c r="AW55" s="94"/>
      <c r="AX55" s="95"/>
      <c r="AY55" s="94"/>
      <c r="AZ55" s="95"/>
      <c r="BA55" s="98" t="str">
        <v/>
      </c>
      <c r="BB55" s="98" t="str">
        <v/>
      </c>
      <c r="BC55" s="98" t="str">
        <v/>
      </c>
      <c r="BD55" s="98" t="str">
        <v/>
      </c>
      <c r="BE55" s="98" t="str">
        <v/>
      </c>
      <c r="BF55" s="98" t="str">
        <v/>
      </c>
      <c r="BG55" s="98" t="str">
        <v/>
      </c>
      <c r="BH55" s="98" t="str">
        <v/>
      </c>
      <c r="BI55" s="115" t="str">
        <v/>
      </c>
      <c r="BJ55" s="98" t="str">
        <v/>
      </c>
      <c r="BK55" s="100" t="str">
        <v/>
      </c>
      <c r="BL55" s="101" t="str">
        <v/>
      </c>
      <c r="BM55" s="101" t="str">
        <v/>
      </c>
      <c r="BN55" s="101" t="str">
        <v/>
      </c>
      <c r="BO55" s="101" t="str">
        <v/>
      </c>
      <c r="BP55" s="101" t="str">
        <v/>
      </c>
      <c r="BQ55" s="101" t="str">
        <v/>
      </c>
      <c r="BR55" s="101" t="str">
        <v/>
      </c>
      <c r="BS55" s="8" t="str">
        <v/>
      </c>
      <c r="BT55" s="102" t="str">
        <v/>
      </c>
      <c r="BU55" s="97"/>
      <c r="BV55" s="97"/>
    </row>
    <row r="56" spans="1:74">
      <c r="A56" s="104"/>
      <c r="B56" s="104"/>
      <c r="C56" s="99"/>
      <c r="D56" s="95"/>
      <c r="E56" s="94"/>
      <c r="F56" s="95"/>
      <c r="G56" s="94"/>
      <c r="H56" s="95"/>
      <c r="I56" s="94"/>
      <c r="J56" s="95"/>
      <c r="K56" s="94"/>
      <c r="L56" s="95"/>
      <c r="M56" s="98" t="str">
        <v/>
      </c>
      <c r="N56" s="98" t="str">
        <v/>
      </c>
      <c r="O56" s="98" t="str">
        <v/>
      </c>
      <c r="P56" s="98" t="str">
        <v/>
      </c>
      <c r="Q56" s="98" t="str">
        <v/>
      </c>
      <c r="R56" s="98" t="str">
        <v/>
      </c>
      <c r="S56" s="98" t="str">
        <v/>
      </c>
      <c r="T56" s="98" t="str">
        <v/>
      </c>
      <c r="U56" s="104" t="str">
        <v/>
      </c>
      <c r="V56" s="98" t="str">
        <v/>
      </c>
      <c r="W56" s="99"/>
      <c r="X56" s="95"/>
      <c r="Y56" s="94"/>
      <c r="Z56" s="95"/>
      <c r="AA56" s="94"/>
      <c r="AB56" s="95"/>
      <c r="AC56" s="94"/>
      <c r="AD56" s="95"/>
      <c r="AE56" s="94"/>
      <c r="AF56" s="95"/>
      <c r="AG56" s="98" t="str">
        <v/>
      </c>
      <c r="AH56" s="98" t="str">
        <v/>
      </c>
      <c r="AI56" s="98" t="str">
        <v/>
      </c>
      <c r="AJ56" s="98" t="str">
        <v/>
      </c>
      <c r="AK56" s="98" t="str">
        <v/>
      </c>
      <c r="AL56" s="98" t="str">
        <v/>
      </c>
      <c r="AM56" s="98" t="str">
        <v/>
      </c>
      <c r="AN56" s="98" t="str">
        <v/>
      </c>
      <c r="AO56" s="115" t="str">
        <v/>
      </c>
      <c r="AP56" s="98" t="str">
        <v/>
      </c>
      <c r="AQ56" s="99"/>
      <c r="AR56" s="95"/>
      <c r="AS56" s="94"/>
      <c r="AT56" s="95"/>
      <c r="AU56" s="94"/>
      <c r="AV56" s="95"/>
      <c r="AW56" s="94"/>
      <c r="AX56" s="95"/>
      <c r="AY56" s="94"/>
      <c r="AZ56" s="95"/>
      <c r="BA56" s="98" t="str">
        <v/>
      </c>
      <c r="BB56" s="98" t="str">
        <v/>
      </c>
      <c r="BC56" s="98" t="str">
        <v/>
      </c>
      <c r="BD56" s="98" t="str">
        <v/>
      </c>
      <c r="BE56" s="98" t="str">
        <v/>
      </c>
      <c r="BF56" s="98" t="str">
        <v/>
      </c>
      <c r="BG56" s="98" t="str">
        <v/>
      </c>
      <c r="BH56" s="98" t="str">
        <v/>
      </c>
      <c r="BI56" s="115" t="str">
        <v/>
      </c>
      <c r="BJ56" s="98" t="str">
        <v/>
      </c>
      <c r="BK56" s="100" t="str">
        <v/>
      </c>
      <c r="BL56" s="101" t="str">
        <v/>
      </c>
      <c r="BM56" s="101" t="str">
        <v/>
      </c>
      <c r="BN56" s="101" t="str">
        <v/>
      </c>
      <c r="BO56" s="101" t="str">
        <v/>
      </c>
      <c r="BP56" s="101" t="str">
        <v/>
      </c>
      <c r="BQ56" s="101" t="str">
        <v/>
      </c>
      <c r="BR56" s="101" t="str">
        <v/>
      </c>
      <c r="BS56" s="8" t="str">
        <v/>
      </c>
      <c r="BT56" s="102" t="str">
        <v/>
      </c>
      <c r="BU56" s="97"/>
      <c r="BV56" s="97"/>
    </row>
    <row r="57" spans="1:74">
      <c r="A57" s="104"/>
      <c r="B57" s="104"/>
      <c r="C57" s="99"/>
      <c r="D57" s="95"/>
      <c r="E57" s="94"/>
      <c r="F57" s="95"/>
      <c r="G57" s="94"/>
      <c r="H57" s="95"/>
      <c r="I57" s="94"/>
      <c r="J57" s="95"/>
      <c r="K57" s="94"/>
      <c r="L57" s="95"/>
      <c r="M57" s="98" t="str">
        <v/>
      </c>
      <c r="N57" s="98" t="str">
        <v/>
      </c>
      <c r="O57" s="98" t="str">
        <v/>
      </c>
      <c r="P57" s="98" t="str">
        <v/>
      </c>
      <c r="Q57" s="98" t="str">
        <v/>
      </c>
      <c r="R57" s="98" t="str">
        <v/>
      </c>
      <c r="S57" s="98" t="str">
        <v/>
      </c>
      <c r="T57" s="98" t="str">
        <v/>
      </c>
      <c r="U57" s="104" t="str">
        <v/>
      </c>
      <c r="V57" s="98" t="str">
        <v/>
      </c>
      <c r="W57" s="99"/>
      <c r="X57" s="95"/>
      <c r="Y57" s="94"/>
      <c r="Z57" s="95"/>
      <c r="AA57" s="94"/>
      <c r="AB57" s="95"/>
      <c r="AC57" s="94"/>
      <c r="AD57" s="95"/>
      <c r="AE57" s="94"/>
      <c r="AF57" s="95"/>
      <c r="AG57" s="98" t="str">
        <v/>
      </c>
      <c r="AH57" s="98" t="str">
        <v/>
      </c>
      <c r="AI57" s="98" t="str">
        <v/>
      </c>
      <c r="AJ57" s="98" t="str">
        <v/>
      </c>
      <c r="AK57" s="98" t="str">
        <v/>
      </c>
      <c r="AL57" s="98" t="str">
        <v/>
      </c>
      <c r="AM57" s="98" t="str">
        <v/>
      </c>
      <c r="AN57" s="98" t="str">
        <v/>
      </c>
      <c r="AO57" s="115" t="str">
        <v/>
      </c>
      <c r="AP57" s="98" t="str">
        <v/>
      </c>
      <c r="AQ57" s="99"/>
      <c r="AR57" s="95"/>
      <c r="AS57" s="94"/>
      <c r="AT57" s="95"/>
      <c r="AU57" s="94"/>
      <c r="AV57" s="95"/>
      <c r="AW57" s="94"/>
      <c r="AX57" s="95"/>
      <c r="AY57" s="94"/>
      <c r="AZ57" s="95"/>
      <c r="BA57" s="98" t="str">
        <v/>
      </c>
      <c r="BB57" s="98" t="str">
        <v/>
      </c>
      <c r="BC57" s="98" t="str">
        <v/>
      </c>
      <c r="BD57" s="98" t="str">
        <v/>
      </c>
      <c r="BE57" s="98" t="str">
        <v/>
      </c>
      <c r="BF57" s="98" t="str">
        <v/>
      </c>
      <c r="BG57" s="98" t="str">
        <v/>
      </c>
      <c r="BH57" s="98" t="str">
        <v/>
      </c>
      <c r="BI57" s="115" t="str">
        <v/>
      </c>
      <c r="BJ57" s="98" t="str">
        <v/>
      </c>
      <c r="BK57" s="100" t="str">
        <v/>
      </c>
      <c r="BL57" s="101" t="str">
        <v/>
      </c>
      <c r="BM57" s="101" t="str">
        <v/>
      </c>
      <c r="BN57" s="101" t="str">
        <v/>
      </c>
      <c r="BO57" s="101" t="str">
        <v/>
      </c>
      <c r="BP57" s="101" t="str">
        <v/>
      </c>
      <c r="BQ57" s="101" t="str">
        <v/>
      </c>
      <c r="BR57" s="101" t="str">
        <v/>
      </c>
      <c r="BS57" s="8" t="str">
        <v/>
      </c>
      <c r="BT57" s="102" t="str">
        <v/>
      </c>
      <c r="BU57" s="97"/>
      <c r="BV57" s="97"/>
    </row>
    <row r="58" spans="1:74">
      <c r="A58" s="104"/>
      <c r="B58" s="104"/>
      <c r="C58" s="99"/>
      <c r="D58" s="95"/>
      <c r="E58" s="94"/>
      <c r="F58" s="95"/>
      <c r="G58" s="94"/>
      <c r="H58" s="95"/>
      <c r="I58" s="94"/>
      <c r="J58" s="95"/>
      <c r="K58" s="94"/>
      <c r="L58" s="95"/>
      <c r="M58" s="98" t="str">
        <v/>
      </c>
      <c r="N58" s="98" t="str">
        <v/>
      </c>
      <c r="O58" s="98" t="str">
        <v/>
      </c>
      <c r="P58" s="98" t="str">
        <v/>
      </c>
      <c r="Q58" s="98" t="str">
        <v/>
      </c>
      <c r="R58" s="98" t="str">
        <v/>
      </c>
      <c r="S58" s="98" t="str">
        <v/>
      </c>
      <c r="T58" s="98" t="str">
        <v/>
      </c>
      <c r="U58" s="104" t="str">
        <v/>
      </c>
      <c r="V58" s="98" t="str">
        <v/>
      </c>
      <c r="W58" s="99"/>
      <c r="X58" s="95"/>
      <c r="Y58" s="94"/>
      <c r="Z58" s="95"/>
      <c r="AA58" s="94"/>
      <c r="AB58" s="95"/>
      <c r="AC58" s="94"/>
      <c r="AD58" s="95"/>
      <c r="AE58" s="94"/>
      <c r="AF58" s="95"/>
      <c r="AG58" s="98" t="str">
        <v/>
      </c>
      <c r="AH58" s="98" t="str">
        <v/>
      </c>
      <c r="AI58" s="98" t="str">
        <v/>
      </c>
      <c r="AJ58" s="98" t="str">
        <v/>
      </c>
      <c r="AK58" s="98" t="str">
        <v/>
      </c>
      <c r="AL58" s="98" t="str">
        <v/>
      </c>
      <c r="AM58" s="98" t="str">
        <v/>
      </c>
      <c r="AN58" s="98" t="str">
        <v/>
      </c>
      <c r="AO58" s="115" t="str">
        <v/>
      </c>
      <c r="AP58" s="98" t="str">
        <v/>
      </c>
      <c r="AQ58" s="99"/>
      <c r="AR58" s="95"/>
      <c r="AS58" s="94"/>
      <c r="AT58" s="95"/>
      <c r="AU58" s="94"/>
      <c r="AV58" s="95"/>
      <c r="AW58" s="94"/>
      <c r="AX58" s="95"/>
      <c r="AY58" s="94"/>
      <c r="AZ58" s="95"/>
      <c r="BA58" s="98" t="str">
        <v/>
      </c>
      <c r="BB58" s="98" t="str">
        <v/>
      </c>
      <c r="BC58" s="98" t="str">
        <v/>
      </c>
      <c r="BD58" s="98" t="str">
        <v/>
      </c>
      <c r="BE58" s="98" t="str">
        <v/>
      </c>
      <c r="BF58" s="98" t="str">
        <v/>
      </c>
      <c r="BG58" s="98" t="str">
        <v/>
      </c>
      <c r="BH58" s="98" t="str">
        <v/>
      </c>
      <c r="BI58" s="115" t="str">
        <v/>
      </c>
      <c r="BJ58" s="98" t="str">
        <v/>
      </c>
      <c r="BK58" s="100" t="str">
        <v/>
      </c>
      <c r="BL58" s="101" t="str">
        <v/>
      </c>
      <c r="BM58" s="101" t="str">
        <v/>
      </c>
      <c r="BN58" s="101" t="str">
        <v/>
      </c>
      <c r="BO58" s="101" t="str">
        <v/>
      </c>
      <c r="BP58" s="101" t="str">
        <v/>
      </c>
      <c r="BQ58" s="101" t="str">
        <v/>
      </c>
      <c r="BR58" s="101" t="str">
        <v/>
      </c>
      <c r="BS58" s="8" t="str">
        <v/>
      </c>
      <c r="BT58" s="102" t="str">
        <v/>
      </c>
      <c r="BU58" s="97"/>
      <c r="BV58" s="97"/>
    </row>
    <row r="59" spans="1:74">
      <c r="A59" s="104"/>
      <c r="B59" s="104"/>
      <c r="C59" s="99"/>
      <c r="D59" s="95"/>
      <c r="E59" s="94"/>
      <c r="F59" s="95"/>
      <c r="G59" s="94"/>
      <c r="H59" s="95"/>
      <c r="I59" s="94"/>
      <c r="J59" s="95"/>
      <c r="K59" s="94"/>
      <c r="L59" s="95"/>
      <c r="M59" s="98" t="str">
        <v/>
      </c>
      <c r="N59" s="98" t="str">
        <v/>
      </c>
      <c r="O59" s="98" t="str">
        <v/>
      </c>
      <c r="P59" s="98" t="str">
        <v/>
      </c>
      <c r="Q59" s="98" t="str">
        <v/>
      </c>
      <c r="R59" s="98" t="str">
        <v/>
      </c>
      <c r="S59" s="98" t="str">
        <v/>
      </c>
      <c r="T59" s="98" t="str">
        <v/>
      </c>
      <c r="U59" s="104" t="str">
        <v/>
      </c>
      <c r="V59" s="98" t="str">
        <v/>
      </c>
      <c r="W59" s="99"/>
      <c r="X59" s="95"/>
      <c r="Y59" s="94"/>
      <c r="Z59" s="95"/>
      <c r="AA59" s="94"/>
      <c r="AB59" s="95"/>
      <c r="AC59" s="94"/>
      <c r="AD59" s="95"/>
      <c r="AE59" s="94"/>
      <c r="AF59" s="95"/>
      <c r="AG59" s="98" t="str">
        <v/>
      </c>
      <c r="AH59" s="98" t="str">
        <v/>
      </c>
      <c r="AI59" s="98" t="str">
        <v/>
      </c>
      <c r="AJ59" s="98" t="str">
        <v/>
      </c>
      <c r="AK59" s="98" t="str">
        <v/>
      </c>
      <c r="AL59" s="98" t="str">
        <v/>
      </c>
      <c r="AM59" s="98" t="str">
        <v/>
      </c>
      <c r="AN59" s="98" t="str">
        <v/>
      </c>
      <c r="AO59" s="115" t="str">
        <v/>
      </c>
      <c r="AP59" s="98" t="str">
        <v/>
      </c>
      <c r="AQ59" s="99"/>
      <c r="AR59" s="95"/>
      <c r="AS59" s="94"/>
      <c r="AT59" s="95"/>
      <c r="AU59" s="94"/>
      <c r="AV59" s="95"/>
      <c r="AW59" s="94"/>
      <c r="AX59" s="95"/>
      <c r="AY59" s="94"/>
      <c r="AZ59" s="95"/>
      <c r="BA59" s="98" t="str">
        <v/>
      </c>
      <c r="BB59" s="98" t="str">
        <v/>
      </c>
      <c r="BC59" s="98" t="str">
        <v/>
      </c>
      <c r="BD59" s="98" t="str">
        <v/>
      </c>
      <c r="BE59" s="98" t="str">
        <v/>
      </c>
      <c r="BF59" s="98" t="str">
        <v/>
      </c>
      <c r="BG59" s="98" t="str">
        <v/>
      </c>
      <c r="BH59" s="98" t="str">
        <v/>
      </c>
      <c r="BI59" s="115" t="str">
        <v/>
      </c>
      <c r="BJ59" s="98" t="str">
        <v/>
      </c>
      <c r="BK59" s="100" t="str">
        <v/>
      </c>
      <c r="BL59" s="101" t="str">
        <v/>
      </c>
      <c r="BM59" s="101" t="str">
        <v/>
      </c>
      <c r="BN59" s="101" t="str">
        <v/>
      </c>
      <c r="BO59" s="101" t="str">
        <v/>
      </c>
      <c r="BP59" s="101" t="str">
        <v/>
      </c>
      <c r="BQ59" s="101" t="str">
        <v/>
      </c>
      <c r="BR59" s="101" t="str">
        <v/>
      </c>
      <c r="BS59" s="8" t="str">
        <v/>
      </c>
      <c r="BT59" s="102" t="str">
        <v/>
      </c>
      <c r="BU59" s="97"/>
      <c r="BV59" s="97"/>
    </row>
    <row r="60" spans="1:74">
      <c r="A60" s="104"/>
      <c r="B60" s="104"/>
      <c r="C60" s="99"/>
      <c r="D60" s="95"/>
      <c r="E60" s="94"/>
      <c r="F60" s="95"/>
      <c r="G60" s="94"/>
      <c r="H60" s="95"/>
      <c r="I60" s="94"/>
      <c r="J60" s="95"/>
      <c r="K60" s="94"/>
      <c r="L60" s="95"/>
      <c r="M60" s="98" t="str">
        <v/>
      </c>
      <c r="N60" s="98" t="str">
        <v/>
      </c>
      <c r="O60" s="98" t="str">
        <v/>
      </c>
      <c r="P60" s="98" t="str">
        <v/>
      </c>
      <c r="Q60" s="98" t="str">
        <v/>
      </c>
      <c r="R60" s="98" t="str">
        <v/>
      </c>
      <c r="S60" s="98" t="str">
        <v/>
      </c>
      <c r="T60" s="98" t="str">
        <v/>
      </c>
      <c r="U60" s="104" t="str">
        <v/>
      </c>
      <c r="V60" s="98" t="str">
        <v/>
      </c>
      <c r="W60" s="99"/>
      <c r="X60" s="95"/>
      <c r="Y60" s="94"/>
      <c r="Z60" s="95"/>
      <c r="AA60" s="94"/>
      <c r="AB60" s="95"/>
      <c r="AC60" s="94"/>
      <c r="AD60" s="95"/>
      <c r="AE60" s="94"/>
      <c r="AF60" s="95"/>
      <c r="AG60" s="98" t="str">
        <v/>
      </c>
      <c r="AH60" s="98" t="str">
        <v/>
      </c>
      <c r="AI60" s="98" t="str">
        <v/>
      </c>
      <c r="AJ60" s="98" t="str">
        <v/>
      </c>
      <c r="AK60" s="98" t="str">
        <v/>
      </c>
      <c r="AL60" s="98" t="str">
        <v/>
      </c>
      <c r="AM60" s="98" t="str">
        <v/>
      </c>
      <c r="AN60" s="98" t="str">
        <v/>
      </c>
      <c r="AO60" s="115" t="str">
        <v/>
      </c>
      <c r="AP60" s="98" t="str">
        <v/>
      </c>
      <c r="AQ60" s="99"/>
      <c r="AR60" s="95"/>
      <c r="AS60" s="94"/>
      <c r="AT60" s="95"/>
      <c r="AU60" s="94"/>
      <c r="AV60" s="95"/>
      <c r="AW60" s="94"/>
      <c r="AX60" s="95"/>
      <c r="AY60" s="94"/>
      <c r="AZ60" s="95"/>
      <c r="BA60" s="98" t="str">
        <v/>
      </c>
      <c r="BB60" s="98" t="str">
        <v/>
      </c>
      <c r="BC60" s="98" t="str">
        <v/>
      </c>
      <c r="BD60" s="98" t="str">
        <v/>
      </c>
      <c r="BE60" s="98" t="str">
        <v/>
      </c>
      <c r="BF60" s="98" t="str">
        <v/>
      </c>
      <c r="BG60" s="98" t="str">
        <v/>
      </c>
      <c r="BH60" s="98" t="str">
        <v/>
      </c>
      <c r="BI60" s="115" t="str">
        <v/>
      </c>
      <c r="BJ60" s="98" t="str">
        <v/>
      </c>
      <c r="BK60" s="100" t="str">
        <v/>
      </c>
      <c r="BL60" s="101" t="str">
        <v/>
      </c>
      <c r="BM60" s="101" t="str">
        <v/>
      </c>
      <c r="BN60" s="101" t="str">
        <v/>
      </c>
      <c r="BO60" s="101" t="str">
        <v/>
      </c>
      <c r="BP60" s="101" t="str">
        <v/>
      </c>
      <c r="BQ60" s="101" t="str">
        <v/>
      </c>
      <c r="BR60" s="101" t="str">
        <v/>
      </c>
      <c r="BS60" s="8" t="str">
        <v/>
      </c>
      <c r="BT60" s="102" t="str">
        <v/>
      </c>
      <c r="BU60" s="97"/>
      <c r="BV60" s="97"/>
    </row>
    <row r="61" spans="1:74">
      <c r="A61" s="104"/>
      <c r="B61" s="104"/>
      <c r="C61" s="99"/>
      <c r="D61" s="95"/>
      <c r="E61" s="94"/>
      <c r="F61" s="95"/>
      <c r="G61" s="94"/>
      <c r="H61" s="95"/>
      <c r="I61" s="94"/>
      <c r="J61" s="95"/>
      <c r="K61" s="94"/>
      <c r="L61" s="95"/>
      <c r="M61" s="98" t="str">
        <v/>
      </c>
      <c r="N61" s="98" t="str">
        <v/>
      </c>
      <c r="O61" s="98" t="str">
        <v/>
      </c>
      <c r="P61" s="98" t="str">
        <v/>
      </c>
      <c r="Q61" s="98" t="str">
        <v/>
      </c>
      <c r="R61" s="98" t="str">
        <v/>
      </c>
      <c r="S61" s="98" t="str">
        <v/>
      </c>
      <c r="T61" s="98" t="str">
        <v/>
      </c>
      <c r="U61" s="104" t="str">
        <v/>
      </c>
      <c r="V61" s="98" t="str">
        <v/>
      </c>
      <c r="W61" s="99"/>
      <c r="X61" s="95"/>
      <c r="Y61" s="94"/>
      <c r="Z61" s="95"/>
      <c r="AA61" s="94"/>
      <c r="AB61" s="95"/>
      <c r="AC61" s="94"/>
      <c r="AD61" s="95"/>
      <c r="AE61" s="94"/>
      <c r="AF61" s="95"/>
      <c r="AG61" s="98" t="str">
        <v/>
      </c>
      <c r="AH61" s="98" t="str">
        <v/>
      </c>
      <c r="AI61" s="98" t="str">
        <v/>
      </c>
      <c r="AJ61" s="98" t="str">
        <v/>
      </c>
      <c r="AK61" s="98" t="str">
        <v/>
      </c>
      <c r="AL61" s="98" t="str">
        <v/>
      </c>
      <c r="AM61" s="98" t="str">
        <v/>
      </c>
      <c r="AN61" s="98" t="str">
        <v/>
      </c>
      <c r="AO61" s="115" t="str">
        <v/>
      </c>
      <c r="AP61" s="98" t="str">
        <v/>
      </c>
      <c r="AQ61" s="99"/>
      <c r="AR61" s="95"/>
      <c r="AS61" s="94"/>
      <c r="AT61" s="95"/>
      <c r="AU61" s="94"/>
      <c r="AV61" s="95"/>
      <c r="AW61" s="94"/>
      <c r="AX61" s="95"/>
      <c r="AY61" s="94"/>
      <c r="AZ61" s="95"/>
      <c r="BA61" s="98" t="str">
        <v/>
      </c>
      <c r="BB61" s="98" t="str">
        <v/>
      </c>
      <c r="BC61" s="98" t="str">
        <v/>
      </c>
      <c r="BD61" s="98" t="str">
        <v/>
      </c>
      <c r="BE61" s="98" t="str">
        <v/>
      </c>
      <c r="BF61" s="98" t="str">
        <v/>
      </c>
      <c r="BG61" s="98" t="str">
        <v/>
      </c>
      <c r="BH61" s="98" t="str">
        <v/>
      </c>
      <c r="BI61" s="115" t="str">
        <v/>
      </c>
      <c r="BJ61" s="98" t="str">
        <v/>
      </c>
      <c r="BK61" s="100" t="str">
        <v/>
      </c>
      <c r="BL61" s="101" t="str">
        <v/>
      </c>
      <c r="BM61" s="101" t="str">
        <v/>
      </c>
      <c r="BN61" s="101" t="str">
        <v/>
      </c>
      <c r="BO61" s="101" t="str">
        <v/>
      </c>
      <c r="BP61" s="101" t="str">
        <v/>
      </c>
      <c r="BQ61" s="101" t="str">
        <v/>
      </c>
      <c r="BR61" s="101" t="str">
        <v/>
      </c>
      <c r="BS61" s="8" t="str">
        <v/>
      </c>
      <c r="BT61" s="102" t="str">
        <v/>
      </c>
      <c r="BU61" s="97"/>
      <c r="BV61" s="97"/>
    </row>
    <row r="62" spans="1:74">
      <c r="A62" s="104"/>
      <c r="B62" s="104"/>
      <c r="C62" s="99"/>
      <c r="D62" s="95"/>
      <c r="E62" s="94"/>
      <c r="F62" s="95"/>
      <c r="G62" s="94"/>
      <c r="H62" s="95"/>
      <c r="I62" s="94"/>
      <c r="J62" s="95"/>
      <c r="K62" s="94"/>
      <c r="L62" s="95"/>
      <c r="M62" s="98" t="str">
        <v/>
      </c>
      <c r="N62" s="98" t="str">
        <v/>
      </c>
      <c r="O62" s="98" t="str">
        <v/>
      </c>
      <c r="P62" s="98" t="str">
        <v/>
      </c>
      <c r="Q62" s="98" t="str">
        <v/>
      </c>
      <c r="R62" s="98" t="str">
        <v/>
      </c>
      <c r="S62" s="98" t="str">
        <v/>
      </c>
      <c r="T62" s="98" t="str">
        <v/>
      </c>
      <c r="U62" s="104" t="str">
        <v/>
      </c>
      <c r="V62" s="98" t="str">
        <v/>
      </c>
      <c r="W62" s="99"/>
      <c r="X62" s="95"/>
      <c r="Y62" s="94"/>
      <c r="Z62" s="95"/>
      <c r="AA62" s="94"/>
      <c r="AB62" s="95"/>
      <c r="AC62" s="94"/>
      <c r="AD62" s="95"/>
      <c r="AE62" s="94"/>
      <c r="AF62" s="95"/>
      <c r="AG62" s="98" t="str">
        <v/>
      </c>
      <c r="AH62" s="98" t="str">
        <v/>
      </c>
      <c r="AI62" s="98" t="str">
        <v/>
      </c>
      <c r="AJ62" s="98" t="str">
        <v/>
      </c>
      <c r="AK62" s="98" t="str">
        <v/>
      </c>
      <c r="AL62" s="98" t="str">
        <v/>
      </c>
      <c r="AM62" s="98" t="str">
        <v/>
      </c>
      <c r="AN62" s="98" t="str">
        <v/>
      </c>
      <c r="AO62" s="115" t="str">
        <v/>
      </c>
      <c r="AP62" s="98" t="str">
        <v/>
      </c>
      <c r="AQ62" s="99"/>
      <c r="AR62" s="95"/>
      <c r="AS62" s="94"/>
      <c r="AT62" s="95"/>
      <c r="AU62" s="94"/>
      <c r="AV62" s="95"/>
      <c r="AW62" s="94"/>
      <c r="AX62" s="95"/>
      <c r="AY62" s="94"/>
      <c r="AZ62" s="95"/>
      <c r="BA62" s="98" t="str">
        <v/>
      </c>
      <c r="BB62" s="98" t="str">
        <v/>
      </c>
      <c r="BC62" s="98" t="str">
        <v/>
      </c>
      <c r="BD62" s="98" t="str">
        <v/>
      </c>
      <c r="BE62" s="98" t="str">
        <v/>
      </c>
      <c r="BF62" s="98" t="str">
        <v/>
      </c>
      <c r="BG62" s="98" t="str">
        <v/>
      </c>
      <c r="BH62" s="98" t="str">
        <v/>
      </c>
      <c r="BI62" s="115" t="str">
        <v/>
      </c>
      <c r="BJ62" s="98" t="str">
        <v/>
      </c>
      <c r="BK62" s="100" t="str">
        <v/>
      </c>
      <c r="BL62" s="101" t="str">
        <v/>
      </c>
      <c r="BM62" s="101" t="str">
        <v/>
      </c>
      <c r="BN62" s="101" t="str">
        <v/>
      </c>
      <c r="BO62" s="101" t="str">
        <v/>
      </c>
      <c r="BP62" s="101" t="str">
        <v/>
      </c>
      <c r="BQ62" s="101" t="str">
        <v/>
      </c>
      <c r="BR62" s="101" t="str">
        <v/>
      </c>
      <c r="BS62" s="8" t="str">
        <v/>
      </c>
      <c r="BT62" s="102" t="str">
        <v/>
      </c>
      <c r="BU62" s="97"/>
      <c r="BV62" s="97"/>
    </row>
    <row r="63" spans="1:74">
      <c r="A63" s="104"/>
      <c r="B63" s="104"/>
      <c r="C63" s="99"/>
      <c r="D63" s="95"/>
      <c r="E63" s="94"/>
      <c r="F63" s="95"/>
      <c r="G63" s="94"/>
      <c r="H63" s="95"/>
      <c r="I63" s="94"/>
      <c r="J63" s="95"/>
      <c r="K63" s="94"/>
      <c r="L63" s="95"/>
      <c r="M63" s="98" t="str">
        <v/>
      </c>
      <c r="N63" s="98" t="str">
        <v/>
      </c>
      <c r="O63" s="98" t="str">
        <v/>
      </c>
      <c r="P63" s="98" t="str">
        <v/>
      </c>
      <c r="Q63" s="98" t="str">
        <v/>
      </c>
      <c r="R63" s="98" t="str">
        <v/>
      </c>
      <c r="S63" s="98" t="str">
        <v/>
      </c>
      <c r="T63" s="98" t="str">
        <v/>
      </c>
      <c r="U63" s="104" t="str">
        <v/>
      </c>
      <c r="V63" s="98" t="str">
        <v/>
      </c>
      <c r="W63" s="99"/>
      <c r="X63" s="95"/>
      <c r="Y63" s="94"/>
      <c r="Z63" s="95"/>
      <c r="AA63" s="94"/>
      <c r="AB63" s="95"/>
      <c r="AC63" s="94"/>
      <c r="AD63" s="95"/>
      <c r="AE63" s="94"/>
      <c r="AF63" s="95"/>
      <c r="AG63" s="98" t="str">
        <v/>
      </c>
      <c r="AH63" s="98" t="str">
        <v/>
      </c>
      <c r="AI63" s="98" t="str">
        <v/>
      </c>
      <c r="AJ63" s="98" t="str">
        <v/>
      </c>
      <c r="AK63" s="98" t="str">
        <v/>
      </c>
      <c r="AL63" s="98" t="str">
        <v/>
      </c>
      <c r="AM63" s="98" t="str">
        <v/>
      </c>
      <c r="AN63" s="98" t="str">
        <v/>
      </c>
      <c r="AO63" s="115" t="str">
        <v/>
      </c>
      <c r="AP63" s="98" t="str">
        <v/>
      </c>
      <c r="AQ63" s="99"/>
      <c r="AR63" s="95"/>
      <c r="AS63" s="94"/>
      <c r="AT63" s="95"/>
      <c r="AU63" s="94"/>
      <c r="AV63" s="95"/>
      <c r="AW63" s="94"/>
      <c r="AX63" s="95"/>
      <c r="AY63" s="94"/>
      <c r="AZ63" s="95"/>
      <c r="BA63" s="98" t="str">
        <v/>
      </c>
      <c r="BB63" s="98" t="str">
        <v/>
      </c>
      <c r="BC63" s="98" t="str">
        <v/>
      </c>
      <c r="BD63" s="98" t="str">
        <v/>
      </c>
      <c r="BE63" s="98" t="str">
        <v/>
      </c>
      <c r="BF63" s="98" t="str">
        <v/>
      </c>
      <c r="BG63" s="98" t="str">
        <v/>
      </c>
      <c r="BH63" s="98" t="str">
        <v/>
      </c>
      <c r="BI63" s="115" t="str">
        <v/>
      </c>
      <c r="BJ63" s="98" t="str">
        <v/>
      </c>
      <c r="BK63" s="100" t="str">
        <v/>
      </c>
      <c r="BL63" s="101" t="str">
        <v/>
      </c>
      <c r="BM63" s="101" t="str">
        <v/>
      </c>
      <c r="BN63" s="101" t="str">
        <v/>
      </c>
      <c r="BO63" s="101" t="str">
        <v/>
      </c>
      <c r="BP63" s="101" t="str">
        <v/>
      </c>
      <c r="BQ63" s="101" t="str">
        <v/>
      </c>
      <c r="BR63" s="101" t="str">
        <v/>
      </c>
      <c r="BS63" s="8" t="str">
        <v/>
      </c>
      <c r="BT63" s="102" t="str">
        <v/>
      </c>
      <c r="BU63" s="97"/>
      <c r="BV63" s="97"/>
    </row>
    <row r="64" spans="1:74">
      <c r="A64" s="104"/>
      <c r="B64" s="104"/>
      <c r="C64" s="99"/>
      <c r="D64" s="95"/>
      <c r="E64" s="94"/>
      <c r="F64" s="95"/>
      <c r="G64" s="94"/>
      <c r="H64" s="95"/>
      <c r="I64" s="94"/>
      <c r="J64" s="95"/>
      <c r="K64" s="94"/>
      <c r="L64" s="95"/>
      <c r="M64" s="98" t="str">
        <v/>
      </c>
      <c r="N64" s="98" t="str">
        <v/>
      </c>
      <c r="O64" s="98" t="str">
        <v/>
      </c>
      <c r="P64" s="98" t="str">
        <v/>
      </c>
      <c r="Q64" s="98" t="str">
        <v/>
      </c>
      <c r="R64" s="98" t="str">
        <v/>
      </c>
      <c r="S64" s="98" t="str">
        <v/>
      </c>
      <c r="T64" s="98" t="str">
        <v/>
      </c>
      <c r="U64" s="104" t="str">
        <v/>
      </c>
      <c r="V64" s="98" t="str">
        <v/>
      </c>
      <c r="W64" s="99"/>
      <c r="X64" s="95"/>
      <c r="Y64" s="94"/>
      <c r="Z64" s="95"/>
      <c r="AA64" s="94"/>
      <c r="AB64" s="95"/>
      <c r="AC64" s="94"/>
      <c r="AD64" s="95"/>
      <c r="AE64" s="94"/>
      <c r="AF64" s="95"/>
      <c r="AG64" s="98" t="str">
        <v/>
      </c>
      <c r="AH64" s="98" t="str">
        <v/>
      </c>
      <c r="AI64" s="98" t="str">
        <v/>
      </c>
      <c r="AJ64" s="98" t="str">
        <v/>
      </c>
      <c r="AK64" s="98" t="str">
        <v/>
      </c>
      <c r="AL64" s="98" t="str">
        <v/>
      </c>
      <c r="AM64" s="98" t="str">
        <v/>
      </c>
      <c r="AN64" s="98" t="str">
        <v/>
      </c>
      <c r="AO64" s="115" t="str">
        <v/>
      </c>
      <c r="AP64" s="98" t="str">
        <v/>
      </c>
      <c r="AQ64" s="99"/>
      <c r="AR64" s="95"/>
      <c r="AS64" s="94"/>
      <c r="AT64" s="95"/>
      <c r="AU64" s="94"/>
      <c r="AV64" s="95"/>
      <c r="AW64" s="94"/>
      <c r="AX64" s="95"/>
      <c r="AY64" s="94"/>
      <c r="AZ64" s="95"/>
      <c r="BA64" s="98" t="str">
        <v/>
      </c>
      <c r="BB64" s="98" t="str">
        <v/>
      </c>
      <c r="BC64" s="98" t="str">
        <v/>
      </c>
      <c r="BD64" s="98" t="str">
        <v/>
      </c>
      <c r="BE64" s="98" t="str">
        <v/>
      </c>
      <c r="BF64" s="98" t="str">
        <v/>
      </c>
      <c r="BG64" s="98" t="str">
        <v/>
      </c>
      <c r="BH64" s="98" t="str">
        <v/>
      </c>
      <c r="BI64" s="115" t="str">
        <v/>
      </c>
      <c r="BJ64" s="98" t="str">
        <v/>
      </c>
      <c r="BK64" s="100" t="str">
        <v/>
      </c>
      <c r="BL64" s="101" t="str">
        <v/>
      </c>
      <c r="BM64" s="101" t="str">
        <v/>
      </c>
      <c r="BN64" s="101" t="str">
        <v/>
      </c>
      <c r="BO64" s="101" t="str">
        <v/>
      </c>
      <c r="BP64" s="101" t="str">
        <v/>
      </c>
      <c r="BQ64" s="101" t="str">
        <v/>
      </c>
      <c r="BR64" s="101" t="str">
        <v/>
      </c>
      <c r="BS64" s="8" t="str">
        <v/>
      </c>
      <c r="BT64" s="102" t="str">
        <v/>
      </c>
      <c r="BU64" s="97"/>
      <c r="BV64" s="97"/>
    </row>
    <row r="65" spans="1:74">
      <c r="A65" s="104"/>
      <c r="B65" s="104"/>
      <c r="C65" s="99"/>
      <c r="D65" s="95"/>
      <c r="E65" s="94"/>
      <c r="F65" s="95"/>
      <c r="G65" s="94"/>
      <c r="H65" s="95"/>
      <c r="I65" s="94"/>
      <c r="J65" s="95"/>
      <c r="K65" s="94"/>
      <c r="L65" s="95"/>
      <c r="M65" s="98" t="str">
        <v/>
      </c>
      <c r="N65" s="98" t="str">
        <v/>
      </c>
      <c r="O65" s="98" t="str">
        <v/>
      </c>
      <c r="P65" s="98" t="str">
        <v/>
      </c>
      <c r="Q65" s="98" t="str">
        <v/>
      </c>
      <c r="R65" s="98" t="str">
        <v/>
      </c>
      <c r="S65" s="98" t="str">
        <v/>
      </c>
      <c r="T65" s="98" t="str">
        <v/>
      </c>
      <c r="U65" s="104" t="str">
        <v/>
      </c>
      <c r="V65" s="98" t="str">
        <v/>
      </c>
      <c r="W65" s="99"/>
      <c r="X65" s="95"/>
      <c r="Y65" s="94"/>
      <c r="Z65" s="95"/>
      <c r="AA65" s="94"/>
      <c r="AB65" s="95"/>
      <c r="AC65" s="94"/>
      <c r="AD65" s="95"/>
      <c r="AE65" s="94"/>
      <c r="AF65" s="95"/>
      <c r="AG65" s="98" t="str">
        <v/>
      </c>
      <c r="AH65" s="98" t="str">
        <v/>
      </c>
      <c r="AI65" s="98" t="str">
        <v/>
      </c>
      <c r="AJ65" s="98" t="str">
        <v/>
      </c>
      <c r="AK65" s="98" t="str">
        <v/>
      </c>
      <c r="AL65" s="98" t="str">
        <v/>
      </c>
      <c r="AM65" s="98" t="str">
        <v/>
      </c>
      <c r="AN65" s="98" t="str">
        <v/>
      </c>
      <c r="AO65" s="115" t="str">
        <v/>
      </c>
      <c r="AP65" s="98" t="str">
        <v/>
      </c>
      <c r="AQ65" s="99"/>
      <c r="AR65" s="95"/>
      <c r="AS65" s="94"/>
      <c r="AT65" s="95"/>
      <c r="AU65" s="94"/>
      <c r="AV65" s="95"/>
      <c r="AW65" s="94"/>
      <c r="AX65" s="95"/>
      <c r="AY65" s="94"/>
      <c r="AZ65" s="95"/>
      <c r="BA65" s="98" t="str">
        <v/>
      </c>
      <c r="BB65" s="98" t="str">
        <v/>
      </c>
      <c r="BC65" s="98" t="str">
        <v/>
      </c>
      <c r="BD65" s="98" t="str">
        <v/>
      </c>
      <c r="BE65" s="98" t="str">
        <v/>
      </c>
      <c r="BF65" s="98" t="str">
        <v/>
      </c>
      <c r="BG65" s="98" t="str">
        <v/>
      </c>
      <c r="BH65" s="98" t="str">
        <v/>
      </c>
      <c r="BI65" s="115" t="str">
        <v/>
      </c>
      <c r="BJ65" s="98" t="str">
        <v/>
      </c>
      <c r="BK65" s="100" t="str">
        <v/>
      </c>
      <c r="BL65" s="101" t="str">
        <v/>
      </c>
      <c r="BM65" s="101" t="str">
        <v/>
      </c>
      <c r="BN65" s="101" t="str">
        <v/>
      </c>
      <c r="BO65" s="101" t="str">
        <v/>
      </c>
      <c r="BP65" s="101" t="str">
        <v/>
      </c>
      <c r="BQ65" s="101" t="str">
        <v/>
      </c>
      <c r="BR65" s="101" t="str">
        <v/>
      </c>
      <c r="BS65" s="8" t="str">
        <v/>
      </c>
      <c r="BT65" s="102" t="str">
        <v/>
      </c>
      <c r="BU65" s="97"/>
      <c r="BV65" s="97"/>
    </row>
    <row r="66" spans="1:74">
      <c r="A66" s="104"/>
      <c r="B66" s="104"/>
      <c r="C66" s="99"/>
      <c r="D66" s="95"/>
      <c r="E66" s="94"/>
      <c r="F66" s="95"/>
      <c r="G66" s="94"/>
      <c r="H66" s="95"/>
      <c r="I66" s="94"/>
      <c r="J66" s="95"/>
      <c r="K66" s="94"/>
      <c r="L66" s="95"/>
      <c r="M66" s="98" t="str">
        <v/>
      </c>
      <c r="N66" s="98" t="str">
        <v/>
      </c>
      <c r="O66" s="98" t="str">
        <v/>
      </c>
      <c r="P66" s="98" t="str">
        <v/>
      </c>
      <c r="Q66" s="98" t="str">
        <v/>
      </c>
      <c r="R66" s="98" t="str">
        <v/>
      </c>
      <c r="S66" s="98" t="str">
        <v/>
      </c>
      <c r="T66" s="98" t="str">
        <v/>
      </c>
      <c r="U66" s="104" t="str">
        <v/>
      </c>
      <c r="V66" s="98" t="str">
        <v/>
      </c>
      <c r="W66" s="99"/>
      <c r="X66" s="95"/>
      <c r="Y66" s="94"/>
      <c r="Z66" s="95"/>
      <c r="AA66" s="94"/>
      <c r="AB66" s="95"/>
      <c r="AC66" s="94"/>
      <c r="AD66" s="95"/>
      <c r="AE66" s="94"/>
      <c r="AF66" s="95"/>
      <c r="AG66" s="98" t="str">
        <v/>
      </c>
      <c r="AH66" s="98" t="str">
        <v/>
      </c>
      <c r="AI66" s="98" t="str">
        <v/>
      </c>
      <c r="AJ66" s="98" t="str">
        <v/>
      </c>
      <c r="AK66" s="98" t="str">
        <v/>
      </c>
      <c r="AL66" s="98" t="str">
        <v/>
      </c>
      <c r="AM66" s="98" t="str">
        <v/>
      </c>
      <c r="AN66" s="98" t="str">
        <v/>
      </c>
      <c r="AO66" s="115" t="str">
        <v/>
      </c>
      <c r="AP66" s="98" t="str">
        <v/>
      </c>
      <c r="AQ66" s="99"/>
      <c r="AR66" s="95"/>
      <c r="AS66" s="94"/>
      <c r="AT66" s="95"/>
      <c r="AU66" s="94"/>
      <c r="AV66" s="95"/>
      <c r="AW66" s="94"/>
      <c r="AX66" s="95"/>
      <c r="AY66" s="94"/>
      <c r="AZ66" s="95"/>
      <c r="BA66" s="98" t="str">
        <v/>
      </c>
      <c r="BB66" s="98" t="str">
        <v/>
      </c>
      <c r="BC66" s="98" t="str">
        <v/>
      </c>
      <c r="BD66" s="98" t="str">
        <v/>
      </c>
      <c r="BE66" s="98" t="str">
        <v/>
      </c>
      <c r="BF66" s="98" t="str">
        <v/>
      </c>
      <c r="BG66" s="98" t="str">
        <v/>
      </c>
      <c r="BH66" s="98" t="str">
        <v/>
      </c>
      <c r="BI66" s="115" t="str">
        <v/>
      </c>
      <c r="BJ66" s="98" t="str">
        <v/>
      </c>
      <c r="BK66" s="100" t="str">
        <v/>
      </c>
      <c r="BL66" s="101" t="str">
        <v/>
      </c>
      <c r="BM66" s="101" t="str">
        <v/>
      </c>
      <c r="BN66" s="101" t="str">
        <v/>
      </c>
      <c r="BO66" s="101" t="str">
        <v/>
      </c>
      <c r="BP66" s="101" t="str">
        <v/>
      </c>
      <c r="BQ66" s="101" t="str">
        <v/>
      </c>
      <c r="BR66" s="101" t="str">
        <v/>
      </c>
      <c r="BS66" s="8" t="str">
        <v/>
      </c>
      <c r="BT66" s="102" t="str">
        <v/>
      </c>
      <c r="BU66" s="97"/>
      <c r="BV66" s="97"/>
    </row>
    <row r="67" spans="1:74">
      <c r="A67" s="104"/>
      <c r="B67" s="104"/>
      <c r="C67" s="99"/>
      <c r="D67" s="95"/>
      <c r="E67" s="94"/>
      <c r="F67" s="95"/>
      <c r="G67" s="94"/>
      <c r="H67" s="95"/>
      <c r="I67" s="94"/>
      <c r="J67" s="95"/>
      <c r="K67" s="94"/>
      <c r="L67" s="95"/>
      <c r="M67" s="98" t="str">
        <v/>
      </c>
      <c r="N67" s="98" t="str">
        <v/>
      </c>
      <c r="O67" s="98" t="str">
        <v/>
      </c>
      <c r="P67" s="98" t="str">
        <v/>
      </c>
      <c r="Q67" s="98" t="str">
        <v/>
      </c>
      <c r="R67" s="98" t="str">
        <v/>
      </c>
      <c r="S67" s="98" t="str">
        <v/>
      </c>
      <c r="T67" s="98" t="str">
        <v/>
      </c>
      <c r="U67" s="104" t="str">
        <v/>
      </c>
      <c r="V67" s="98" t="str">
        <v/>
      </c>
      <c r="W67" s="99"/>
      <c r="X67" s="95"/>
      <c r="Y67" s="94"/>
      <c r="Z67" s="95"/>
      <c r="AA67" s="94"/>
      <c r="AB67" s="95"/>
      <c r="AC67" s="94"/>
      <c r="AD67" s="95"/>
      <c r="AE67" s="94"/>
      <c r="AF67" s="95"/>
      <c r="AG67" s="98" t="str">
        <v/>
      </c>
      <c r="AH67" s="98" t="str">
        <v/>
      </c>
      <c r="AI67" s="98" t="str">
        <v/>
      </c>
      <c r="AJ67" s="98" t="str">
        <v/>
      </c>
      <c r="AK67" s="98" t="str">
        <v/>
      </c>
      <c r="AL67" s="98" t="str">
        <v/>
      </c>
      <c r="AM67" s="98" t="str">
        <v/>
      </c>
      <c r="AN67" s="98" t="str">
        <v/>
      </c>
      <c r="AO67" s="115" t="str">
        <v/>
      </c>
      <c r="AP67" s="98" t="str">
        <v/>
      </c>
      <c r="AQ67" s="99"/>
      <c r="AR67" s="95"/>
      <c r="AS67" s="94"/>
      <c r="AT67" s="95"/>
      <c r="AU67" s="94"/>
      <c r="AV67" s="95"/>
      <c r="AW67" s="94"/>
      <c r="AX67" s="95"/>
      <c r="AY67" s="94"/>
      <c r="AZ67" s="95"/>
      <c r="BA67" s="98" t="str">
        <v/>
      </c>
      <c r="BB67" s="98" t="str">
        <v/>
      </c>
      <c r="BC67" s="98" t="str">
        <v/>
      </c>
      <c r="BD67" s="98" t="str">
        <v/>
      </c>
      <c r="BE67" s="98" t="str">
        <v/>
      </c>
      <c r="BF67" s="98" t="str">
        <v/>
      </c>
      <c r="BG67" s="98" t="str">
        <v/>
      </c>
      <c r="BH67" s="98" t="str">
        <v/>
      </c>
      <c r="BI67" s="115" t="str">
        <v/>
      </c>
      <c r="BJ67" s="98" t="str">
        <v/>
      </c>
      <c r="BK67" s="100" t="str">
        <v/>
      </c>
      <c r="BL67" s="101" t="str">
        <v/>
      </c>
      <c r="BM67" s="101" t="str">
        <v/>
      </c>
      <c r="BN67" s="101" t="str">
        <v/>
      </c>
      <c r="BO67" s="101" t="str">
        <v/>
      </c>
      <c r="BP67" s="101" t="str">
        <v/>
      </c>
      <c r="BQ67" s="101" t="str">
        <v/>
      </c>
      <c r="BR67" s="101" t="str">
        <v/>
      </c>
      <c r="BS67" s="8" t="str">
        <v/>
      </c>
      <c r="BT67" s="102" t="str">
        <v/>
      </c>
      <c r="BU67" s="97"/>
      <c r="BV67" s="97"/>
    </row>
    <row r="68" spans="1:74">
      <c r="A68" s="104"/>
      <c r="B68" s="104"/>
      <c r="C68" s="99"/>
      <c r="D68" s="95"/>
      <c r="E68" s="94"/>
      <c r="F68" s="95"/>
      <c r="G68" s="94"/>
      <c r="H68" s="95"/>
      <c r="I68" s="94"/>
      <c r="J68" s="95"/>
      <c r="K68" s="94"/>
      <c r="L68" s="95"/>
      <c r="M68" s="98" t="str">
        <v/>
      </c>
      <c r="N68" s="98" t="str">
        <v/>
      </c>
      <c r="O68" s="98" t="str">
        <v/>
      </c>
      <c r="P68" s="98" t="str">
        <v/>
      </c>
      <c r="Q68" s="98" t="str">
        <v/>
      </c>
      <c r="R68" s="98" t="str">
        <v/>
      </c>
      <c r="S68" s="98" t="str">
        <v/>
      </c>
      <c r="T68" s="98" t="str">
        <v/>
      </c>
      <c r="U68" s="104" t="str">
        <v/>
      </c>
      <c r="V68" s="98" t="str">
        <v/>
      </c>
      <c r="W68" s="99"/>
      <c r="X68" s="95"/>
      <c r="Y68" s="94"/>
      <c r="Z68" s="95"/>
      <c r="AA68" s="94"/>
      <c r="AB68" s="95"/>
      <c r="AC68" s="94"/>
      <c r="AD68" s="95"/>
      <c r="AE68" s="94"/>
      <c r="AF68" s="95"/>
      <c r="AG68" s="98" t="str">
        <v/>
      </c>
      <c r="AH68" s="98" t="str">
        <v/>
      </c>
      <c r="AI68" s="98" t="str">
        <v/>
      </c>
      <c r="AJ68" s="98" t="str">
        <v/>
      </c>
      <c r="AK68" s="98" t="str">
        <v/>
      </c>
      <c r="AL68" s="98" t="str">
        <v/>
      </c>
      <c r="AM68" s="98" t="str">
        <v/>
      </c>
      <c r="AN68" s="98" t="str">
        <v/>
      </c>
      <c r="AO68" s="115" t="str">
        <v/>
      </c>
      <c r="AP68" s="98" t="str">
        <v/>
      </c>
      <c r="AQ68" s="99"/>
      <c r="AR68" s="95"/>
      <c r="AS68" s="94"/>
      <c r="AT68" s="95"/>
      <c r="AU68" s="94"/>
      <c r="AV68" s="95"/>
      <c r="AW68" s="94"/>
      <c r="AX68" s="95"/>
      <c r="AY68" s="94"/>
      <c r="AZ68" s="95"/>
      <c r="BA68" s="98" t="str">
        <v/>
      </c>
      <c r="BB68" s="98" t="str">
        <v/>
      </c>
      <c r="BC68" s="98" t="str">
        <v/>
      </c>
      <c r="BD68" s="98" t="str">
        <v/>
      </c>
      <c r="BE68" s="98" t="str">
        <v/>
      </c>
      <c r="BF68" s="98" t="str">
        <v/>
      </c>
      <c r="BG68" s="98" t="str">
        <v/>
      </c>
      <c r="BH68" s="98" t="str">
        <v/>
      </c>
      <c r="BI68" s="115" t="str">
        <v/>
      </c>
      <c r="BJ68" s="98" t="str">
        <v/>
      </c>
      <c r="BK68" s="100" t="str">
        <v/>
      </c>
      <c r="BL68" s="101" t="str">
        <v/>
      </c>
      <c r="BM68" s="101" t="str">
        <v/>
      </c>
      <c r="BN68" s="101" t="str">
        <v/>
      </c>
      <c r="BO68" s="101" t="str">
        <v/>
      </c>
      <c r="BP68" s="101" t="str">
        <v/>
      </c>
      <c r="BQ68" s="101" t="str">
        <v/>
      </c>
      <c r="BR68" s="101" t="str">
        <v/>
      </c>
      <c r="BS68" s="8" t="str">
        <v/>
      </c>
      <c r="BT68" s="102" t="str">
        <v/>
      </c>
      <c r="BU68" s="97"/>
      <c r="BV68" s="97"/>
    </row>
    <row r="69" spans="1:74">
      <c r="A69" s="104"/>
      <c r="B69" s="104"/>
      <c r="C69" s="99"/>
      <c r="D69" s="95"/>
      <c r="E69" s="94"/>
      <c r="F69" s="95"/>
      <c r="G69" s="94"/>
      <c r="H69" s="95"/>
      <c r="I69" s="94"/>
      <c r="J69" s="95"/>
      <c r="K69" s="94"/>
      <c r="L69" s="95"/>
      <c r="M69" s="98" t="str">
        <v/>
      </c>
      <c r="N69" s="98" t="str">
        <v/>
      </c>
      <c r="O69" s="98" t="str">
        <v/>
      </c>
      <c r="P69" s="98" t="str">
        <v/>
      </c>
      <c r="Q69" s="98" t="str">
        <v/>
      </c>
      <c r="R69" s="98" t="str">
        <v/>
      </c>
      <c r="S69" s="98" t="str">
        <v/>
      </c>
      <c r="T69" s="98" t="str">
        <v/>
      </c>
      <c r="U69" s="104" t="str">
        <v/>
      </c>
      <c r="V69" s="98" t="str">
        <v/>
      </c>
      <c r="W69" s="99"/>
      <c r="X69" s="95"/>
      <c r="Y69" s="94"/>
      <c r="Z69" s="95"/>
      <c r="AA69" s="94"/>
      <c r="AB69" s="95"/>
      <c r="AC69" s="94"/>
      <c r="AD69" s="95"/>
      <c r="AE69" s="94"/>
      <c r="AF69" s="95"/>
      <c r="AG69" s="98" t="str">
        <v/>
      </c>
      <c r="AH69" s="98" t="str">
        <v/>
      </c>
      <c r="AI69" s="98" t="str">
        <v/>
      </c>
      <c r="AJ69" s="98" t="str">
        <v/>
      </c>
      <c r="AK69" s="98" t="str">
        <v/>
      </c>
      <c r="AL69" s="98" t="str">
        <v/>
      </c>
      <c r="AM69" s="98" t="str">
        <v/>
      </c>
      <c r="AN69" s="98" t="str">
        <v/>
      </c>
      <c r="AO69" s="115" t="str">
        <v/>
      </c>
      <c r="AP69" s="98" t="str">
        <v/>
      </c>
      <c r="AQ69" s="99"/>
      <c r="AR69" s="95"/>
      <c r="AS69" s="94"/>
      <c r="AT69" s="95"/>
      <c r="AU69" s="94"/>
      <c r="AV69" s="95"/>
      <c r="AW69" s="94"/>
      <c r="AX69" s="95"/>
      <c r="AY69" s="94"/>
      <c r="AZ69" s="95"/>
      <c r="BA69" s="98" t="str">
        <v/>
      </c>
      <c r="BB69" s="98" t="str">
        <v/>
      </c>
      <c r="BC69" s="98" t="str">
        <v/>
      </c>
      <c r="BD69" s="98" t="str">
        <v/>
      </c>
      <c r="BE69" s="98" t="str">
        <v/>
      </c>
      <c r="BF69" s="98" t="str">
        <v/>
      </c>
      <c r="BG69" s="98" t="str">
        <v/>
      </c>
      <c r="BH69" s="98" t="str">
        <v/>
      </c>
      <c r="BI69" s="115" t="str">
        <v/>
      </c>
      <c r="BJ69" s="98" t="str">
        <v/>
      </c>
      <c r="BK69" s="100" t="str">
        <v/>
      </c>
      <c r="BL69" s="101" t="str">
        <v/>
      </c>
      <c r="BM69" s="101" t="str">
        <v/>
      </c>
      <c r="BN69" s="101" t="str">
        <v/>
      </c>
      <c r="BO69" s="101" t="str">
        <v/>
      </c>
      <c r="BP69" s="101" t="str">
        <v/>
      </c>
      <c r="BQ69" s="101" t="str">
        <v/>
      </c>
      <c r="BR69" s="101" t="str">
        <v/>
      </c>
      <c r="BS69" s="8" t="str">
        <v/>
      </c>
      <c r="BT69" s="102" t="str">
        <v/>
      </c>
      <c r="BU69" s="97"/>
      <c r="BV69" s="97"/>
    </row>
    <row r="70" spans="1:74">
      <c r="A70" s="104"/>
      <c r="B70" s="104"/>
      <c r="C70" s="99"/>
      <c r="D70" s="95"/>
      <c r="E70" s="94"/>
      <c r="F70" s="95"/>
      <c r="G70" s="94"/>
      <c r="H70" s="95"/>
      <c r="I70" s="94"/>
      <c r="J70" s="95"/>
      <c r="K70" s="94"/>
      <c r="L70" s="95"/>
      <c r="M70" s="98" t="str">
        <v/>
      </c>
      <c r="N70" s="98" t="str">
        <v/>
      </c>
      <c r="O70" s="98" t="str">
        <v/>
      </c>
      <c r="P70" s="98" t="str">
        <v/>
      </c>
      <c r="Q70" s="98" t="str">
        <v/>
      </c>
      <c r="R70" s="98" t="str">
        <v/>
      </c>
      <c r="S70" s="98" t="str">
        <v/>
      </c>
      <c r="T70" s="98" t="str">
        <v/>
      </c>
      <c r="U70" s="104" t="str">
        <v/>
      </c>
      <c r="V70" s="98" t="str">
        <v/>
      </c>
      <c r="W70" s="99"/>
      <c r="X70" s="95"/>
      <c r="Y70" s="94"/>
      <c r="Z70" s="95"/>
      <c r="AA70" s="94"/>
      <c r="AB70" s="95"/>
      <c r="AC70" s="94"/>
      <c r="AD70" s="95"/>
      <c r="AE70" s="94"/>
      <c r="AF70" s="95"/>
      <c r="AG70" s="98" t="str">
        <v/>
      </c>
      <c r="AH70" s="98" t="str">
        <v/>
      </c>
      <c r="AI70" s="98" t="str">
        <v/>
      </c>
      <c r="AJ70" s="98" t="str">
        <v/>
      </c>
      <c r="AK70" s="98" t="str">
        <v/>
      </c>
      <c r="AL70" s="98" t="str">
        <v/>
      </c>
      <c r="AM70" s="98" t="str">
        <v/>
      </c>
      <c r="AN70" s="98" t="str">
        <v/>
      </c>
      <c r="AO70" s="115" t="str">
        <v/>
      </c>
      <c r="AP70" s="98" t="str">
        <v/>
      </c>
      <c r="AQ70" s="99"/>
      <c r="AR70" s="95"/>
      <c r="AS70" s="94"/>
      <c r="AT70" s="95"/>
      <c r="AU70" s="94"/>
      <c r="AV70" s="95"/>
      <c r="AW70" s="94"/>
      <c r="AX70" s="95"/>
      <c r="AY70" s="94"/>
      <c r="AZ70" s="95"/>
      <c r="BA70" s="98" t="str">
        <v/>
      </c>
      <c r="BB70" s="98" t="str">
        <v/>
      </c>
      <c r="BC70" s="98" t="str">
        <v/>
      </c>
      <c r="BD70" s="98" t="str">
        <v/>
      </c>
      <c r="BE70" s="98" t="str">
        <v/>
      </c>
      <c r="BF70" s="98" t="str">
        <v/>
      </c>
      <c r="BG70" s="98" t="str">
        <v/>
      </c>
      <c r="BH70" s="98" t="str">
        <v/>
      </c>
      <c r="BI70" s="115" t="str">
        <v/>
      </c>
      <c r="BJ70" s="98" t="str">
        <v/>
      </c>
      <c r="BK70" s="100" t="str">
        <v/>
      </c>
      <c r="BL70" s="101" t="str">
        <v/>
      </c>
      <c r="BM70" s="101" t="str">
        <v/>
      </c>
      <c r="BN70" s="101" t="str">
        <v/>
      </c>
      <c r="BO70" s="101" t="str">
        <v/>
      </c>
      <c r="BP70" s="101" t="str">
        <v/>
      </c>
      <c r="BQ70" s="101" t="str">
        <v/>
      </c>
      <c r="BR70" s="101" t="str">
        <v/>
      </c>
      <c r="BS70" s="8" t="str">
        <v/>
      </c>
      <c r="BT70" s="102" t="str">
        <v/>
      </c>
      <c r="BU70" s="97"/>
      <c r="BV70" s="97"/>
    </row>
    <row r="71" spans="1:74">
      <c r="A71" s="104"/>
      <c r="B71" s="104"/>
      <c r="C71" s="99"/>
      <c r="D71" s="95"/>
      <c r="E71" s="94"/>
      <c r="F71" s="95"/>
      <c r="G71" s="94"/>
      <c r="H71" s="95"/>
      <c r="I71" s="94"/>
      <c r="J71" s="95"/>
      <c r="K71" s="94"/>
      <c r="L71" s="95"/>
      <c r="M71" s="98" t="str">
        <v/>
      </c>
      <c r="N71" s="98" t="str">
        <v/>
      </c>
      <c r="O71" s="98" t="str">
        <v/>
      </c>
      <c r="P71" s="98" t="str">
        <v/>
      </c>
      <c r="Q71" s="98" t="str">
        <v/>
      </c>
      <c r="R71" s="98" t="str">
        <v/>
      </c>
      <c r="S71" s="98" t="str">
        <v/>
      </c>
      <c r="T71" s="98" t="str">
        <v/>
      </c>
      <c r="U71" s="104" t="str">
        <v/>
      </c>
      <c r="V71" s="98" t="str">
        <v/>
      </c>
      <c r="W71" s="99"/>
      <c r="X71" s="95"/>
      <c r="Y71" s="94"/>
      <c r="Z71" s="95"/>
      <c r="AA71" s="94"/>
      <c r="AB71" s="95"/>
      <c r="AC71" s="94"/>
      <c r="AD71" s="95"/>
      <c r="AE71" s="94"/>
      <c r="AF71" s="95"/>
      <c r="AG71" s="98" t="str">
        <v/>
      </c>
      <c r="AH71" s="98" t="str">
        <v/>
      </c>
      <c r="AI71" s="98" t="str">
        <v/>
      </c>
      <c r="AJ71" s="98" t="str">
        <v/>
      </c>
      <c r="AK71" s="98" t="str">
        <v/>
      </c>
      <c r="AL71" s="98" t="str">
        <v/>
      </c>
      <c r="AM71" s="98" t="str">
        <v/>
      </c>
      <c r="AN71" s="98" t="str">
        <v/>
      </c>
      <c r="AO71" s="115" t="str">
        <v/>
      </c>
      <c r="AP71" s="98" t="str">
        <v/>
      </c>
      <c r="AQ71" s="99"/>
      <c r="AR71" s="95"/>
      <c r="AS71" s="94"/>
      <c r="AT71" s="95"/>
      <c r="AU71" s="94"/>
      <c r="AV71" s="95"/>
      <c r="AW71" s="94"/>
      <c r="AX71" s="95"/>
      <c r="AY71" s="94"/>
      <c r="AZ71" s="95"/>
      <c r="BA71" s="98" t="str">
        <v/>
      </c>
      <c r="BB71" s="98" t="str">
        <v/>
      </c>
      <c r="BC71" s="98" t="str">
        <v/>
      </c>
      <c r="BD71" s="98" t="str">
        <v/>
      </c>
      <c r="BE71" s="98" t="str">
        <v/>
      </c>
      <c r="BF71" s="98" t="str">
        <v/>
      </c>
      <c r="BG71" s="98" t="str">
        <v/>
      </c>
      <c r="BH71" s="98" t="str">
        <v/>
      </c>
      <c r="BI71" s="115" t="str">
        <v/>
      </c>
      <c r="BJ71" s="98" t="str">
        <v/>
      </c>
      <c r="BK71" s="100" t="str">
        <v/>
      </c>
      <c r="BL71" s="101" t="str">
        <v/>
      </c>
      <c r="BM71" s="101" t="str">
        <v/>
      </c>
      <c r="BN71" s="101" t="str">
        <v/>
      </c>
      <c r="BO71" s="101" t="str">
        <v/>
      </c>
      <c r="BP71" s="101" t="str">
        <v/>
      </c>
      <c r="BQ71" s="101" t="str">
        <v/>
      </c>
      <c r="BR71" s="101" t="str">
        <v/>
      </c>
      <c r="BS71" s="8" t="str">
        <v/>
      </c>
      <c r="BT71" s="102" t="str">
        <v/>
      </c>
      <c r="BU71" s="97"/>
      <c r="BV71" s="97"/>
    </row>
    <row r="72" spans="1:74">
      <c r="A72" s="104"/>
      <c r="B72" s="104"/>
      <c r="C72" s="99"/>
      <c r="D72" s="95"/>
      <c r="E72" s="94"/>
      <c r="F72" s="95"/>
      <c r="G72" s="94"/>
      <c r="H72" s="95"/>
      <c r="I72" s="94"/>
      <c r="J72" s="95"/>
      <c r="K72" s="94"/>
      <c r="L72" s="95"/>
      <c r="M72" s="98" t="str">
        <v/>
      </c>
      <c r="N72" s="98" t="str">
        <v/>
      </c>
      <c r="O72" s="98" t="str">
        <v/>
      </c>
      <c r="P72" s="98" t="str">
        <v/>
      </c>
      <c r="Q72" s="98" t="str">
        <v/>
      </c>
      <c r="R72" s="98" t="str">
        <v/>
      </c>
      <c r="S72" s="98" t="str">
        <v/>
      </c>
      <c r="T72" s="98" t="str">
        <v/>
      </c>
      <c r="U72" s="104" t="str">
        <v/>
      </c>
      <c r="V72" s="98" t="str">
        <v/>
      </c>
      <c r="W72" s="99"/>
      <c r="X72" s="95"/>
      <c r="Y72" s="94"/>
      <c r="Z72" s="95"/>
      <c r="AA72" s="94"/>
      <c r="AB72" s="95"/>
      <c r="AC72" s="94"/>
      <c r="AD72" s="95"/>
      <c r="AE72" s="94"/>
      <c r="AF72" s="95"/>
      <c r="AG72" s="98" t="str">
        <v/>
      </c>
      <c r="AH72" s="98" t="str">
        <v/>
      </c>
      <c r="AI72" s="98" t="str">
        <v/>
      </c>
      <c r="AJ72" s="98" t="str">
        <v/>
      </c>
      <c r="AK72" s="98" t="str">
        <v/>
      </c>
      <c r="AL72" s="98" t="str">
        <v/>
      </c>
      <c r="AM72" s="98" t="str">
        <v/>
      </c>
      <c r="AN72" s="98" t="str">
        <v/>
      </c>
      <c r="AO72" s="115" t="str">
        <v/>
      </c>
      <c r="AP72" s="98" t="str">
        <v/>
      </c>
      <c r="AQ72" s="99"/>
      <c r="AR72" s="95"/>
      <c r="AS72" s="94"/>
      <c r="AT72" s="95"/>
      <c r="AU72" s="94"/>
      <c r="AV72" s="95"/>
      <c r="AW72" s="94"/>
      <c r="AX72" s="95"/>
      <c r="AY72" s="94"/>
      <c r="AZ72" s="95"/>
      <c r="BA72" s="98" t="str">
        <v/>
      </c>
      <c r="BB72" s="98" t="str">
        <v/>
      </c>
      <c r="BC72" s="98" t="str">
        <v/>
      </c>
      <c r="BD72" s="98" t="str">
        <v/>
      </c>
      <c r="BE72" s="98" t="str">
        <v/>
      </c>
      <c r="BF72" s="98" t="str">
        <v/>
      </c>
      <c r="BG72" s="98" t="str">
        <v/>
      </c>
      <c r="BH72" s="98" t="str">
        <v/>
      </c>
      <c r="BI72" s="115" t="str">
        <v/>
      </c>
      <c r="BJ72" s="98" t="str">
        <v/>
      </c>
      <c r="BK72" s="100" t="str">
        <v/>
      </c>
      <c r="BL72" s="101" t="str">
        <v/>
      </c>
      <c r="BM72" s="101" t="str">
        <v/>
      </c>
      <c r="BN72" s="101" t="str">
        <v/>
      </c>
      <c r="BO72" s="101" t="str">
        <v/>
      </c>
      <c r="BP72" s="101" t="str">
        <v/>
      </c>
      <c r="BQ72" s="101" t="str">
        <v/>
      </c>
      <c r="BR72" s="101" t="str">
        <v/>
      </c>
      <c r="BS72" s="8" t="str">
        <v/>
      </c>
      <c r="BT72" s="102" t="str">
        <v/>
      </c>
      <c r="BU72" s="97"/>
      <c r="BV72" s="97"/>
    </row>
    <row r="73" spans="1:74">
      <c r="A73" s="104"/>
      <c r="B73" s="104"/>
      <c r="C73" s="99"/>
      <c r="D73" s="95"/>
      <c r="E73" s="94"/>
      <c r="F73" s="95"/>
      <c r="G73" s="94"/>
      <c r="H73" s="95"/>
      <c r="I73" s="94"/>
      <c r="J73" s="95"/>
      <c r="K73" s="94"/>
      <c r="L73" s="95"/>
      <c r="M73" s="98" t="str">
        <v/>
      </c>
      <c r="N73" s="98" t="str">
        <v/>
      </c>
      <c r="O73" s="98" t="str">
        <v/>
      </c>
      <c r="P73" s="98" t="str">
        <v/>
      </c>
      <c r="Q73" s="98" t="str">
        <v/>
      </c>
      <c r="R73" s="98" t="str">
        <v/>
      </c>
      <c r="S73" s="98" t="str">
        <v/>
      </c>
      <c r="T73" s="98" t="str">
        <v/>
      </c>
      <c r="U73" s="104" t="str">
        <v/>
      </c>
      <c r="V73" s="98" t="str">
        <v/>
      </c>
      <c r="W73" s="99"/>
      <c r="X73" s="95"/>
      <c r="Y73" s="94"/>
      <c r="Z73" s="95"/>
      <c r="AA73" s="94"/>
      <c r="AB73" s="95"/>
      <c r="AC73" s="94"/>
      <c r="AD73" s="95"/>
      <c r="AE73" s="94"/>
      <c r="AF73" s="95"/>
      <c r="AG73" s="98" t="str">
        <v/>
      </c>
      <c r="AH73" s="98" t="str">
        <v/>
      </c>
      <c r="AI73" s="98" t="str">
        <v/>
      </c>
      <c r="AJ73" s="98" t="str">
        <v/>
      </c>
      <c r="AK73" s="98" t="str">
        <v/>
      </c>
      <c r="AL73" s="98" t="str">
        <v/>
      </c>
      <c r="AM73" s="98" t="str">
        <v/>
      </c>
      <c r="AN73" s="98" t="str">
        <v/>
      </c>
      <c r="AO73" s="115" t="str">
        <v/>
      </c>
      <c r="AP73" s="98" t="str">
        <v/>
      </c>
      <c r="AQ73" s="99"/>
      <c r="AR73" s="95"/>
      <c r="AS73" s="94"/>
      <c r="AT73" s="95"/>
      <c r="AU73" s="94"/>
      <c r="AV73" s="95"/>
      <c r="AW73" s="94"/>
      <c r="AX73" s="95"/>
      <c r="AY73" s="94"/>
      <c r="AZ73" s="95"/>
      <c r="BA73" s="98" t="str">
        <v/>
      </c>
      <c r="BB73" s="98" t="str">
        <v/>
      </c>
      <c r="BC73" s="98" t="str">
        <v/>
      </c>
      <c r="BD73" s="98" t="str">
        <v/>
      </c>
      <c r="BE73" s="98" t="str">
        <v/>
      </c>
      <c r="BF73" s="98" t="str">
        <v/>
      </c>
      <c r="BG73" s="98" t="str">
        <v/>
      </c>
      <c r="BH73" s="98" t="str">
        <v/>
      </c>
      <c r="BI73" s="115" t="str">
        <v/>
      </c>
      <c r="BJ73" s="98" t="str">
        <v/>
      </c>
      <c r="BK73" s="100" t="str">
        <v/>
      </c>
      <c r="BL73" s="101" t="str">
        <v/>
      </c>
      <c r="BM73" s="101" t="str">
        <v/>
      </c>
      <c r="BN73" s="101" t="str">
        <v/>
      </c>
      <c r="BO73" s="101" t="str">
        <v/>
      </c>
      <c r="BP73" s="101" t="str">
        <v/>
      </c>
      <c r="BQ73" s="101" t="str">
        <v/>
      </c>
      <c r="BR73" s="101" t="str">
        <v/>
      </c>
      <c r="BS73" s="8" t="str">
        <v/>
      </c>
      <c r="BT73" s="102" t="str">
        <v/>
      </c>
      <c r="BU73" s="97"/>
      <c r="BV73" s="97"/>
    </row>
    <row r="74" spans="1:74">
      <c r="A74" s="104"/>
      <c r="B74" s="104"/>
      <c r="C74" s="99"/>
      <c r="D74" s="95"/>
      <c r="E74" s="94"/>
      <c r="F74" s="95"/>
      <c r="G74" s="94"/>
      <c r="H74" s="95"/>
      <c r="I74" s="94"/>
      <c r="J74" s="95"/>
      <c r="K74" s="94"/>
      <c r="L74" s="95"/>
      <c r="M74" s="98" t="str">
        <v/>
      </c>
      <c r="N74" s="98" t="str">
        <v/>
      </c>
      <c r="O74" s="98" t="str">
        <v/>
      </c>
      <c r="P74" s="98" t="str">
        <v/>
      </c>
      <c r="Q74" s="98" t="str">
        <v/>
      </c>
      <c r="R74" s="98" t="str">
        <v/>
      </c>
      <c r="S74" s="98" t="str">
        <v/>
      </c>
      <c r="T74" s="98" t="str">
        <v/>
      </c>
      <c r="U74" s="104" t="str">
        <v/>
      </c>
      <c r="V74" s="98" t="str">
        <v/>
      </c>
      <c r="W74" s="99"/>
      <c r="X74" s="95"/>
      <c r="Y74" s="94"/>
      <c r="Z74" s="95"/>
      <c r="AA74" s="94"/>
      <c r="AB74" s="95"/>
      <c r="AC74" s="94"/>
      <c r="AD74" s="95"/>
      <c r="AE74" s="94"/>
      <c r="AF74" s="95"/>
      <c r="AG74" s="98" t="str">
        <v/>
      </c>
      <c r="AH74" s="98" t="str">
        <v/>
      </c>
      <c r="AI74" s="98" t="str">
        <v/>
      </c>
      <c r="AJ74" s="98" t="str">
        <v/>
      </c>
      <c r="AK74" s="98" t="str">
        <v/>
      </c>
      <c r="AL74" s="98" t="str">
        <v/>
      </c>
      <c r="AM74" s="98" t="str">
        <v/>
      </c>
      <c r="AN74" s="98" t="str">
        <v/>
      </c>
      <c r="AO74" s="115" t="str">
        <v/>
      </c>
      <c r="AP74" s="98" t="str">
        <v/>
      </c>
      <c r="AQ74" s="99"/>
      <c r="AR74" s="95"/>
      <c r="AS74" s="94"/>
      <c r="AT74" s="95"/>
      <c r="AU74" s="94"/>
      <c r="AV74" s="95"/>
      <c r="AW74" s="94"/>
      <c r="AX74" s="95"/>
      <c r="AY74" s="94"/>
      <c r="AZ74" s="95"/>
      <c r="BA74" s="98" t="str">
        <v/>
      </c>
      <c r="BB74" s="98" t="str">
        <v/>
      </c>
      <c r="BC74" s="98" t="str">
        <v/>
      </c>
      <c r="BD74" s="98" t="str">
        <v/>
      </c>
      <c r="BE74" s="98" t="str">
        <v/>
      </c>
      <c r="BF74" s="98" t="str">
        <v/>
      </c>
      <c r="BG74" s="98" t="str">
        <v/>
      </c>
      <c r="BH74" s="98" t="str">
        <v/>
      </c>
      <c r="BI74" s="115" t="str">
        <v/>
      </c>
      <c r="BJ74" s="98" t="str">
        <v/>
      </c>
      <c r="BK74" s="100" t="str">
        <v/>
      </c>
      <c r="BL74" s="101" t="str">
        <v/>
      </c>
      <c r="BM74" s="101" t="str">
        <v/>
      </c>
      <c r="BN74" s="101" t="str">
        <v/>
      </c>
      <c r="BO74" s="101" t="str">
        <v/>
      </c>
      <c r="BP74" s="101" t="str">
        <v/>
      </c>
      <c r="BQ74" s="101" t="str">
        <v/>
      </c>
      <c r="BR74" s="101" t="str">
        <v/>
      </c>
      <c r="BS74" s="8" t="str">
        <v/>
      </c>
      <c r="BT74" s="102" t="str">
        <v/>
      </c>
      <c r="BU74" s="97"/>
      <c r="BV74" s="97"/>
    </row>
    <row r="75" spans="1:74">
      <c r="A75" s="104"/>
      <c r="B75" s="104"/>
      <c r="C75" s="99"/>
      <c r="D75" s="95"/>
      <c r="E75" s="94"/>
      <c r="F75" s="95"/>
      <c r="G75" s="94"/>
      <c r="H75" s="95"/>
      <c r="I75" s="94"/>
      <c r="J75" s="95"/>
      <c r="K75" s="94"/>
      <c r="L75" s="95"/>
      <c r="M75" s="98" t="str">
        <v/>
      </c>
      <c r="N75" s="98" t="str">
        <v/>
      </c>
      <c r="O75" s="98" t="str">
        <v/>
      </c>
      <c r="P75" s="98" t="str">
        <v/>
      </c>
      <c r="Q75" s="98" t="str">
        <v/>
      </c>
      <c r="R75" s="98" t="str">
        <v/>
      </c>
      <c r="S75" s="98" t="str">
        <v/>
      </c>
      <c r="T75" s="98" t="str">
        <v/>
      </c>
      <c r="U75" s="104" t="str">
        <v/>
      </c>
      <c r="V75" s="98" t="str">
        <v/>
      </c>
      <c r="W75" s="99"/>
      <c r="X75" s="95"/>
      <c r="Y75" s="94"/>
      <c r="Z75" s="95"/>
      <c r="AA75" s="94"/>
      <c r="AB75" s="95"/>
      <c r="AC75" s="94"/>
      <c r="AD75" s="95"/>
      <c r="AE75" s="94"/>
      <c r="AF75" s="95"/>
      <c r="AG75" s="98" t="str">
        <v/>
      </c>
      <c r="AH75" s="98" t="str">
        <v/>
      </c>
      <c r="AI75" s="98" t="str">
        <v/>
      </c>
      <c r="AJ75" s="98" t="str">
        <v/>
      </c>
      <c r="AK75" s="98" t="str">
        <v/>
      </c>
      <c r="AL75" s="98" t="str">
        <v/>
      </c>
      <c r="AM75" s="98" t="str">
        <v/>
      </c>
      <c r="AN75" s="98" t="str">
        <v/>
      </c>
      <c r="AO75" s="115" t="str">
        <v/>
      </c>
      <c r="AP75" s="98" t="str">
        <v/>
      </c>
      <c r="AQ75" s="99"/>
      <c r="AR75" s="95"/>
      <c r="AS75" s="94"/>
      <c r="AT75" s="95"/>
      <c r="AU75" s="94"/>
      <c r="AV75" s="95"/>
      <c r="AW75" s="94"/>
      <c r="AX75" s="95"/>
      <c r="AY75" s="94"/>
      <c r="AZ75" s="95"/>
      <c r="BA75" s="98" t="str">
        <v/>
      </c>
      <c r="BB75" s="98" t="str">
        <v/>
      </c>
      <c r="BC75" s="98" t="str">
        <v/>
      </c>
      <c r="BD75" s="98" t="str">
        <v/>
      </c>
      <c r="BE75" s="98" t="str">
        <v/>
      </c>
      <c r="BF75" s="98" t="str">
        <v/>
      </c>
      <c r="BG75" s="98" t="str">
        <v/>
      </c>
      <c r="BH75" s="98" t="str">
        <v/>
      </c>
      <c r="BI75" s="115" t="str">
        <v/>
      </c>
      <c r="BJ75" s="98" t="str">
        <v/>
      </c>
      <c r="BK75" s="100" t="str">
        <v/>
      </c>
      <c r="BL75" s="101" t="str">
        <v/>
      </c>
      <c r="BM75" s="101" t="str">
        <v/>
      </c>
      <c r="BN75" s="101" t="str">
        <v/>
      </c>
      <c r="BO75" s="101" t="str">
        <v/>
      </c>
      <c r="BP75" s="101" t="str">
        <v/>
      </c>
      <c r="BQ75" s="101" t="str">
        <v/>
      </c>
      <c r="BR75" s="101" t="str">
        <v/>
      </c>
      <c r="BS75" s="8" t="str">
        <v/>
      </c>
      <c r="BT75" s="102" t="str">
        <v/>
      </c>
      <c r="BU75" s="97"/>
      <c r="BV75" s="97"/>
    </row>
    <row r="76" spans="1:74">
      <c r="A76" s="104"/>
      <c r="B76" s="104"/>
      <c r="C76" s="99"/>
      <c r="D76" s="95"/>
      <c r="E76" s="94"/>
      <c r="F76" s="95"/>
      <c r="G76" s="94"/>
      <c r="H76" s="95"/>
      <c r="I76" s="94"/>
      <c r="J76" s="95"/>
      <c r="K76" s="94"/>
      <c r="L76" s="95"/>
      <c r="M76" s="98" t="str">
        <v/>
      </c>
      <c r="N76" s="98" t="str">
        <v/>
      </c>
      <c r="O76" s="98" t="str">
        <v/>
      </c>
      <c r="P76" s="98" t="str">
        <v/>
      </c>
      <c r="Q76" s="98" t="str">
        <v/>
      </c>
      <c r="R76" s="98" t="str">
        <v/>
      </c>
      <c r="S76" s="98" t="str">
        <v/>
      </c>
      <c r="T76" s="98" t="str">
        <v/>
      </c>
      <c r="U76" s="104" t="str">
        <v/>
      </c>
      <c r="V76" s="98" t="str">
        <v/>
      </c>
      <c r="W76" s="99"/>
      <c r="X76" s="95"/>
      <c r="Y76" s="94"/>
      <c r="Z76" s="95"/>
      <c r="AA76" s="94"/>
      <c r="AB76" s="95"/>
      <c r="AC76" s="94"/>
      <c r="AD76" s="95"/>
      <c r="AE76" s="94"/>
      <c r="AF76" s="95"/>
      <c r="AG76" s="98" t="str">
        <v/>
      </c>
      <c r="AH76" s="98" t="str">
        <v/>
      </c>
      <c r="AI76" s="98" t="str">
        <v/>
      </c>
      <c r="AJ76" s="98" t="str">
        <v/>
      </c>
      <c r="AK76" s="98" t="str">
        <v/>
      </c>
      <c r="AL76" s="98" t="str">
        <v/>
      </c>
      <c r="AM76" s="98" t="str">
        <v/>
      </c>
      <c r="AN76" s="98" t="str">
        <v/>
      </c>
      <c r="AO76" s="115" t="str">
        <v/>
      </c>
      <c r="AP76" s="98" t="str">
        <v/>
      </c>
      <c r="AQ76" s="99"/>
      <c r="AR76" s="95"/>
      <c r="AS76" s="94"/>
      <c r="AT76" s="95"/>
      <c r="AU76" s="94"/>
      <c r="AV76" s="95"/>
      <c r="AW76" s="94"/>
      <c r="AX76" s="95"/>
      <c r="AY76" s="94"/>
      <c r="AZ76" s="95"/>
      <c r="BA76" s="98" t="str">
        <v/>
      </c>
      <c r="BB76" s="98" t="str">
        <v/>
      </c>
      <c r="BC76" s="98" t="str">
        <v/>
      </c>
      <c r="BD76" s="98" t="str">
        <v/>
      </c>
      <c r="BE76" s="98" t="str">
        <v/>
      </c>
      <c r="BF76" s="98" t="str">
        <v/>
      </c>
      <c r="BG76" s="98" t="str">
        <v/>
      </c>
      <c r="BH76" s="98" t="str">
        <v/>
      </c>
      <c r="BI76" s="115" t="str">
        <v/>
      </c>
      <c r="BJ76" s="98" t="str">
        <v/>
      </c>
      <c r="BK76" s="100" t="str">
        <v/>
      </c>
      <c r="BL76" s="101" t="str">
        <v/>
      </c>
      <c r="BM76" s="101" t="str">
        <v/>
      </c>
      <c r="BN76" s="101" t="str">
        <v/>
      </c>
      <c r="BO76" s="101" t="str">
        <v/>
      </c>
      <c r="BP76" s="101" t="str">
        <v/>
      </c>
      <c r="BQ76" s="101" t="str">
        <v/>
      </c>
      <c r="BR76" s="101" t="str">
        <v/>
      </c>
      <c r="BS76" s="8" t="str">
        <v/>
      </c>
      <c r="BT76" s="102" t="str">
        <v/>
      </c>
      <c r="BU76" s="97"/>
      <c r="BV76" s="97"/>
    </row>
    <row r="77" spans="1:74">
      <c r="A77" s="104"/>
      <c r="B77" s="104"/>
      <c r="C77" s="99"/>
      <c r="D77" s="95"/>
      <c r="E77" s="94"/>
      <c r="F77" s="95"/>
      <c r="G77" s="94"/>
      <c r="H77" s="95"/>
      <c r="I77" s="94"/>
      <c r="J77" s="95"/>
      <c r="K77" s="94"/>
      <c r="L77" s="95"/>
      <c r="M77" s="98" t="str">
        <v/>
      </c>
      <c r="N77" s="98" t="str">
        <v/>
      </c>
      <c r="O77" s="98" t="str">
        <v/>
      </c>
      <c r="P77" s="98" t="str">
        <v/>
      </c>
      <c r="Q77" s="98" t="str">
        <v/>
      </c>
      <c r="R77" s="98" t="str">
        <v/>
      </c>
      <c r="S77" s="98" t="str">
        <v/>
      </c>
      <c r="T77" s="98" t="str">
        <v/>
      </c>
      <c r="U77" s="104" t="str">
        <v/>
      </c>
      <c r="V77" s="98" t="str">
        <v/>
      </c>
      <c r="W77" s="99"/>
      <c r="X77" s="95"/>
      <c r="Y77" s="94"/>
      <c r="Z77" s="95"/>
      <c r="AA77" s="94"/>
      <c r="AB77" s="95"/>
      <c r="AC77" s="94"/>
      <c r="AD77" s="95"/>
      <c r="AE77" s="94"/>
      <c r="AF77" s="95"/>
      <c r="AG77" s="98" t="str">
        <v/>
      </c>
      <c r="AH77" s="98" t="str">
        <v/>
      </c>
      <c r="AI77" s="98" t="str">
        <v/>
      </c>
      <c r="AJ77" s="98" t="str">
        <v/>
      </c>
      <c r="AK77" s="98" t="str">
        <v/>
      </c>
      <c r="AL77" s="98" t="str">
        <v/>
      </c>
      <c r="AM77" s="98" t="str">
        <v/>
      </c>
      <c r="AN77" s="98" t="str">
        <v/>
      </c>
      <c r="AO77" s="115" t="str">
        <v/>
      </c>
      <c r="AP77" s="98" t="str">
        <v/>
      </c>
      <c r="AQ77" s="99"/>
      <c r="AR77" s="95"/>
      <c r="AS77" s="94"/>
      <c r="AT77" s="95"/>
      <c r="AU77" s="94"/>
      <c r="AV77" s="95"/>
      <c r="AW77" s="94"/>
      <c r="AX77" s="95"/>
      <c r="AY77" s="94"/>
      <c r="AZ77" s="95"/>
      <c r="BA77" s="98" t="str">
        <v/>
      </c>
      <c r="BB77" s="98" t="str">
        <v/>
      </c>
      <c r="BC77" s="98" t="str">
        <v/>
      </c>
      <c r="BD77" s="98" t="str">
        <v/>
      </c>
      <c r="BE77" s="98" t="str">
        <v/>
      </c>
      <c r="BF77" s="98" t="str">
        <v/>
      </c>
      <c r="BG77" s="98" t="str">
        <v/>
      </c>
      <c r="BH77" s="98" t="str">
        <v/>
      </c>
      <c r="BI77" s="115" t="str">
        <v/>
      </c>
      <c r="BJ77" s="98" t="str">
        <v/>
      </c>
      <c r="BK77" s="100" t="str">
        <v/>
      </c>
      <c r="BL77" s="101" t="str">
        <v/>
      </c>
      <c r="BM77" s="101" t="str">
        <v/>
      </c>
      <c r="BN77" s="101" t="str">
        <v/>
      </c>
      <c r="BO77" s="101" t="str">
        <v/>
      </c>
      <c r="BP77" s="101" t="str">
        <v/>
      </c>
      <c r="BQ77" s="101" t="str">
        <v/>
      </c>
      <c r="BR77" s="101" t="str">
        <v/>
      </c>
      <c r="BS77" s="8" t="str">
        <v/>
      </c>
      <c r="BT77" s="102" t="str">
        <v/>
      </c>
      <c r="BU77" s="97"/>
      <c r="BV77" s="97"/>
    </row>
    <row r="78" spans="1:74">
      <c r="A78" s="104"/>
      <c r="B78" s="104"/>
      <c r="C78" s="99"/>
      <c r="D78" s="95"/>
      <c r="E78" s="94"/>
      <c r="F78" s="95"/>
      <c r="G78" s="94"/>
      <c r="H78" s="95"/>
      <c r="I78" s="94"/>
      <c r="J78" s="95"/>
      <c r="K78" s="94"/>
      <c r="L78" s="95"/>
      <c r="M78" s="98" t="str">
        <v/>
      </c>
      <c r="N78" s="98" t="str">
        <v/>
      </c>
      <c r="O78" s="98" t="str">
        <v/>
      </c>
      <c r="P78" s="98" t="str">
        <v/>
      </c>
      <c r="Q78" s="98" t="str">
        <v/>
      </c>
      <c r="R78" s="98" t="str">
        <v/>
      </c>
      <c r="S78" s="98" t="str">
        <v/>
      </c>
      <c r="T78" s="98" t="str">
        <v/>
      </c>
      <c r="U78" s="104" t="str">
        <v/>
      </c>
      <c r="V78" s="98" t="str">
        <v/>
      </c>
      <c r="W78" s="99"/>
      <c r="X78" s="95"/>
      <c r="Y78" s="94"/>
      <c r="Z78" s="95"/>
      <c r="AA78" s="94"/>
      <c r="AB78" s="95"/>
      <c r="AC78" s="94"/>
      <c r="AD78" s="95"/>
      <c r="AE78" s="94"/>
      <c r="AF78" s="95"/>
      <c r="AG78" s="98" t="str">
        <v/>
      </c>
      <c r="AH78" s="98" t="str">
        <v/>
      </c>
      <c r="AI78" s="98" t="str">
        <v/>
      </c>
      <c r="AJ78" s="98" t="str">
        <v/>
      </c>
      <c r="AK78" s="98" t="str">
        <v/>
      </c>
      <c r="AL78" s="98" t="str">
        <v/>
      </c>
      <c r="AM78" s="98" t="str">
        <v/>
      </c>
      <c r="AN78" s="98" t="str">
        <v/>
      </c>
      <c r="AO78" s="115" t="str">
        <v/>
      </c>
      <c r="AP78" s="98" t="str">
        <v/>
      </c>
      <c r="AQ78" s="99"/>
      <c r="AR78" s="95"/>
      <c r="AS78" s="94"/>
      <c r="AT78" s="95"/>
      <c r="AU78" s="94"/>
      <c r="AV78" s="95"/>
      <c r="AW78" s="94"/>
      <c r="AX78" s="95"/>
      <c r="AY78" s="94"/>
      <c r="AZ78" s="95"/>
      <c r="BA78" s="98" t="str">
        <v/>
      </c>
      <c r="BB78" s="98" t="str">
        <v/>
      </c>
      <c r="BC78" s="98" t="str">
        <v/>
      </c>
      <c r="BD78" s="98" t="str">
        <v/>
      </c>
      <c r="BE78" s="98" t="str">
        <v/>
      </c>
      <c r="BF78" s="98" t="str">
        <v/>
      </c>
      <c r="BG78" s="98" t="str">
        <v/>
      </c>
      <c r="BH78" s="98" t="str">
        <v/>
      </c>
      <c r="BI78" s="115" t="str">
        <v/>
      </c>
      <c r="BJ78" s="98" t="str">
        <v/>
      </c>
      <c r="BK78" s="100" t="str">
        <v/>
      </c>
      <c r="BL78" s="101" t="str">
        <v/>
      </c>
      <c r="BM78" s="101" t="str">
        <v/>
      </c>
      <c r="BN78" s="101" t="str">
        <v/>
      </c>
      <c r="BO78" s="101" t="str">
        <v/>
      </c>
      <c r="BP78" s="101" t="str">
        <v/>
      </c>
      <c r="BQ78" s="101" t="str">
        <v/>
      </c>
      <c r="BR78" s="101" t="str">
        <v/>
      </c>
      <c r="BS78" s="8" t="str">
        <v/>
      </c>
      <c r="BT78" s="102" t="str">
        <v/>
      </c>
      <c r="BU78" s="97"/>
      <c r="BV78" s="97"/>
    </row>
    <row r="79" spans="1:74">
      <c r="A79" s="104"/>
      <c r="B79" s="104"/>
      <c r="C79" s="99"/>
      <c r="D79" s="95"/>
      <c r="E79" s="94"/>
      <c r="F79" s="95"/>
      <c r="G79" s="94"/>
      <c r="H79" s="95"/>
      <c r="I79" s="94"/>
      <c r="J79" s="95"/>
      <c r="K79" s="94"/>
      <c r="L79" s="95"/>
      <c r="M79" s="98" t="str">
        <v/>
      </c>
      <c r="N79" s="98" t="str">
        <v/>
      </c>
      <c r="O79" s="98" t="str">
        <v/>
      </c>
      <c r="P79" s="98" t="str">
        <v/>
      </c>
      <c r="Q79" s="98" t="str">
        <v/>
      </c>
      <c r="R79" s="98" t="str">
        <v/>
      </c>
      <c r="S79" s="98" t="str">
        <v/>
      </c>
      <c r="T79" s="98" t="str">
        <v/>
      </c>
      <c r="U79" s="104" t="str">
        <v/>
      </c>
      <c r="V79" s="98" t="str">
        <v/>
      </c>
      <c r="W79" s="99"/>
      <c r="X79" s="95"/>
      <c r="Y79" s="94"/>
      <c r="Z79" s="95"/>
      <c r="AA79" s="94"/>
      <c r="AB79" s="95"/>
      <c r="AC79" s="94"/>
      <c r="AD79" s="95"/>
      <c r="AE79" s="94"/>
      <c r="AF79" s="95"/>
      <c r="AG79" s="98" t="str">
        <v/>
      </c>
      <c r="AH79" s="98" t="str">
        <v/>
      </c>
      <c r="AI79" s="98" t="str">
        <v/>
      </c>
      <c r="AJ79" s="98" t="str">
        <v/>
      </c>
      <c r="AK79" s="98" t="str">
        <v/>
      </c>
      <c r="AL79" s="98" t="str">
        <v/>
      </c>
      <c r="AM79" s="98" t="str">
        <v/>
      </c>
      <c r="AN79" s="98" t="str">
        <v/>
      </c>
      <c r="AO79" s="115" t="str">
        <v/>
      </c>
      <c r="AP79" s="98" t="str">
        <v/>
      </c>
      <c r="AQ79" s="99"/>
      <c r="AR79" s="95"/>
      <c r="AS79" s="94"/>
      <c r="AT79" s="95"/>
      <c r="AU79" s="94"/>
      <c r="AV79" s="95"/>
      <c r="AW79" s="94"/>
      <c r="AX79" s="95"/>
      <c r="AY79" s="94"/>
      <c r="AZ79" s="95"/>
      <c r="BA79" s="98" t="str">
        <v/>
      </c>
      <c r="BB79" s="98" t="str">
        <v/>
      </c>
      <c r="BC79" s="98" t="str">
        <v/>
      </c>
      <c r="BD79" s="98" t="str">
        <v/>
      </c>
      <c r="BE79" s="98" t="str">
        <v/>
      </c>
      <c r="BF79" s="98" t="str">
        <v/>
      </c>
      <c r="BG79" s="98" t="str">
        <v/>
      </c>
      <c r="BH79" s="98" t="str">
        <v/>
      </c>
      <c r="BI79" s="115" t="str">
        <v/>
      </c>
      <c r="BJ79" s="98" t="str">
        <v/>
      </c>
      <c r="BK79" s="100" t="str">
        <v/>
      </c>
      <c r="BL79" s="101" t="str">
        <v/>
      </c>
      <c r="BM79" s="101" t="str">
        <v/>
      </c>
      <c r="BN79" s="101" t="str">
        <v/>
      </c>
      <c r="BO79" s="101" t="str">
        <v/>
      </c>
      <c r="BP79" s="101" t="str">
        <v/>
      </c>
      <c r="BQ79" s="101" t="str">
        <v/>
      </c>
      <c r="BR79" s="101" t="str">
        <v/>
      </c>
      <c r="BS79" s="8" t="str">
        <v/>
      </c>
      <c r="BT79" s="102" t="str">
        <v/>
      </c>
      <c r="BU79" s="97"/>
      <c r="BV79" s="97"/>
    </row>
    <row r="80" spans="1:74">
      <c r="A80" s="104"/>
      <c r="B80" s="104"/>
      <c r="C80" s="99"/>
      <c r="D80" s="95"/>
      <c r="E80" s="94"/>
      <c r="F80" s="95"/>
      <c r="G80" s="94"/>
      <c r="H80" s="95"/>
      <c r="I80" s="94"/>
      <c r="J80" s="95"/>
      <c r="K80" s="94"/>
      <c r="L80" s="95"/>
      <c r="M80" s="98" t="str">
        <v/>
      </c>
      <c r="N80" s="98" t="str">
        <v/>
      </c>
      <c r="O80" s="98" t="str">
        <v/>
      </c>
      <c r="P80" s="98" t="str">
        <v/>
      </c>
      <c r="Q80" s="98" t="str">
        <v/>
      </c>
      <c r="R80" s="98" t="str">
        <v/>
      </c>
      <c r="S80" s="98" t="str">
        <v/>
      </c>
      <c r="T80" s="98" t="str">
        <v/>
      </c>
      <c r="U80" s="104" t="str">
        <v/>
      </c>
      <c r="V80" s="98" t="str">
        <v/>
      </c>
      <c r="W80" s="99"/>
      <c r="X80" s="95"/>
      <c r="Y80" s="94"/>
      <c r="Z80" s="95"/>
      <c r="AA80" s="94"/>
      <c r="AB80" s="95"/>
      <c r="AC80" s="94"/>
      <c r="AD80" s="95"/>
      <c r="AE80" s="94"/>
      <c r="AF80" s="95"/>
      <c r="AG80" s="98" t="str">
        <v/>
      </c>
      <c r="AH80" s="98" t="str">
        <v/>
      </c>
      <c r="AI80" s="98" t="str">
        <v/>
      </c>
      <c r="AJ80" s="98" t="str">
        <v/>
      </c>
      <c r="AK80" s="98" t="str">
        <v/>
      </c>
      <c r="AL80" s="98" t="str">
        <v/>
      </c>
      <c r="AM80" s="98" t="str">
        <v/>
      </c>
      <c r="AN80" s="98" t="str">
        <v/>
      </c>
      <c r="AO80" s="115" t="str">
        <v/>
      </c>
      <c r="AP80" s="98" t="str">
        <v/>
      </c>
      <c r="AQ80" s="99"/>
      <c r="AR80" s="95"/>
      <c r="AS80" s="94"/>
      <c r="AT80" s="95"/>
      <c r="AU80" s="94"/>
      <c r="AV80" s="95"/>
      <c r="AW80" s="94"/>
      <c r="AX80" s="95"/>
      <c r="AY80" s="94"/>
      <c r="AZ80" s="95"/>
      <c r="BA80" s="98" t="str">
        <v/>
      </c>
      <c r="BB80" s="98" t="str">
        <v/>
      </c>
      <c r="BC80" s="98" t="str">
        <v/>
      </c>
      <c r="BD80" s="98" t="str">
        <v/>
      </c>
      <c r="BE80" s="98" t="str">
        <v/>
      </c>
      <c r="BF80" s="98" t="str">
        <v/>
      </c>
      <c r="BG80" s="98" t="str">
        <v/>
      </c>
      <c r="BH80" s="98" t="str">
        <v/>
      </c>
      <c r="BI80" s="115" t="str">
        <v/>
      </c>
      <c r="BJ80" s="98" t="str">
        <v/>
      </c>
      <c r="BK80" s="100" t="str">
        <v/>
      </c>
      <c r="BL80" s="101" t="str">
        <v/>
      </c>
      <c r="BM80" s="101" t="str">
        <v/>
      </c>
      <c r="BN80" s="101" t="str">
        <v/>
      </c>
      <c r="BO80" s="101" t="str">
        <v/>
      </c>
      <c r="BP80" s="101" t="str">
        <v/>
      </c>
      <c r="BQ80" s="101" t="str">
        <v/>
      </c>
      <c r="BR80" s="101" t="str">
        <v/>
      </c>
      <c r="BS80" s="8" t="str">
        <v/>
      </c>
      <c r="BT80" s="102" t="str">
        <v/>
      </c>
      <c r="BU80" s="97"/>
      <c r="BV80" s="97"/>
    </row>
    <row r="81" spans="1:74">
      <c r="A81" s="104"/>
      <c r="B81" s="104"/>
      <c r="C81" s="99"/>
      <c r="D81" s="95"/>
      <c r="E81" s="94"/>
      <c r="F81" s="95"/>
      <c r="G81" s="94"/>
      <c r="H81" s="95"/>
      <c r="I81" s="94"/>
      <c r="J81" s="95"/>
      <c r="K81" s="94"/>
      <c r="L81" s="95"/>
      <c r="M81" s="98" t="str">
        <v/>
      </c>
      <c r="N81" s="98" t="str">
        <v/>
      </c>
      <c r="O81" s="98" t="str">
        <v/>
      </c>
      <c r="P81" s="98" t="str">
        <v/>
      </c>
      <c r="Q81" s="98" t="str">
        <v/>
      </c>
      <c r="R81" s="98" t="str">
        <v/>
      </c>
      <c r="S81" s="98" t="str">
        <v/>
      </c>
      <c r="T81" s="98" t="str">
        <v/>
      </c>
      <c r="U81" s="104" t="str">
        <v/>
      </c>
      <c r="V81" s="98" t="str">
        <v/>
      </c>
      <c r="W81" s="99"/>
      <c r="X81" s="95"/>
      <c r="Y81" s="94"/>
      <c r="Z81" s="95"/>
      <c r="AA81" s="94"/>
      <c r="AB81" s="95"/>
      <c r="AC81" s="94"/>
      <c r="AD81" s="95"/>
      <c r="AE81" s="94"/>
      <c r="AF81" s="95"/>
      <c r="AG81" s="98" t="str">
        <v/>
      </c>
      <c r="AH81" s="98" t="str">
        <v/>
      </c>
      <c r="AI81" s="98" t="str">
        <v/>
      </c>
      <c r="AJ81" s="98" t="str">
        <v/>
      </c>
      <c r="AK81" s="98" t="str">
        <v/>
      </c>
      <c r="AL81" s="98" t="str">
        <v/>
      </c>
      <c r="AM81" s="98" t="str">
        <v/>
      </c>
      <c r="AN81" s="98" t="str">
        <v/>
      </c>
      <c r="AO81" s="115" t="str">
        <v/>
      </c>
      <c r="AP81" s="98" t="str">
        <v/>
      </c>
      <c r="AQ81" s="99"/>
      <c r="AR81" s="95"/>
      <c r="AS81" s="94"/>
      <c r="AT81" s="95"/>
      <c r="AU81" s="94"/>
      <c r="AV81" s="95"/>
      <c r="AW81" s="94"/>
      <c r="AX81" s="95"/>
      <c r="AY81" s="94"/>
      <c r="AZ81" s="95"/>
      <c r="BA81" s="98" t="str">
        <v/>
      </c>
      <c r="BB81" s="98" t="str">
        <v/>
      </c>
      <c r="BC81" s="98" t="str">
        <v/>
      </c>
      <c r="BD81" s="98" t="str">
        <v/>
      </c>
      <c r="BE81" s="98" t="str">
        <v/>
      </c>
      <c r="BF81" s="98" t="str">
        <v/>
      </c>
      <c r="BG81" s="98" t="str">
        <v/>
      </c>
      <c r="BH81" s="98" t="str">
        <v/>
      </c>
      <c r="BI81" s="115" t="str">
        <v/>
      </c>
      <c r="BJ81" s="98" t="str">
        <v/>
      </c>
      <c r="BK81" s="100" t="str">
        <v/>
      </c>
      <c r="BL81" s="101" t="str">
        <v/>
      </c>
      <c r="BM81" s="101" t="str">
        <v/>
      </c>
      <c r="BN81" s="101" t="str">
        <v/>
      </c>
      <c r="BO81" s="101" t="str">
        <v/>
      </c>
      <c r="BP81" s="101" t="str">
        <v/>
      </c>
      <c r="BQ81" s="101" t="str">
        <v/>
      </c>
      <c r="BR81" s="101" t="str">
        <v/>
      </c>
      <c r="BS81" s="8" t="str">
        <v/>
      </c>
      <c r="BT81" s="102" t="str">
        <v/>
      </c>
      <c r="BU81" s="97"/>
      <c r="BV81" s="97"/>
    </row>
    <row r="82" spans="1:74">
      <c r="A82" s="104"/>
      <c r="B82" s="104"/>
      <c r="C82" s="99"/>
      <c r="D82" s="95"/>
      <c r="E82" s="94"/>
      <c r="F82" s="95"/>
      <c r="G82" s="94"/>
      <c r="H82" s="95"/>
      <c r="I82" s="94"/>
      <c r="J82" s="95"/>
      <c r="K82" s="94"/>
      <c r="L82" s="95"/>
      <c r="M82" s="98" t="str">
        <v/>
      </c>
      <c r="N82" s="98" t="str">
        <v/>
      </c>
      <c r="O82" s="98" t="str">
        <v/>
      </c>
      <c r="P82" s="98" t="str">
        <v/>
      </c>
      <c r="Q82" s="98" t="str">
        <v/>
      </c>
      <c r="R82" s="98" t="str">
        <v/>
      </c>
      <c r="S82" s="98" t="str">
        <v/>
      </c>
      <c r="T82" s="98" t="str">
        <v/>
      </c>
      <c r="U82" s="104" t="str">
        <v/>
      </c>
      <c r="V82" s="98" t="str">
        <v/>
      </c>
      <c r="W82" s="99"/>
      <c r="X82" s="95"/>
      <c r="Y82" s="94"/>
      <c r="Z82" s="95"/>
      <c r="AA82" s="94"/>
      <c r="AB82" s="95"/>
      <c r="AC82" s="94"/>
      <c r="AD82" s="95"/>
      <c r="AE82" s="94"/>
      <c r="AF82" s="95"/>
      <c r="AG82" s="98" t="str">
        <v/>
      </c>
      <c r="AH82" s="98" t="str">
        <v/>
      </c>
      <c r="AI82" s="98" t="str">
        <v/>
      </c>
      <c r="AJ82" s="98" t="str">
        <v/>
      </c>
      <c r="AK82" s="98" t="str">
        <v/>
      </c>
      <c r="AL82" s="98" t="str">
        <v/>
      </c>
      <c r="AM82" s="98" t="str">
        <v/>
      </c>
      <c r="AN82" s="98" t="str">
        <v/>
      </c>
      <c r="AO82" s="115" t="str">
        <v/>
      </c>
      <c r="AP82" s="98" t="str">
        <v/>
      </c>
      <c r="AQ82" s="99"/>
      <c r="AR82" s="95"/>
      <c r="AS82" s="94"/>
      <c r="AT82" s="95"/>
      <c r="AU82" s="94"/>
      <c r="AV82" s="95"/>
      <c r="AW82" s="94"/>
      <c r="AX82" s="95"/>
      <c r="AY82" s="94"/>
      <c r="AZ82" s="95"/>
      <c r="BA82" s="98" t="str">
        <v/>
      </c>
      <c r="BB82" s="98" t="str">
        <v/>
      </c>
      <c r="BC82" s="98" t="str">
        <v/>
      </c>
      <c r="BD82" s="98" t="str">
        <v/>
      </c>
      <c r="BE82" s="98" t="str">
        <v/>
      </c>
      <c r="BF82" s="98" t="str">
        <v/>
      </c>
      <c r="BG82" s="98" t="str">
        <v/>
      </c>
      <c r="BH82" s="98" t="str">
        <v/>
      </c>
      <c r="BI82" s="115" t="str">
        <v/>
      </c>
      <c r="BJ82" s="98" t="str">
        <v/>
      </c>
      <c r="BK82" s="100" t="str">
        <v/>
      </c>
      <c r="BL82" s="101" t="str">
        <v/>
      </c>
      <c r="BM82" s="101" t="str">
        <v/>
      </c>
      <c r="BN82" s="101" t="str">
        <v/>
      </c>
      <c r="BO82" s="101" t="str">
        <v/>
      </c>
      <c r="BP82" s="101" t="str">
        <v/>
      </c>
      <c r="BQ82" s="101" t="str">
        <v/>
      </c>
      <c r="BR82" s="101" t="str">
        <v/>
      </c>
      <c r="BS82" s="8" t="str">
        <v/>
      </c>
      <c r="BT82" s="102" t="str">
        <v/>
      </c>
      <c r="BU82" s="97"/>
      <c r="BV82" s="97"/>
    </row>
    <row r="83" spans="1:74">
      <c r="A83" s="104"/>
      <c r="B83" s="104"/>
      <c r="C83" s="99"/>
      <c r="D83" s="95"/>
      <c r="E83" s="94"/>
      <c r="F83" s="95"/>
      <c r="G83" s="94"/>
      <c r="H83" s="95"/>
      <c r="I83" s="94"/>
      <c r="J83" s="95"/>
      <c r="K83" s="94"/>
      <c r="L83" s="95"/>
      <c r="M83" s="98" t="str">
        <v/>
      </c>
      <c r="N83" s="98" t="str">
        <v/>
      </c>
      <c r="O83" s="98" t="str">
        <v/>
      </c>
      <c r="P83" s="98" t="str">
        <v/>
      </c>
      <c r="Q83" s="98" t="str">
        <v/>
      </c>
      <c r="R83" s="98" t="str">
        <v/>
      </c>
      <c r="S83" s="98" t="str">
        <v/>
      </c>
      <c r="T83" s="98" t="str">
        <v/>
      </c>
      <c r="U83" s="104" t="str">
        <v/>
      </c>
      <c r="V83" s="98" t="str">
        <v/>
      </c>
      <c r="W83" s="99"/>
      <c r="X83" s="95"/>
      <c r="Y83" s="94"/>
      <c r="Z83" s="95"/>
      <c r="AA83" s="94"/>
      <c r="AB83" s="95"/>
      <c r="AC83" s="94"/>
      <c r="AD83" s="95"/>
      <c r="AE83" s="94"/>
      <c r="AF83" s="95"/>
      <c r="AG83" s="98" t="str">
        <v/>
      </c>
      <c r="AH83" s="98" t="str">
        <v/>
      </c>
      <c r="AI83" s="98" t="str">
        <v/>
      </c>
      <c r="AJ83" s="98" t="str">
        <v/>
      </c>
      <c r="AK83" s="98" t="str">
        <v/>
      </c>
      <c r="AL83" s="98" t="str">
        <v/>
      </c>
      <c r="AM83" s="98" t="str">
        <v/>
      </c>
      <c r="AN83" s="98" t="str">
        <v/>
      </c>
      <c r="AO83" s="115" t="str">
        <v/>
      </c>
      <c r="AP83" s="98" t="str">
        <v/>
      </c>
      <c r="AQ83" s="99"/>
      <c r="AR83" s="95"/>
      <c r="AS83" s="94"/>
      <c r="AT83" s="95"/>
      <c r="AU83" s="94"/>
      <c r="AV83" s="95"/>
      <c r="AW83" s="94"/>
      <c r="AX83" s="95"/>
      <c r="AY83" s="94"/>
      <c r="AZ83" s="95"/>
      <c r="BA83" s="98" t="str">
        <v/>
      </c>
      <c r="BB83" s="98" t="str">
        <v/>
      </c>
      <c r="BC83" s="98" t="str">
        <v/>
      </c>
      <c r="BD83" s="98" t="str">
        <v/>
      </c>
      <c r="BE83" s="98" t="str">
        <v/>
      </c>
      <c r="BF83" s="98" t="str">
        <v/>
      </c>
      <c r="BG83" s="98" t="str">
        <v/>
      </c>
      <c r="BH83" s="98" t="str">
        <v/>
      </c>
      <c r="BI83" s="115" t="str">
        <v/>
      </c>
      <c r="BJ83" s="98" t="str">
        <v/>
      </c>
      <c r="BK83" s="100" t="str">
        <v/>
      </c>
      <c r="BL83" s="101" t="str">
        <v/>
      </c>
      <c r="BM83" s="101" t="str">
        <v/>
      </c>
      <c r="BN83" s="101" t="str">
        <v/>
      </c>
      <c r="BO83" s="101" t="str">
        <v/>
      </c>
      <c r="BP83" s="101" t="str">
        <v/>
      </c>
      <c r="BQ83" s="101" t="str">
        <v/>
      </c>
      <c r="BR83" s="101" t="str">
        <v/>
      </c>
      <c r="BS83" s="8" t="str">
        <v/>
      </c>
      <c r="BT83" s="102" t="str">
        <v/>
      </c>
      <c r="BU83" s="97"/>
      <c r="BV83" s="97"/>
    </row>
    <row r="84" spans="1:74">
      <c r="A84" s="104"/>
      <c r="B84" s="104"/>
      <c r="C84" s="99"/>
      <c r="D84" s="95"/>
      <c r="E84" s="94"/>
      <c r="F84" s="95"/>
      <c r="G84" s="94"/>
      <c r="H84" s="95"/>
      <c r="I84" s="94"/>
      <c r="J84" s="95"/>
      <c r="K84" s="94"/>
      <c r="L84" s="95"/>
      <c r="M84" s="98" t="str">
        <v/>
      </c>
      <c r="N84" s="98" t="str">
        <v/>
      </c>
      <c r="O84" s="98" t="str">
        <v/>
      </c>
      <c r="P84" s="98" t="str">
        <v/>
      </c>
      <c r="Q84" s="98" t="str">
        <v/>
      </c>
      <c r="R84" s="98" t="str">
        <v/>
      </c>
      <c r="S84" s="98" t="str">
        <v/>
      </c>
      <c r="T84" s="98" t="str">
        <v/>
      </c>
      <c r="U84" s="104" t="str">
        <v/>
      </c>
      <c r="V84" s="98" t="str">
        <v/>
      </c>
      <c r="W84" s="99"/>
      <c r="X84" s="95"/>
      <c r="Y84" s="94"/>
      <c r="Z84" s="95"/>
      <c r="AA84" s="94"/>
      <c r="AB84" s="95"/>
      <c r="AC84" s="94"/>
      <c r="AD84" s="95"/>
      <c r="AE84" s="94"/>
      <c r="AF84" s="95"/>
      <c r="AG84" s="98" t="str">
        <v/>
      </c>
      <c r="AH84" s="98" t="str">
        <v/>
      </c>
      <c r="AI84" s="98" t="str">
        <v/>
      </c>
      <c r="AJ84" s="98" t="str">
        <v/>
      </c>
      <c r="AK84" s="98" t="str">
        <v/>
      </c>
      <c r="AL84" s="98" t="str">
        <v/>
      </c>
      <c r="AM84" s="98" t="str">
        <v/>
      </c>
      <c r="AN84" s="98" t="str">
        <v/>
      </c>
      <c r="AO84" s="115" t="str">
        <v/>
      </c>
      <c r="AP84" s="98" t="str">
        <v/>
      </c>
      <c r="AQ84" s="99"/>
      <c r="AR84" s="95"/>
      <c r="AS84" s="94"/>
      <c r="AT84" s="95"/>
      <c r="AU84" s="94"/>
      <c r="AV84" s="95"/>
      <c r="AW84" s="94"/>
      <c r="AX84" s="95"/>
      <c r="AY84" s="94"/>
      <c r="AZ84" s="95"/>
      <c r="BA84" s="98" t="str">
        <v/>
      </c>
      <c r="BB84" s="98" t="str">
        <v/>
      </c>
      <c r="BC84" s="98" t="str">
        <v/>
      </c>
      <c r="BD84" s="98" t="str">
        <v/>
      </c>
      <c r="BE84" s="98" t="str">
        <v/>
      </c>
      <c r="BF84" s="98" t="str">
        <v/>
      </c>
      <c r="BG84" s="98" t="str">
        <v/>
      </c>
      <c r="BH84" s="98" t="str">
        <v/>
      </c>
      <c r="BI84" s="115" t="str">
        <v/>
      </c>
      <c r="BJ84" s="98" t="str">
        <v/>
      </c>
      <c r="BK84" s="100" t="str">
        <v/>
      </c>
      <c r="BL84" s="101" t="str">
        <v/>
      </c>
      <c r="BM84" s="101" t="str">
        <v/>
      </c>
      <c r="BN84" s="101" t="str">
        <v/>
      </c>
      <c r="BO84" s="101" t="str">
        <v/>
      </c>
      <c r="BP84" s="101" t="str">
        <v/>
      </c>
      <c r="BQ84" s="101" t="str">
        <v/>
      </c>
      <c r="BR84" s="101" t="str">
        <v/>
      </c>
      <c r="BS84" s="8" t="str">
        <v/>
      </c>
      <c r="BT84" s="102" t="str">
        <v/>
      </c>
      <c r="BU84" s="97"/>
      <c r="BV84" s="97"/>
    </row>
    <row r="85" spans="1:74">
      <c r="A85" s="104"/>
      <c r="B85" s="104"/>
      <c r="C85" s="99"/>
      <c r="D85" s="95"/>
      <c r="E85" s="94"/>
      <c r="F85" s="95"/>
      <c r="G85" s="94"/>
      <c r="H85" s="95"/>
      <c r="I85" s="94"/>
      <c r="J85" s="95"/>
      <c r="K85" s="94"/>
      <c r="L85" s="95"/>
      <c r="M85" s="98" t="str">
        <v/>
      </c>
      <c r="N85" s="98" t="str">
        <v/>
      </c>
      <c r="O85" s="98" t="str">
        <v/>
      </c>
      <c r="P85" s="98" t="str">
        <v/>
      </c>
      <c r="Q85" s="98" t="str">
        <v/>
      </c>
      <c r="R85" s="98" t="str">
        <v/>
      </c>
      <c r="S85" s="98" t="str">
        <v/>
      </c>
      <c r="T85" s="98" t="str">
        <v/>
      </c>
      <c r="U85" s="104" t="str">
        <v/>
      </c>
      <c r="V85" s="98" t="str">
        <v/>
      </c>
      <c r="W85" s="99"/>
      <c r="X85" s="95"/>
      <c r="Y85" s="94"/>
      <c r="Z85" s="95"/>
      <c r="AA85" s="94"/>
      <c r="AB85" s="95"/>
      <c r="AC85" s="94"/>
      <c r="AD85" s="95"/>
      <c r="AE85" s="94"/>
      <c r="AF85" s="95"/>
      <c r="AG85" s="98" t="str">
        <v/>
      </c>
      <c r="AH85" s="98" t="str">
        <v/>
      </c>
      <c r="AI85" s="98" t="str">
        <v/>
      </c>
      <c r="AJ85" s="98" t="str">
        <v/>
      </c>
      <c r="AK85" s="98" t="str">
        <v/>
      </c>
      <c r="AL85" s="98" t="str">
        <v/>
      </c>
      <c r="AM85" s="98" t="str">
        <v/>
      </c>
      <c r="AN85" s="98" t="str">
        <v/>
      </c>
      <c r="AO85" s="115" t="str">
        <v/>
      </c>
      <c r="AP85" s="98" t="str">
        <v/>
      </c>
      <c r="AQ85" s="99"/>
      <c r="AR85" s="95"/>
      <c r="AS85" s="94"/>
      <c r="AT85" s="95"/>
      <c r="AU85" s="94"/>
      <c r="AV85" s="95"/>
      <c r="AW85" s="94"/>
      <c r="AX85" s="95"/>
      <c r="AY85" s="94"/>
      <c r="AZ85" s="95"/>
      <c r="BA85" s="98" t="str">
        <v/>
      </c>
      <c r="BB85" s="98" t="str">
        <v/>
      </c>
      <c r="BC85" s="98" t="str">
        <v/>
      </c>
      <c r="BD85" s="98" t="str">
        <v/>
      </c>
      <c r="BE85" s="98" t="str">
        <v/>
      </c>
      <c r="BF85" s="98" t="str">
        <v/>
      </c>
      <c r="BG85" s="98" t="str">
        <v/>
      </c>
      <c r="BH85" s="98" t="str">
        <v/>
      </c>
      <c r="BI85" s="115" t="str">
        <v/>
      </c>
      <c r="BJ85" s="98" t="str">
        <v/>
      </c>
      <c r="BK85" s="100" t="str">
        <v/>
      </c>
      <c r="BL85" s="101" t="str">
        <v/>
      </c>
      <c r="BM85" s="101" t="str">
        <v/>
      </c>
      <c r="BN85" s="101" t="str">
        <v/>
      </c>
      <c r="BO85" s="101" t="str">
        <v/>
      </c>
      <c r="BP85" s="101" t="str">
        <v/>
      </c>
      <c r="BQ85" s="101" t="str">
        <v/>
      </c>
      <c r="BR85" s="101" t="str">
        <v/>
      </c>
      <c r="BS85" s="8" t="str">
        <v/>
      </c>
      <c r="BT85" s="102" t="str">
        <v/>
      </c>
      <c r="BU85" s="97"/>
      <c r="BV85" s="97"/>
    </row>
    <row r="86" spans="1:74">
      <c r="A86" s="104"/>
      <c r="B86" s="104"/>
      <c r="C86" s="99"/>
      <c r="D86" s="95"/>
      <c r="E86" s="94"/>
      <c r="F86" s="95"/>
      <c r="G86" s="94"/>
      <c r="H86" s="95"/>
      <c r="I86" s="94"/>
      <c r="J86" s="95"/>
      <c r="K86" s="94"/>
      <c r="L86" s="95"/>
      <c r="M86" s="98" t="str">
        <v/>
      </c>
      <c r="N86" s="98" t="str">
        <v/>
      </c>
      <c r="O86" s="98" t="str">
        <v/>
      </c>
      <c r="P86" s="98" t="str">
        <v/>
      </c>
      <c r="Q86" s="98" t="str">
        <v/>
      </c>
      <c r="R86" s="98" t="str">
        <v/>
      </c>
      <c r="S86" s="98" t="str">
        <v/>
      </c>
      <c r="T86" s="98" t="str">
        <v/>
      </c>
      <c r="U86" s="104" t="str">
        <v/>
      </c>
      <c r="V86" s="98" t="str">
        <v/>
      </c>
      <c r="W86" s="99"/>
      <c r="X86" s="95"/>
      <c r="Y86" s="94"/>
      <c r="Z86" s="95"/>
      <c r="AA86" s="94"/>
      <c r="AB86" s="95"/>
      <c r="AC86" s="94"/>
      <c r="AD86" s="95"/>
      <c r="AE86" s="94"/>
      <c r="AF86" s="95"/>
      <c r="AG86" s="98" t="str">
        <v/>
      </c>
      <c r="AH86" s="98" t="str">
        <v/>
      </c>
      <c r="AI86" s="98" t="str">
        <v/>
      </c>
      <c r="AJ86" s="98" t="str">
        <v/>
      </c>
      <c r="AK86" s="98" t="str">
        <v/>
      </c>
      <c r="AL86" s="98" t="str">
        <v/>
      </c>
      <c r="AM86" s="98" t="str">
        <v/>
      </c>
      <c r="AN86" s="98" t="str">
        <v/>
      </c>
      <c r="AO86" s="115" t="str">
        <v/>
      </c>
      <c r="AP86" s="98" t="str">
        <v/>
      </c>
      <c r="AQ86" s="99"/>
      <c r="AR86" s="95"/>
      <c r="AS86" s="94"/>
      <c r="AT86" s="95"/>
      <c r="AU86" s="94"/>
      <c r="AV86" s="95"/>
      <c r="AW86" s="94"/>
      <c r="AX86" s="95"/>
      <c r="AY86" s="94"/>
      <c r="AZ86" s="95"/>
      <c r="BA86" s="98" t="str">
        <v/>
      </c>
      <c r="BB86" s="98" t="str">
        <v/>
      </c>
      <c r="BC86" s="98" t="str">
        <v/>
      </c>
      <c r="BD86" s="98" t="str">
        <v/>
      </c>
      <c r="BE86" s="98" t="str">
        <v/>
      </c>
      <c r="BF86" s="98" t="str">
        <v/>
      </c>
      <c r="BG86" s="98" t="str">
        <v/>
      </c>
      <c r="BH86" s="98" t="str">
        <v/>
      </c>
      <c r="BI86" s="115" t="str">
        <v/>
      </c>
      <c r="BJ86" s="98" t="str">
        <v/>
      </c>
      <c r="BK86" s="100" t="str">
        <v/>
      </c>
      <c r="BL86" s="101" t="str">
        <v/>
      </c>
      <c r="BM86" s="101" t="str">
        <v/>
      </c>
      <c r="BN86" s="101" t="str">
        <v/>
      </c>
      <c r="BO86" s="101" t="str">
        <v/>
      </c>
      <c r="BP86" s="101" t="str">
        <v/>
      </c>
      <c r="BQ86" s="101" t="str">
        <v/>
      </c>
      <c r="BR86" s="101" t="str">
        <v/>
      </c>
      <c r="BS86" s="8" t="str">
        <v/>
      </c>
      <c r="BT86" s="102" t="str">
        <v/>
      </c>
      <c r="BU86" s="97"/>
      <c r="BV86" s="97"/>
    </row>
    <row r="87" spans="1:74">
      <c r="A87" s="104"/>
      <c r="B87" s="104"/>
      <c r="C87" s="99"/>
      <c r="D87" s="95"/>
      <c r="E87" s="94"/>
      <c r="F87" s="95"/>
      <c r="G87" s="94"/>
      <c r="H87" s="95"/>
      <c r="I87" s="94"/>
      <c r="J87" s="95"/>
      <c r="K87" s="94"/>
      <c r="L87" s="95"/>
      <c r="M87" s="98" t="str">
        <v/>
      </c>
      <c r="N87" s="98" t="str">
        <v/>
      </c>
      <c r="O87" s="98" t="str">
        <v/>
      </c>
      <c r="P87" s="98" t="str">
        <v/>
      </c>
      <c r="Q87" s="98" t="str">
        <v/>
      </c>
      <c r="R87" s="98" t="str">
        <v/>
      </c>
      <c r="S87" s="98" t="str">
        <v/>
      </c>
      <c r="T87" s="98" t="str">
        <v/>
      </c>
      <c r="U87" s="104" t="str">
        <v/>
      </c>
      <c r="V87" s="98" t="str">
        <v/>
      </c>
      <c r="W87" s="99"/>
      <c r="X87" s="95"/>
      <c r="Y87" s="94"/>
      <c r="Z87" s="95"/>
      <c r="AA87" s="94"/>
      <c r="AB87" s="95"/>
      <c r="AC87" s="94"/>
      <c r="AD87" s="95"/>
      <c r="AE87" s="94"/>
      <c r="AF87" s="95"/>
      <c r="AG87" s="98" t="str">
        <v/>
      </c>
      <c r="AH87" s="98" t="str">
        <v/>
      </c>
      <c r="AI87" s="98" t="str">
        <v/>
      </c>
      <c r="AJ87" s="98" t="str">
        <v/>
      </c>
      <c r="AK87" s="98" t="str">
        <v/>
      </c>
      <c r="AL87" s="98" t="str">
        <v/>
      </c>
      <c r="AM87" s="98" t="str">
        <v/>
      </c>
      <c r="AN87" s="98" t="str">
        <v/>
      </c>
      <c r="AO87" s="115" t="str">
        <v/>
      </c>
      <c r="AP87" s="98" t="str">
        <v/>
      </c>
      <c r="AQ87" s="99"/>
      <c r="AR87" s="95"/>
      <c r="AS87" s="94"/>
      <c r="AT87" s="95"/>
      <c r="AU87" s="94"/>
      <c r="AV87" s="95"/>
      <c r="AW87" s="94"/>
      <c r="AX87" s="95"/>
      <c r="AY87" s="94"/>
      <c r="AZ87" s="95"/>
      <c r="BA87" s="98" t="str">
        <v/>
      </c>
      <c r="BB87" s="98" t="str">
        <v/>
      </c>
      <c r="BC87" s="98" t="str">
        <v/>
      </c>
      <c r="BD87" s="98" t="str">
        <v/>
      </c>
      <c r="BE87" s="98" t="str">
        <v/>
      </c>
      <c r="BF87" s="98" t="str">
        <v/>
      </c>
      <c r="BG87" s="98" t="str">
        <v/>
      </c>
      <c r="BH87" s="98" t="str">
        <v/>
      </c>
      <c r="BI87" s="115" t="str">
        <v/>
      </c>
      <c r="BJ87" s="98" t="str">
        <v/>
      </c>
      <c r="BK87" s="100" t="str">
        <v/>
      </c>
      <c r="BL87" s="101" t="str">
        <v/>
      </c>
      <c r="BM87" s="101" t="str">
        <v/>
      </c>
      <c r="BN87" s="101" t="str">
        <v/>
      </c>
      <c r="BO87" s="101" t="str">
        <v/>
      </c>
      <c r="BP87" s="101" t="str">
        <v/>
      </c>
      <c r="BQ87" s="101" t="str">
        <v/>
      </c>
      <c r="BR87" s="101" t="str">
        <v/>
      </c>
      <c r="BS87" s="8" t="str">
        <v/>
      </c>
      <c r="BT87" s="102" t="str">
        <v/>
      </c>
      <c r="BU87" s="97"/>
      <c r="BV87" s="97"/>
    </row>
    <row r="88" spans="1:74">
      <c r="A88" s="104"/>
      <c r="B88" s="104"/>
      <c r="C88" s="99"/>
      <c r="D88" s="95"/>
      <c r="E88" s="94"/>
      <c r="F88" s="95"/>
      <c r="G88" s="94"/>
      <c r="H88" s="95"/>
      <c r="I88" s="94"/>
      <c r="J88" s="95"/>
      <c r="K88" s="94"/>
      <c r="L88" s="95"/>
      <c r="M88" s="98" t="str">
        <v/>
      </c>
      <c r="N88" s="98" t="str">
        <v/>
      </c>
      <c r="O88" s="98" t="str">
        <v/>
      </c>
      <c r="P88" s="98" t="str">
        <v/>
      </c>
      <c r="Q88" s="98" t="str">
        <v/>
      </c>
      <c r="R88" s="98" t="str">
        <v/>
      </c>
      <c r="S88" s="98" t="str">
        <v/>
      </c>
      <c r="T88" s="98" t="str">
        <v/>
      </c>
      <c r="U88" s="104" t="str">
        <v/>
      </c>
      <c r="V88" s="98" t="str">
        <v/>
      </c>
      <c r="W88" s="99"/>
      <c r="X88" s="95"/>
      <c r="Y88" s="94"/>
      <c r="Z88" s="95"/>
      <c r="AA88" s="94"/>
      <c r="AB88" s="95"/>
      <c r="AC88" s="94"/>
      <c r="AD88" s="95"/>
      <c r="AE88" s="94"/>
      <c r="AF88" s="95"/>
      <c r="AG88" s="98" t="str">
        <v/>
      </c>
      <c r="AH88" s="98" t="str">
        <v/>
      </c>
      <c r="AI88" s="98" t="str">
        <v/>
      </c>
      <c r="AJ88" s="98" t="str">
        <v/>
      </c>
      <c r="AK88" s="98" t="str">
        <v/>
      </c>
      <c r="AL88" s="98" t="str">
        <v/>
      </c>
      <c r="AM88" s="98" t="str">
        <v/>
      </c>
      <c r="AN88" s="98" t="str">
        <v/>
      </c>
      <c r="AO88" s="115" t="str">
        <v/>
      </c>
      <c r="AP88" s="98" t="str">
        <v/>
      </c>
      <c r="AQ88" s="99"/>
      <c r="AR88" s="95"/>
      <c r="AS88" s="94"/>
      <c r="AT88" s="95"/>
      <c r="AU88" s="94"/>
      <c r="AV88" s="95"/>
      <c r="AW88" s="94"/>
      <c r="AX88" s="95"/>
      <c r="AY88" s="94"/>
      <c r="AZ88" s="95"/>
      <c r="BA88" s="98" t="str">
        <v/>
      </c>
      <c r="BB88" s="98" t="str">
        <v/>
      </c>
      <c r="BC88" s="98" t="str">
        <v/>
      </c>
      <c r="BD88" s="98" t="str">
        <v/>
      </c>
      <c r="BE88" s="98" t="str">
        <v/>
      </c>
      <c r="BF88" s="98" t="str">
        <v/>
      </c>
      <c r="BG88" s="98" t="str">
        <v/>
      </c>
      <c r="BH88" s="98" t="str">
        <v/>
      </c>
      <c r="BI88" s="115" t="str">
        <v/>
      </c>
      <c r="BJ88" s="98" t="str">
        <v/>
      </c>
      <c r="BK88" s="100" t="str">
        <v/>
      </c>
      <c r="BL88" s="101" t="str">
        <v/>
      </c>
      <c r="BM88" s="101" t="str">
        <v/>
      </c>
      <c r="BN88" s="101" t="str">
        <v/>
      </c>
      <c r="BO88" s="101" t="str">
        <v/>
      </c>
      <c r="BP88" s="101" t="str">
        <v/>
      </c>
      <c r="BQ88" s="101" t="str">
        <v/>
      </c>
      <c r="BR88" s="101" t="str">
        <v/>
      </c>
      <c r="BS88" s="8" t="str">
        <v/>
      </c>
      <c r="BT88" s="102" t="str">
        <v/>
      </c>
      <c r="BU88" s="97"/>
      <c r="BV88" s="97"/>
    </row>
    <row r="89" spans="1:74">
      <c r="A89" s="104"/>
      <c r="B89" s="104"/>
      <c r="C89" s="99"/>
      <c r="D89" s="95"/>
      <c r="E89" s="94"/>
      <c r="F89" s="95"/>
      <c r="G89" s="94"/>
      <c r="H89" s="95"/>
      <c r="I89" s="94"/>
      <c r="J89" s="95"/>
      <c r="K89" s="94"/>
      <c r="L89" s="95"/>
      <c r="M89" s="98" t="str">
        <v/>
      </c>
      <c r="N89" s="98" t="str">
        <v/>
      </c>
      <c r="O89" s="98" t="str">
        <v/>
      </c>
      <c r="P89" s="98" t="str">
        <v/>
      </c>
      <c r="Q89" s="98" t="str">
        <v/>
      </c>
      <c r="R89" s="98" t="str">
        <v/>
      </c>
      <c r="S89" s="98" t="str">
        <v/>
      </c>
      <c r="T89" s="98" t="str">
        <v/>
      </c>
      <c r="U89" s="104" t="str">
        <v/>
      </c>
      <c r="V89" s="98" t="str">
        <v/>
      </c>
      <c r="W89" s="99"/>
      <c r="X89" s="95"/>
      <c r="Y89" s="94"/>
      <c r="Z89" s="95"/>
      <c r="AA89" s="94"/>
      <c r="AB89" s="95"/>
      <c r="AC89" s="94"/>
      <c r="AD89" s="95"/>
      <c r="AE89" s="94"/>
      <c r="AF89" s="95"/>
      <c r="AG89" s="98" t="str">
        <v/>
      </c>
      <c r="AH89" s="98" t="str">
        <v/>
      </c>
      <c r="AI89" s="98" t="str">
        <v/>
      </c>
      <c r="AJ89" s="98" t="str">
        <v/>
      </c>
      <c r="AK89" s="98" t="str">
        <v/>
      </c>
      <c r="AL89" s="98" t="str">
        <v/>
      </c>
      <c r="AM89" s="98" t="str">
        <v/>
      </c>
      <c r="AN89" s="98" t="str">
        <v/>
      </c>
      <c r="AO89" s="115" t="str">
        <v/>
      </c>
      <c r="AP89" s="98" t="str">
        <v/>
      </c>
      <c r="AQ89" s="99"/>
      <c r="AR89" s="95"/>
      <c r="AS89" s="94"/>
      <c r="AT89" s="95"/>
      <c r="AU89" s="94"/>
      <c r="AV89" s="95"/>
      <c r="AW89" s="94"/>
      <c r="AX89" s="95"/>
      <c r="AY89" s="94"/>
      <c r="AZ89" s="95"/>
      <c r="BA89" s="98" t="str">
        <v/>
      </c>
      <c r="BB89" s="98" t="str">
        <v/>
      </c>
      <c r="BC89" s="98" t="str">
        <v/>
      </c>
      <c r="BD89" s="98" t="str">
        <v/>
      </c>
      <c r="BE89" s="98" t="str">
        <v/>
      </c>
      <c r="BF89" s="98" t="str">
        <v/>
      </c>
      <c r="BG89" s="98" t="str">
        <v/>
      </c>
      <c r="BH89" s="98" t="str">
        <v/>
      </c>
      <c r="BI89" s="115" t="str">
        <v/>
      </c>
      <c r="BJ89" s="98" t="str">
        <v/>
      </c>
      <c r="BK89" s="100" t="str">
        <v/>
      </c>
      <c r="BL89" s="101" t="str">
        <v/>
      </c>
      <c r="BM89" s="101" t="str">
        <v/>
      </c>
      <c r="BN89" s="101" t="str">
        <v/>
      </c>
      <c r="BO89" s="101" t="str">
        <v/>
      </c>
      <c r="BP89" s="101" t="str">
        <v/>
      </c>
      <c r="BQ89" s="101" t="str">
        <v/>
      </c>
      <c r="BR89" s="101" t="str">
        <v/>
      </c>
      <c r="BS89" s="8" t="str">
        <v/>
      </c>
      <c r="BT89" s="102" t="str">
        <v/>
      </c>
      <c r="BU89" s="97"/>
      <c r="BV89" s="97"/>
    </row>
    <row r="90" spans="1:74">
      <c r="A90" s="104"/>
      <c r="B90" s="104"/>
      <c r="C90" s="99"/>
      <c r="D90" s="95"/>
      <c r="E90" s="94"/>
      <c r="F90" s="95"/>
      <c r="G90" s="94"/>
      <c r="H90" s="95"/>
      <c r="I90" s="94"/>
      <c r="J90" s="95"/>
      <c r="K90" s="94"/>
      <c r="L90" s="95"/>
      <c r="M90" s="98" t="str">
        <v/>
      </c>
      <c r="N90" s="98" t="str">
        <v/>
      </c>
      <c r="O90" s="98" t="str">
        <v/>
      </c>
      <c r="P90" s="98" t="str">
        <v/>
      </c>
      <c r="Q90" s="98" t="str">
        <v/>
      </c>
      <c r="R90" s="98" t="str">
        <v/>
      </c>
      <c r="S90" s="98" t="str">
        <v/>
      </c>
      <c r="T90" s="98" t="str">
        <v/>
      </c>
      <c r="U90" s="104" t="str">
        <v/>
      </c>
      <c r="V90" s="98" t="str">
        <v/>
      </c>
      <c r="W90" s="99"/>
      <c r="X90" s="95"/>
      <c r="Y90" s="94"/>
      <c r="Z90" s="95"/>
      <c r="AA90" s="94"/>
      <c r="AB90" s="95"/>
      <c r="AC90" s="94"/>
      <c r="AD90" s="95"/>
      <c r="AE90" s="94"/>
      <c r="AF90" s="95"/>
      <c r="AG90" s="98" t="str">
        <v/>
      </c>
      <c r="AH90" s="98" t="str">
        <v/>
      </c>
      <c r="AI90" s="98" t="str">
        <v/>
      </c>
      <c r="AJ90" s="98" t="str">
        <v/>
      </c>
      <c r="AK90" s="98" t="str">
        <v/>
      </c>
      <c r="AL90" s="98" t="str">
        <v/>
      </c>
      <c r="AM90" s="98" t="str">
        <v/>
      </c>
      <c r="AN90" s="98" t="str">
        <v/>
      </c>
      <c r="AO90" s="115" t="str">
        <v/>
      </c>
      <c r="AP90" s="98" t="str">
        <v/>
      </c>
      <c r="AQ90" s="99"/>
      <c r="AR90" s="95"/>
      <c r="AS90" s="94"/>
      <c r="AT90" s="95"/>
      <c r="AU90" s="94"/>
      <c r="AV90" s="95"/>
      <c r="AW90" s="94"/>
      <c r="AX90" s="95"/>
      <c r="AY90" s="94"/>
      <c r="AZ90" s="95"/>
      <c r="BA90" s="98" t="str">
        <v/>
      </c>
      <c r="BB90" s="98" t="str">
        <v/>
      </c>
      <c r="BC90" s="98" t="str">
        <v/>
      </c>
      <c r="BD90" s="98" t="str">
        <v/>
      </c>
      <c r="BE90" s="98" t="str">
        <v/>
      </c>
      <c r="BF90" s="98" t="str">
        <v/>
      </c>
      <c r="BG90" s="98" t="str">
        <v/>
      </c>
      <c r="BH90" s="98" t="str">
        <v/>
      </c>
      <c r="BI90" s="115" t="str">
        <v/>
      </c>
      <c r="BJ90" s="98" t="str">
        <v/>
      </c>
      <c r="BK90" s="100" t="str">
        <v/>
      </c>
      <c r="BL90" s="101" t="str">
        <v/>
      </c>
      <c r="BM90" s="101" t="str">
        <v/>
      </c>
      <c r="BN90" s="101" t="str">
        <v/>
      </c>
      <c r="BO90" s="101" t="str">
        <v/>
      </c>
      <c r="BP90" s="101" t="str">
        <v/>
      </c>
      <c r="BQ90" s="101" t="str">
        <v/>
      </c>
      <c r="BR90" s="101" t="str">
        <v/>
      </c>
      <c r="BS90" s="8" t="str">
        <v/>
      </c>
      <c r="BT90" s="102" t="str">
        <v/>
      </c>
      <c r="BU90" s="97"/>
      <c r="BV90" s="97"/>
    </row>
    <row r="91" spans="1:74">
      <c r="A91" s="104"/>
      <c r="B91" s="104"/>
      <c r="C91" s="99"/>
      <c r="D91" s="95"/>
      <c r="E91" s="94"/>
      <c r="F91" s="95"/>
      <c r="G91" s="94"/>
      <c r="H91" s="95"/>
      <c r="I91" s="94"/>
      <c r="J91" s="95"/>
      <c r="K91" s="94"/>
      <c r="L91" s="95"/>
      <c r="M91" s="98" t="str">
        <v/>
      </c>
      <c r="N91" s="98" t="str">
        <v/>
      </c>
      <c r="O91" s="98" t="str">
        <v/>
      </c>
      <c r="P91" s="98" t="str">
        <v/>
      </c>
      <c r="Q91" s="98" t="str">
        <v/>
      </c>
      <c r="R91" s="98" t="str">
        <v/>
      </c>
      <c r="S91" s="98" t="str">
        <v/>
      </c>
      <c r="T91" s="98" t="str">
        <v/>
      </c>
      <c r="U91" s="104" t="str">
        <v/>
      </c>
      <c r="V91" s="98" t="str">
        <v/>
      </c>
      <c r="W91" s="99"/>
      <c r="X91" s="95"/>
      <c r="Y91" s="94"/>
      <c r="Z91" s="95"/>
      <c r="AA91" s="94"/>
      <c r="AB91" s="95"/>
      <c r="AC91" s="94"/>
      <c r="AD91" s="95"/>
      <c r="AE91" s="94"/>
      <c r="AF91" s="95"/>
      <c r="AG91" s="98" t="str">
        <v/>
      </c>
      <c r="AH91" s="98" t="str">
        <v/>
      </c>
      <c r="AI91" s="98" t="str">
        <v/>
      </c>
      <c r="AJ91" s="98" t="str">
        <v/>
      </c>
      <c r="AK91" s="98" t="str">
        <v/>
      </c>
      <c r="AL91" s="98" t="str">
        <v/>
      </c>
      <c r="AM91" s="98" t="str">
        <v/>
      </c>
      <c r="AN91" s="98" t="str">
        <v/>
      </c>
      <c r="AO91" s="115" t="str">
        <v/>
      </c>
      <c r="AP91" s="98" t="str">
        <v/>
      </c>
      <c r="AQ91" s="99"/>
      <c r="AR91" s="95"/>
      <c r="AS91" s="94"/>
      <c r="AT91" s="95"/>
      <c r="AU91" s="94"/>
      <c r="AV91" s="95"/>
      <c r="AW91" s="94"/>
      <c r="AX91" s="95"/>
      <c r="AY91" s="94"/>
      <c r="AZ91" s="95"/>
      <c r="BA91" s="98" t="str">
        <v/>
      </c>
      <c r="BB91" s="98" t="str">
        <v/>
      </c>
      <c r="BC91" s="98" t="str">
        <v/>
      </c>
      <c r="BD91" s="98" t="str">
        <v/>
      </c>
      <c r="BE91" s="98" t="str">
        <v/>
      </c>
      <c r="BF91" s="98" t="str">
        <v/>
      </c>
      <c r="BG91" s="98" t="str">
        <v/>
      </c>
      <c r="BH91" s="98" t="str">
        <v/>
      </c>
      <c r="BI91" s="115" t="str">
        <v/>
      </c>
      <c r="BJ91" s="98" t="str">
        <v/>
      </c>
      <c r="BK91" s="100" t="str">
        <v/>
      </c>
      <c r="BL91" s="101" t="str">
        <v/>
      </c>
      <c r="BM91" s="101" t="str">
        <v/>
      </c>
      <c r="BN91" s="101" t="str">
        <v/>
      </c>
      <c r="BO91" s="101" t="str">
        <v/>
      </c>
      <c r="BP91" s="101" t="str">
        <v/>
      </c>
      <c r="BQ91" s="101" t="str">
        <v/>
      </c>
      <c r="BR91" s="101" t="str">
        <v/>
      </c>
      <c r="BS91" s="8" t="str">
        <v/>
      </c>
      <c r="BT91" s="102" t="str">
        <v/>
      </c>
      <c r="BU91" s="97"/>
      <c r="BV91" s="97"/>
    </row>
    <row r="92" spans="1:74">
      <c r="A92" s="104"/>
      <c r="B92" s="104"/>
      <c r="C92" s="99"/>
      <c r="D92" s="95"/>
      <c r="E92" s="94"/>
      <c r="F92" s="95"/>
      <c r="G92" s="94"/>
      <c r="H92" s="95"/>
      <c r="I92" s="94"/>
      <c r="J92" s="95"/>
      <c r="K92" s="94"/>
      <c r="L92" s="95"/>
      <c r="M92" s="98" t="str">
        <v/>
      </c>
      <c r="N92" s="98" t="str">
        <v/>
      </c>
      <c r="O92" s="98" t="str">
        <v/>
      </c>
      <c r="P92" s="98" t="str">
        <v/>
      </c>
      <c r="Q92" s="98" t="str">
        <v/>
      </c>
      <c r="R92" s="98" t="str">
        <v/>
      </c>
      <c r="S92" s="98" t="str">
        <v/>
      </c>
      <c r="T92" s="98" t="str">
        <v/>
      </c>
      <c r="U92" s="104" t="str">
        <v/>
      </c>
      <c r="V92" s="98" t="str">
        <v/>
      </c>
      <c r="W92" s="99"/>
      <c r="X92" s="95"/>
      <c r="Y92" s="94"/>
      <c r="Z92" s="95"/>
      <c r="AA92" s="94"/>
      <c r="AB92" s="95"/>
      <c r="AC92" s="94"/>
      <c r="AD92" s="95"/>
      <c r="AE92" s="94"/>
      <c r="AF92" s="95"/>
      <c r="AG92" s="98" t="str">
        <v/>
      </c>
      <c r="AH92" s="98" t="str">
        <v/>
      </c>
      <c r="AI92" s="98" t="str">
        <v/>
      </c>
      <c r="AJ92" s="98" t="str">
        <v/>
      </c>
      <c r="AK92" s="98" t="str">
        <v/>
      </c>
      <c r="AL92" s="98" t="str">
        <v/>
      </c>
      <c r="AM92" s="98" t="str">
        <v/>
      </c>
      <c r="AN92" s="98" t="str">
        <v/>
      </c>
      <c r="AO92" s="115" t="str">
        <v/>
      </c>
      <c r="AP92" s="98" t="str">
        <v/>
      </c>
      <c r="AQ92" s="99"/>
      <c r="AR92" s="95"/>
      <c r="AS92" s="94"/>
      <c r="AT92" s="95"/>
      <c r="AU92" s="94"/>
      <c r="AV92" s="95"/>
      <c r="AW92" s="94"/>
      <c r="AX92" s="95"/>
      <c r="AY92" s="94"/>
      <c r="AZ92" s="95"/>
      <c r="BA92" s="98" t="str">
        <v/>
      </c>
      <c r="BB92" s="98" t="str">
        <v/>
      </c>
      <c r="BC92" s="98" t="str">
        <v/>
      </c>
      <c r="BD92" s="98" t="str">
        <v/>
      </c>
      <c r="BE92" s="98" t="str">
        <v/>
      </c>
      <c r="BF92" s="98" t="str">
        <v/>
      </c>
      <c r="BG92" s="98" t="str">
        <v/>
      </c>
      <c r="BH92" s="98" t="str">
        <v/>
      </c>
      <c r="BI92" s="115" t="str">
        <v/>
      </c>
      <c r="BJ92" s="98" t="str">
        <v/>
      </c>
      <c r="BK92" s="100" t="str">
        <v/>
      </c>
      <c r="BL92" s="101" t="str">
        <v/>
      </c>
      <c r="BM92" s="101" t="str">
        <v/>
      </c>
      <c r="BN92" s="101" t="str">
        <v/>
      </c>
      <c r="BO92" s="101" t="str">
        <v/>
      </c>
      <c r="BP92" s="101" t="str">
        <v/>
      </c>
      <c r="BQ92" s="101" t="str">
        <v/>
      </c>
      <c r="BR92" s="101" t="str">
        <v/>
      </c>
      <c r="BS92" s="8" t="str">
        <v/>
      </c>
      <c r="BT92" s="102" t="str">
        <v/>
      </c>
      <c r="BU92" s="97"/>
      <c r="BV92" s="97"/>
    </row>
    <row r="93" spans="1:74">
      <c r="A93" s="104"/>
      <c r="B93" s="104"/>
      <c r="C93" s="99"/>
      <c r="D93" s="95"/>
      <c r="E93" s="94"/>
      <c r="F93" s="95"/>
      <c r="G93" s="94"/>
      <c r="H93" s="95"/>
      <c r="I93" s="94"/>
      <c r="J93" s="95"/>
      <c r="K93" s="94"/>
      <c r="L93" s="95"/>
      <c r="M93" s="98" t="str">
        <v/>
      </c>
      <c r="N93" s="98" t="str">
        <v/>
      </c>
      <c r="O93" s="98" t="str">
        <v/>
      </c>
      <c r="P93" s="98" t="str">
        <v/>
      </c>
      <c r="Q93" s="98" t="str">
        <v/>
      </c>
      <c r="R93" s="98" t="str">
        <v/>
      </c>
      <c r="S93" s="98" t="str">
        <v/>
      </c>
      <c r="T93" s="98" t="str">
        <v/>
      </c>
      <c r="U93" s="104" t="str">
        <v/>
      </c>
      <c r="V93" s="98" t="str">
        <v/>
      </c>
      <c r="W93" s="99"/>
      <c r="X93" s="95"/>
      <c r="Y93" s="94"/>
      <c r="Z93" s="95"/>
      <c r="AA93" s="94"/>
      <c r="AB93" s="95"/>
      <c r="AC93" s="94"/>
      <c r="AD93" s="95"/>
      <c r="AE93" s="94"/>
      <c r="AF93" s="95"/>
      <c r="AG93" s="98" t="str">
        <v/>
      </c>
      <c r="AH93" s="98" t="str">
        <v/>
      </c>
      <c r="AI93" s="98" t="str">
        <v/>
      </c>
      <c r="AJ93" s="98" t="str">
        <v/>
      </c>
      <c r="AK93" s="98" t="str">
        <v/>
      </c>
      <c r="AL93" s="98" t="str">
        <v/>
      </c>
      <c r="AM93" s="98" t="str">
        <v/>
      </c>
      <c r="AN93" s="98" t="str">
        <v/>
      </c>
      <c r="AO93" s="115" t="str">
        <v/>
      </c>
      <c r="AP93" s="98" t="str">
        <v/>
      </c>
      <c r="AQ93" s="99"/>
      <c r="AR93" s="95"/>
      <c r="AS93" s="94"/>
      <c r="AT93" s="95"/>
      <c r="AU93" s="94"/>
      <c r="AV93" s="95"/>
      <c r="AW93" s="94"/>
      <c r="AX93" s="95"/>
      <c r="AY93" s="94"/>
      <c r="AZ93" s="95"/>
      <c r="BA93" s="98" t="str">
        <v/>
      </c>
      <c r="BB93" s="98" t="str">
        <v/>
      </c>
      <c r="BC93" s="98" t="str">
        <v/>
      </c>
      <c r="BD93" s="98" t="str">
        <v/>
      </c>
      <c r="BE93" s="98" t="str">
        <v/>
      </c>
      <c r="BF93" s="98" t="str">
        <v/>
      </c>
      <c r="BG93" s="98" t="str">
        <v/>
      </c>
      <c r="BH93" s="98" t="str">
        <v/>
      </c>
      <c r="BI93" s="115" t="str">
        <v/>
      </c>
      <c r="BJ93" s="98" t="str">
        <v/>
      </c>
      <c r="BK93" s="100" t="str">
        <v/>
      </c>
      <c r="BL93" s="101" t="str">
        <v/>
      </c>
      <c r="BM93" s="101" t="str">
        <v/>
      </c>
      <c r="BN93" s="101" t="str">
        <v/>
      </c>
      <c r="BO93" s="101" t="str">
        <v/>
      </c>
      <c r="BP93" s="101" t="str">
        <v/>
      </c>
      <c r="BQ93" s="101" t="str">
        <v/>
      </c>
      <c r="BR93" s="101" t="str">
        <v/>
      </c>
      <c r="BS93" s="8" t="str">
        <v/>
      </c>
      <c r="BT93" s="102" t="str">
        <v/>
      </c>
      <c r="BU93" s="97"/>
      <c r="BV93" s="97"/>
    </row>
    <row r="94" spans="1:74">
      <c r="A94" s="104"/>
      <c r="B94" s="104"/>
      <c r="C94" s="99"/>
      <c r="D94" s="95"/>
      <c r="E94" s="94"/>
      <c r="F94" s="95"/>
      <c r="G94" s="94"/>
      <c r="H94" s="95"/>
      <c r="I94" s="94"/>
      <c r="J94" s="95"/>
      <c r="K94" s="94"/>
      <c r="L94" s="95"/>
      <c r="M94" s="98" t="str">
        <v/>
      </c>
      <c r="N94" s="98" t="str">
        <v/>
      </c>
      <c r="O94" s="98" t="str">
        <v/>
      </c>
      <c r="P94" s="98" t="str">
        <v/>
      </c>
      <c r="Q94" s="98" t="str">
        <v/>
      </c>
      <c r="R94" s="98" t="str">
        <v/>
      </c>
      <c r="S94" s="98" t="str">
        <v/>
      </c>
      <c r="T94" s="98" t="str">
        <v/>
      </c>
      <c r="U94" s="104" t="str">
        <v/>
      </c>
      <c r="V94" s="98" t="str">
        <v/>
      </c>
      <c r="W94" s="99"/>
      <c r="X94" s="95"/>
      <c r="Y94" s="94"/>
      <c r="Z94" s="95"/>
      <c r="AA94" s="94"/>
      <c r="AB94" s="95"/>
      <c r="AC94" s="94"/>
      <c r="AD94" s="95"/>
      <c r="AE94" s="94"/>
      <c r="AF94" s="95"/>
      <c r="AG94" s="98" t="str">
        <v/>
      </c>
      <c r="AH94" s="98" t="str">
        <v/>
      </c>
      <c r="AI94" s="98" t="str">
        <v/>
      </c>
      <c r="AJ94" s="98" t="str">
        <v/>
      </c>
      <c r="AK94" s="98" t="str">
        <v/>
      </c>
      <c r="AL94" s="98" t="str">
        <v/>
      </c>
      <c r="AM94" s="98" t="str">
        <v/>
      </c>
      <c r="AN94" s="98" t="str">
        <v/>
      </c>
      <c r="AO94" s="115" t="str">
        <v/>
      </c>
      <c r="AP94" s="98" t="str">
        <v/>
      </c>
      <c r="AQ94" s="99"/>
      <c r="AR94" s="95"/>
      <c r="AS94" s="94"/>
      <c r="AT94" s="95"/>
      <c r="AU94" s="94"/>
      <c r="AV94" s="95"/>
      <c r="AW94" s="94"/>
      <c r="AX94" s="95"/>
      <c r="AY94" s="94"/>
      <c r="AZ94" s="95"/>
      <c r="BA94" s="98" t="str">
        <v/>
      </c>
      <c r="BB94" s="98" t="str">
        <v/>
      </c>
      <c r="BC94" s="98" t="str">
        <v/>
      </c>
      <c r="BD94" s="98" t="str">
        <v/>
      </c>
      <c r="BE94" s="98" t="str">
        <v/>
      </c>
      <c r="BF94" s="98" t="str">
        <v/>
      </c>
      <c r="BG94" s="98" t="str">
        <v/>
      </c>
      <c r="BH94" s="98" t="str">
        <v/>
      </c>
      <c r="BI94" s="115" t="str">
        <v/>
      </c>
      <c r="BJ94" s="98" t="str">
        <v/>
      </c>
      <c r="BK94" s="100" t="str">
        <v/>
      </c>
      <c r="BL94" s="101" t="str">
        <v/>
      </c>
      <c r="BM94" s="101" t="str">
        <v/>
      </c>
      <c r="BN94" s="101" t="str">
        <v/>
      </c>
      <c r="BO94" s="101" t="str">
        <v/>
      </c>
      <c r="BP94" s="101" t="str">
        <v/>
      </c>
      <c r="BQ94" s="101" t="str">
        <v/>
      </c>
      <c r="BR94" s="101" t="str">
        <v/>
      </c>
      <c r="BS94" s="8" t="str">
        <v/>
      </c>
      <c r="BT94" s="102" t="str">
        <v/>
      </c>
      <c r="BU94" s="97"/>
      <c r="BV94" s="97"/>
    </row>
    <row r="95" spans="1:74">
      <c r="A95" s="104"/>
      <c r="B95" s="104"/>
      <c r="C95" s="99"/>
      <c r="D95" s="95"/>
      <c r="E95" s="94"/>
      <c r="F95" s="95"/>
      <c r="G95" s="94"/>
      <c r="H95" s="95"/>
      <c r="I95" s="94"/>
      <c r="J95" s="95"/>
      <c r="K95" s="94"/>
      <c r="L95" s="95"/>
      <c r="M95" s="98" t="str">
        <v/>
      </c>
      <c r="N95" s="98" t="str">
        <v/>
      </c>
      <c r="O95" s="98" t="str">
        <v/>
      </c>
      <c r="P95" s="98" t="str">
        <v/>
      </c>
      <c r="Q95" s="98" t="str">
        <v/>
      </c>
      <c r="R95" s="98" t="str">
        <v/>
      </c>
      <c r="S95" s="98" t="str">
        <v/>
      </c>
      <c r="T95" s="98" t="str">
        <v/>
      </c>
      <c r="U95" s="104" t="str">
        <v/>
      </c>
      <c r="V95" s="98" t="str">
        <v/>
      </c>
      <c r="W95" s="99"/>
      <c r="X95" s="95"/>
      <c r="Y95" s="94"/>
      <c r="Z95" s="95"/>
      <c r="AA95" s="94"/>
      <c r="AB95" s="95"/>
      <c r="AC95" s="94"/>
      <c r="AD95" s="95"/>
      <c r="AE95" s="94"/>
      <c r="AF95" s="95"/>
      <c r="AG95" s="98" t="str">
        <v/>
      </c>
      <c r="AH95" s="98" t="str">
        <v/>
      </c>
      <c r="AI95" s="98" t="str">
        <v/>
      </c>
      <c r="AJ95" s="98" t="str">
        <v/>
      </c>
      <c r="AK95" s="98" t="str">
        <v/>
      </c>
      <c r="AL95" s="98" t="str">
        <v/>
      </c>
      <c r="AM95" s="98" t="str">
        <v/>
      </c>
      <c r="AN95" s="98" t="str">
        <v/>
      </c>
      <c r="AO95" s="115" t="str">
        <v/>
      </c>
      <c r="AP95" s="98" t="str">
        <v/>
      </c>
      <c r="AQ95" s="99"/>
      <c r="AR95" s="95"/>
      <c r="AS95" s="94"/>
      <c r="AT95" s="95"/>
      <c r="AU95" s="94"/>
      <c r="AV95" s="95"/>
      <c r="AW95" s="94"/>
      <c r="AX95" s="95"/>
      <c r="AY95" s="94"/>
      <c r="AZ95" s="95"/>
      <c r="BA95" s="98" t="str">
        <v/>
      </c>
      <c r="BB95" s="98" t="str">
        <v/>
      </c>
      <c r="BC95" s="98" t="str">
        <v/>
      </c>
      <c r="BD95" s="98" t="str">
        <v/>
      </c>
      <c r="BE95" s="98" t="str">
        <v/>
      </c>
      <c r="BF95" s="98" t="str">
        <v/>
      </c>
      <c r="BG95" s="98" t="str">
        <v/>
      </c>
      <c r="BH95" s="98" t="str">
        <v/>
      </c>
      <c r="BI95" s="115" t="str">
        <v/>
      </c>
      <c r="BJ95" s="98" t="str">
        <v/>
      </c>
      <c r="BK95" s="100" t="str">
        <v/>
      </c>
      <c r="BL95" s="101" t="str">
        <v/>
      </c>
      <c r="BM95" s="101" t="str">
        <v/>
      </c>
      <c r="BN95" s="101" t="str">
        <v/>
      </c>
      <c r="BO95" s="101" t="str">
        <v/>
      </c>
      <c r="BP95" s="101" t="str">
        <v/>
      </c>
      <c r="BQ95" s="101" t="str">
        <v/>
      </c>
      <c r="BR95" s="101" t="str">
        <v/>
      </c>
      <c r="BS95" s="8" t="str">
        <v/>
      </c>
      <c r="BT95" s="102" t="str">
        <v/>
      </c>
      <c r="BU95" s="97"/>
      <c r="BV95" s="97"/>
    </row>
    <row r="96" spans="1:74">
      <c r="A96" s="104"/>
      <c r="B96" s="104"/>
      <c r="C96" s="99"/>
      <c r="D96" s="95"/>
      <c r="E96" s="94"/>
      <c r="F96" s="95"/>
      <c r="G96" s="94"/>
      <c r="H96" s="95"/>
      <c r="I96" s="94"/>
      <c r="J96" s="95"/>
      <c r="K96" s="94"/>
      <c r="L96" s="95"/>
      <c r="M96" s="98" t="str">
        <v/>
      </c>
      <c r="N96" s="98" t="str">
        <v/>
      </c>
      <c r="O96" s="98" t="str">
        <v/>
      </c>
      <c r="P96" s="98" t="str">
        <v/>
      </c>
      <c r="Q96" s="98" t="str">
        <v/>
      </c>
      <c r="R96" s="98" t="str">
        <v/>
      </c>
      <c r="S96" s="98" t="str">
        <v/>
      </c>
      <c r="T96" s="98" t="str">
        <v/>
      </c>
      <c r="U96" s="104" t="str">
        <v/>
      </c>
      <c r="V96" s="98" t="str">
        <v/>
      </c>
      <c r="W96" s="99"/>
      <c r="X96" s="95"/>
      <c r="Y96" s="94"/>
      <c r="Z96" s="95"/>
      <c r="AA96" s="94"/>
      <c r="AB96" s="95"/>
      <c r="AC96" s="94"/>
      <c r="AD96" s="95"/>
      <c r="AE96" s="94"/>
      <c r="AF96" s="95"/>
      <c r="AG96" s="98" t="str">
        <v/>
      </c>
      <c r="AH96" s="98" t="str">
        <v/>
      </c>
      <c r="AI96" s="98" t="str">
        <v/>
      </c>
      <c r="AJ96" s="98" t="str">
        <v/>
      </c>
      <c r="AK96" s="98" t="str">
        <v/>
      </c>
      <c r="AL96" s="98" t="str">
        <v/>
      </c>
      <c r="AM96" s="98" t="str">
        <v/>
      </c>
      <c r="AN96" s="98" t="str">
        <v/>
      </c>
      <c r="AO96" s="115" t="str">
        <v/>
      </c>
      <c r="AP96" s="98" t="str">
        <v/>
      </c>
      <c r="AQ96" s="99"/>
      <c r="AR96" s="95"/>
      <c r="AS96" s="94"/>
      <c r="AT96" s="95"/>
      <c r="AU96" s="94"/>
      <c r="AV96" s="95"/>
      <c r="AW96" s="94"/>
      <c r="AX96" s="95"/>
      <c r="AY96" s="94"/>
      <c r="AZ96" s="95"/>
      <c r="BA96" s="98" t="str">
        <v/>
      </c>
      <c r="BB96" s="98" t="str">
        <v/>
      </c>
      <c r="BC96" s="98" t="str">
        <v/>
      </c>
      <c r="BD96" s="98" t="str">
        <v/>
      </c>
      <c r="BE96" s="98" t="str">
        <v/>
      </c>
      <c r="BF96" s="98" t="str">
        <v/>
      </c>
      <c r="BG96" s="98" t="str">
        <v/>
      </c>
      <c r="BH96" s="98" t="str">
        <v/>
      </c>
      <c r="BI96" s="115" t="str">
        <v/>
      </c>
      <c r="BJ96" s="98" t="str">
        <v/>
      </c>
      <c r="BK96" s="100" t="str">
        <v/>
      </c>
      <c r="BL96" s="101" t="str">
        <v/>
      </c>
      <c r="BM96" s="101" t="str">
        <v/>
      </c>
      <c r="BN96" s="101" t="str">
        <v/>
      </c>
      <c r="BO96" s="101" t="str">
        <v/>
      </c>
      <c r="BP96" s="101" t="str">
        <v/>
      </c>
      <c r="BQ96" s="101" t="str">
        <v/>
      </c>
      <c r="BR96" s="101" t="str">
        <v/>
      </c>
      <c r="BS96" s="8" t="str">
        <v/>
      </c>
      <c r="BT96" s="102" t="str">
        <v/>
      </c>
      <c r="BU96" s="97"/>
      <c r="BV96" s="97"/>
    </row>
    <row r="97" spans="1:74">
      <c r="A97" s="104"/>
      <c r="B97" s="104"/>
      <c r="C97" s="99"/>
      <c r="D97" s="95"/>
      <c r="E97" s="94"/>
      <c r="F97" s="95"/>
      <c r="G97" s="94"/>
      <c r="H97" s="95"/>
      <c r="I97" s="94"/>
      <c r="J97" s="95"/>
      <c r="K97" s="94"/>
      <c r="L97" s="95"/>
      <c r="M97" s="98" t="str">
        <v/>
      </c>
      <c r="N97" s="98" t="str">
        <v/>
      </c>
      <c r="O97" s="98" t="str">
        <v/>
      </c>
      <c r="P97" s="98" t="str">
        <v/>
      </c>
      <c r="Q97" s="98" t="str">
        <v/>
      </c>
      <c r="R97" s="98" t="str">
        <v/>
      </c>
      <c r="S97" s="98" t="str">
        <v/>
      </c>
      <c r="T97" s="98" t="str">
        <v/>
      </c>
      <c r="U97" s="104" t="str">
        <v/>
      </c>
      <c r="V97" s="98" t="str">
        <v/>
      </c>
      <c r="W97" s="99"/>
      <c r="X97" s="95"/>
      <c r="Y97" s="94"/>
      <c r="Z97" s="95"/>
      <c r="AA97" s="94"/>
      <c r="AB97" s="95"/>
      <c r="AC97" s="94"/>
      <c r="AD97" s="95"/>
      <c r="AE97" s="94"/>
      <c r="AF97" s="95"/>
      <c r="AG97" s="98" t="str">
        <v/>
      </c>
      <c r="AH97" s="98" t="str">
        <v/>
      </c>
      <c r="AI97" s="98" t="str">
        <v/>
      </c>
      <c r="AJ97" s="98" t="str">
        <v/>
      </c>
      <c r="AK97" s="98" t="str">
        <v/>
      </c>
      <c r="AL97" s="98" t="str">
        <v/>
      </c>
      <c r="AM97" s="98" t="str">
        <v/>
      </c>
      <c r="AN97" s="98" t="str">
        <v/>
      </c>
      <c r="AO97" s="115" t="str">
        <v/>
      </c>
      <c r="AP97" s="98" t="str">
        <v/>
      </c>
      <c r="AQ97" s="99"/>
      <c r="AR97" s="95"/>
      <c r="AS97" s="94"/>
      <c r="AT97" s="95"/>
      <c r="AU97" s="94"/>
      <c r="AV97" s="95"/>
      <c r="AW97" s="94"/>
      <c r="AX97" s="95"/>
      <c r="AY97" s="94"/>
      <c r="AZ97" s="95"/>
      <c r="BA97" s="98" t="str">
        <v/>
      </c>
      <c r="BB97" s="98" t="str">
        <v/>
      </c>
      <c r="BC97" s="98" t="str">
        <v/>
      </c>
      <c r="BD97" s="98" t="str">
        <v/>
      </c>
      <c r="BE97" s="98" t="str">
        <v/>
      </c>
      <c r="BF97" s="98" t="str">
        <v/>
      </c>
      <c r="BG97" s="98" t="str">
        <v/>
      </c>
      <c r="BH97" s="98" t="str">
        <v/>
      </c>
      <c r="BI97" s="115" t="str">
        <v/>
      </c>
      <c r="BJ97" s="98" t="str">
        <v/>
      </c>
      <c r="BK97" s="100" t="str">
        <v/>
      </c>
      <c r="BL97" s="101" t="str">
        <v/>
      </c>
      <c r="BM97" s="101" t="str">
        <v/>
      </c>
      <c r="BN97" s="101" t="str">
        <v/>
      </c>
      <c r="BO97" s="101" t="str">
        <v/>
      </c>
      <c r="BP97" s="101" t="str">
        <v/>
      </c>
      <c r="BQ97" s="101" t="str">
        <v/>
      </c>
      <c r="BR97" s="101" t="str">
        <v/>
      </c>
      <c r="BS97" s="8" t="str">
        <v/>
      </c>
      <c r="BT97" s="102" t="str">
        <v/>
      </c>
      <c r="BU97" s="97"/>
      <c r="BV97" s="97"/>
    </row>
    <row r="98" spans="1:74">
      <c r="A98" s="104"/>
      <c r="B98" s="104"/>
      <c r="C98" s="99"/>
      <c r="D98" s="95"/>
      <c r="E98" s="94"/>
      <c r="F98" s="95"/>
      <c r="G98" s="94"/>
      <c r="H98" s="95"/>
      <c r="I98" s="94"/>
      <c r="J98" s="95"/>
      <c r="K98" s="94"/>
      <c r="L98" s="95"/>
      <c r="M98" s="98" t="str">
        <v/>
      </c>
      <c r="N98" s="98" t="str">
        <v/>
      </c>
      <c r="O98" s="98" t="str">
        <v/>
      </c>
      <c r="P98" s="98" t="str">
        <v/>
      </c>
      <c r="Q98" s="98" t="str">
        <v/>
      </c>
      <c r="R98" s="98" t="str">
        <v/>
      </c>
      <c r="S98" s="98" t="str">
        <v/>
      </c>
      <c r="T98" s="98" t="str">
        <v/>
      </c>
      <c r="U98" s="104" t="str">
        <v/>
      </c>
      <c r="V98" s="98" t="str">
        <v/>
      </c>
      <c r="W98" s="99"/>
      <c r="X98" s="95"/>
      <c r="Y98" s="94"/>
      <c r="Z98" s="95"/>
      <c r="AA98" s="94"/>
      <c r="AB98" s="95"/>
      <c r="AC98" s="94"/>
      <c r="AD98" s="95"/>
      <c r="AE98" s="94"/>
      <c r="AF98" s="95"/>
      <c r="AG98" s="98" t="str">
        <v/>
      </c>
      <c r="AH98" s="98" t="str">
        <v/>
      </c>
      <c r="AI98" s="98" t="str">
        <v/>
      </c>
      <c r="AJ98" s="98" t="str">
        <v/>
      </c>
      <c r="AK98" s="98" t="str">
        <v/>
      </c>
      <c r="AL98" s="98" t="str">
        <v/>
      </c>
      <c r="AM98" s="98" t="str">
        <v/>
      </c>
      <c r="AN98" s="98" t="str">
        <v/>
      </c>
      <c r="AO98" s="115" t="str">
        <v/>
      </c>
      <c r="AP98" s="98" t="str">
        <v/>
      </c>
      <c r="AQ98" s="99"/>
      <c r="AR98" s="95"/>
      <c r="AS98" s="94"/>
      <c r="AT98" s="95"/>
      <c r="AU98" s="94"/>
      <c r="AV98" s="95"/>
      <c r="AW98" s="94"/>
      <c r="AX98" s="95"/>
      <c r="AY98" s="94"/>
      <c r="AZ98" s="95"/>
      <c r="BA98" s="98" t="str">
        <v/>
      </c>
      <c r="BB98" s="98" t="str">
        <v/>
      </c>
      <c r="BC98" s="98" t="str">
        <v/>
      </c>
      <c r="BD98" s="98" t="str">
        <v/>
      </c>
      <c r="BE98" s="98" t="str">
        <v/>
      </c>
      <c r="BF98" s="98" t="str">
        <v/>
      </c>
      <c r="BG98" s="98" t="str">
        <v/>
      </c>
      <c r="BH98" s="98" t="str">
        <v/>
      </c>
      <c r="BI98" s="115" t="str">
        <v/>
      </c>
      <c r="BJ98" s="98" t="str">
        <v/>
      </c>
      <c r="BK98" s="100" t="str">
        <v/>
      </c>
      <c r="BL98" s="101" t="str">
        <v/>
      </c>
      <c r="BM98" s="101" t="str">
        <v/>
      </c>
      <c r="BN98" s="101" t="str">
        <v/>
      </c>
      <c r="BO98" s="101" t="str">
        <v/>
      </c>
      <c r="BP98" s="101" t="str">
        <v/>
      </c>
      <c r="BQ98" s="101" t="str">
        <v/>
      </c>
      <c r="BR98" s="101" t="str">
        <v/>
      </c>
      <c r="BS98" s="8" t="str">
        <v/>
      </c>
      <c r="BT98" s="102" t="str">
        <v/>
      </c>
      <c r="BU98" s="97"/>
      <c r="BV98" s="97"/>
    </row>
    <row r="99" spans="1:74">
      <c r="A99" s="104"/>
      <c r="B99" s="104"/>
      <c r="C99" s="99"/>
      <c r="D99" s="95"/>
      <c r="E99" s="94"/>
      <c r="F99" s="95"/>
      <c r="G99" s="94"/>
      <c r="H99" s="95"/>
      <c r="I99" s="94"/>
      <c r="J99" s="95"/>
      <c r="K99" s="94"/>
      <c r="L99" s="95"/>
      <c r="M99" s="98" t="str">
        <v/>
      </c>
      <c r="N99" s="98" t="str">
        <v/>
      </c>
      <c r="O99" s="98" t="str">
        <v/>
      </c>
      <c r="P99" s="98" t="str">
        <v/>
      </c>
      <c r="Q99" s="98" t="str">
        <v/>
      </c>
      <c r="R99" s="98" t="str">
        <v/>
      </c>
      <c r="S99" s="98" t="str">
        <v/>
      </c>
      <c r="T99" s="98" t="str">
        <v/>
      </c>
      <c r="U99" s="104" t="str">
        <v/>
      </c>
      <c r="V99" s="98" t="str">
        <v/>
      </c>
      <c r="W99" s="99"/>
      <c r="X99" s="95"/>
      <c r="Y99" s="94"/>
      <c r="Z99" s="95"/>
      <c r="AA99" s="94"/>
      <c r="AB99" s="95"/>
      <c r="AC99" s="94"/>
      <c r="AD99" s="95"/>
      <c r="AE99" s="94"/>
      <c r="AF99" s="95"/>
      <c r="AG99" s="98" t="str">
        <v/>
      </c>
      <c r="AH99" s="98" t="str">
        <v/>
      </c>
      <c r="AI99" s="98" t="str">
        <v/>
      </c>
      <c r="AJ99" s="98" t="str">
        <v/>
      </c>
      <c r="AK99" s="98" t="str">
        <v/>
      </c>
      <c r="AL99" s="98" t="str">
        <v/>
      </c>
      <c r="AM99" s="98" t="str">
        <v/>
      </c>
      <c r="AN99" s="98" t="str">
        <v/>
      </c>
      <c r="AO99" s="115" t="str">
        <v/>
      </c>
      <c r="AP99" s="98" t="str">
        <v/>
      </c>
      <c r="AQ99" s="99"/>
      <c r="AR99" s="95"/>
      <c r="AS99" s="94"/>
      <c r="AT99" s="95"/>
      <c r="AU99" s="94"/>
      <c r="AV99" s="95"/>
      <c r="AW99" s="94"/>
      <c r="AX99" s="95"/>
      <c r="AY99" s="94"/>
      <c r="AZ99" s="95"/>
      <c r="BA99" s="98" t="str">
        <v/>
      </c>
      <c r="BB99" s="98" t="str">
        <v/>
      </c>
      <c r="BC99" s="98" t="str">
        <v/>
      </c>
      <c r="BD99" s="98" t="str">
        <v/>
      </c>
      <c r="BE99" s="98" t="str">
        <v/>
      </c>
      <c r="BF99" s="98" t="str">
        <v/>
      </c>
      <c r="BG99" s="98" t="str">
        <v/>
      </c>
      <c r="BH99" s="98" t="str">
        <v/>
      </c>
      <c r="BI99" s="115" t="str">
        <v/>
      </c>
      <c r="BJ99" s="98" t="str">
        <v/>
      </c>
      <c r="BK99" s="100" t="str">
        <v/>
      </c>
      <c r="BL99" s="101" t="str">
        <v/>
      </c>
      <c r="BM99" s="101" t="str">
        <v/>
      </c>
      <c r="BN99" s="101" t="str">
        <v/>
      </c>
      <c r="BO99" s="101" t="str">
        <v/>
      </c>
      <c r="BP99" s="101" t="str">
        <v/>
      </c>
      <c r="BQ99" s="101" t="str">
        <v/>
      </c>
      <c r="BR99" s="101" t="str">
        <v/>
      </c>
      <c r="BS99" s="8" t="str">
        <v/>
      </c>
      <c r="BT99" s="102" t="str">
        <v/>
      </c>
      <c r="BU99" s="97"/>
      <c r="BV99" s="97"/>
    </row>
    <row r="100" spans="1:74">
      <c r="A100" s="104"/>
      <c r="B100" s="104"/>
      <c r="C100" s="99"/>
      <c r="D100" s="95"/>
      <c r="E100" s="94"/>
      <c r="F100" s="95"/>
      <c r="G100" s="94"/>
      <c r="H100" s="95"/>
      <c r="I100" s="94"/>
      <c r="J100" s="95"/>
      <c r="K100" s="94"/>
      <c r="L100" s="95"/>
      <c r="M100" s="98" t="str">
        <v/>
      </c>
      <c r="N100" s="98" t="str">
        <v/>
      </c>
      <c r="O100" s="98" t="str">
        <v/>
      </c>
      <c r="P100" s="98" t="str">
        <v/>
      </c>
      <c r="Q100" s="98" t="str">
        <v/>
      </c>
      <c r="R100" s="98" t="str">
        <v/>
      </c>
      <c r="S100" s="98" t="str">
        <v/>
      </c>
      <c r="T100" s="98" t="str">
        <v/>
      </c>
      <c r="U100" s="104" t="str">
        <v/>
      </c>
      <c r="V100" s="98" t="str">
        <v/>
      </c>
      <c r="W100" s="99"/>
      <c r="X100" s="95"/>
      <c r="Y100" s="94"/>
      <c r="Z100" s="95"/>
      <c r="AA100" s="94"/>
      <c r="AB100" s="95"/>
      <c r="AC100" s="94"/>
      <c r="AD100" s="95"/>
      <c r="AE100" s="94"/>
      <c r="AF100" s="95"/>
      <c r="AG100" s="98" t="str">
        <v/>
      </c>
      <c r="AH100" s="98" t="str">
        <v/>
      </c>
      <c r="AI100" s="98" t="str">
        <v/>
      </c>
      <c r="AJ100" s="98" t="str">
        <v/>
      </c>
      <c r="AK100" s="98" t="str">
        <v/>
      </c>
      <c r="AL100" s="98" t="str">
        <v/>
      </c>
      <c r="AM100" s="98" t="str">
        <v/>
      </c>
      <c r="AN100" s="98" t="str">
        <v/>
      </c>
      <c r="AO100" s="115" t="str">
        <v/>
      </c>
      <c r="AP100" s="98" t="str">
        <v/>
      </c>
      <c r="AQ100" s="99"/>
      <c r="AR100" s="95"/>
      <c r="AS100" s="94"/>
      <c r="AT100" s="95"/>
      <c r="AU100" s="94"/>
      <c r="AV100" s="95"/>
      <c r="AW100" s="94"/>
      <c r="AX100" s="95"/>
      <c r="AY100" s="94"/>
      <c r="AZ100" s="95"/>
      <c r="BA100" s="98" t="str">
        <v/>
      </c>
      <c r="BB100" s="98" t="str">
        <v/>
      </c>
      <c r="BC100" s="98" t="str">
        <v/>
      </c>
      <c r="BD100" s="98" t="str">
        <v/>
      </c>
      <c r="BE100" s="98" t="str">
        <v/>
      </c>
      <c r="BF100" s="98" t="str">
        <v/>
      </c>
      <c r="BG100" s="98" t="str">
        <v/>
      </c>
      <c r="BH100" s="98" t="str">
        <v/>
      </c>
      <c r="BI100" s="115" t="str">
        <v/>
      </c>
      <c r="BJ100" s="98" t="str">
        <v/>
      </c>
      <c r="BK100" s="100" t="str">
        <v/>
      </c>
      <c r="BL100" s="101" t="str">
        <v/>
      </c>
      <c r="BM100" s="101" t="str">
        <v/>
      </c>
      <c r="BN100" s="101" t="str">
        <v/>
      </c>
      <c r="BO100" s="101" t="str">
        <v/>
      </c>
      <c r="BP100" s="101" t="str">
        <v/>
      </c>
      <c r="BQ100" s="101" t="str">
        <v/>
      </c>
      <c r="BR100" s="101" t="str">
        <v/>
      </c>
      <c r="BS100" s="8" t="str">
        <v/>
      </c>
      <c r="BT100" s="102" t="str">
        <v/>
      </c>
      <c r="BU100" s="97"/>
      <c r="BV100" s="9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Alimentacion_data!$B$2:$B$200</xm:f>
          </x14:formula1>
          <xm:sqref>C3:C100 E3:E100 G3:G100 I3:I100 K3:K100 W3:W100 Y3:Y100 AA3:AA100 AC3:AC100 AE3:AE100 AQ3:AQ100 AS3:AS100 AU3:AU100 AW3:AW100 AY3:AY100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6914-25DF-42EE-85E4-E04898EB921D}">
  <sheetPr>
    <tabColor theme="9" tint="0.59999389629810485"/>
  </sheetPr>
  <dimension ref="A1:M4"/>
  <sheetViews>
    <sheetView workbookViewId="0">
      <selection activeCell="B13" sqref="B13"/>
    </sheetView>
  </sheetViews>
  <sheetFormatPr defaultRowHeight="15"/>
  <cols>
    <col min="1" max="1" width="21.42578125" style="124" customWidth="1"/>
    <col min="2" max="10" width="14.28515625" style="124" customWidth="1"/>
    <col min="11" max="16384" width="9.140625" style="124"/>
  </cols>
  <sheetData>
    <row r="1" spans="1:13">
      <c r="A1" s="126" t="s">
        <v>641</v>
      </c>
      <c r="B1" s="118" t="s">
        <v>633</v>
      </c>
      <c r="C1" s="118" t="s">
        <v>634</v>
      </c>
      <c r="D1" s="118" t="s">
        <v>635</v>
      </c>
      <c r="E1" s="118" t="s">
        <v>636</v>
      </c>
      <c r="F1" s="118" t="s">
        <v>637</v>
      </c>
      <c r="G1" s="118" t="s">
        <v>199</v>
      </c>
      <c r="H1" s="118" t="s">
        <v>200</v>
      </c>
      <c r="I1" s="118" t="s">
        <v>638</v>
      </c>
      <c r="J1" s="118" t="s">
        <v>202</v>
      </c>
      <c r="L1" s="128" t="s">
        <v>623</v>
      </c>
      <c r="M1" s="127"/>
    </row>
    <row r="2" spans="1:13">
      <c r="A2" s="124" t="s">
        <v>639</v>
      </c>
      <c r="B2" s="124">
        <v>0.2</v>
      </c>
      <c r="C2" s="124">
        <v>0.8</v>
      </c>
      <c r="D2" s="124">
        <v>0.35</v>
      </c>
      <c r="E2" s="124">
        <v>0.35</v>
      </c>
      <c r="F2" s="124">
        <v>0</v>
      </c>
      <c r="G2" s="124">
        <v>0.8</v>
      </c>
      <c r="H2" s="124">
        <v>0</v>
      </c>
      <c r="I2" s="124">
        <v>0</v>
      </c>
      <c r="J2" s="124">
        <v>0</v>
      </c>
      <c r="L2" s="129"/>
      <c r="M2" s="127"/>
    </row>
    <row r="3" spans="1:13">
      <c r="A3" s="124" t="s">
        <v>640</v>
      </c>
      <c r="B3" s="124">
        <v>1.2</v>
      </c>
      <c r="C3" s="124">
        <v>0.2</v>
      </c>
      <c r="D3" s="124">
        <v>0.35</v>
      </c>
      <c r="E3" s="124">
        <v>0.35</v>
      </c>
      <c r="F3" s="124">
        <v>0.5</v>
      </c>
      <c r="G3" s="124">
        <v>0</v>
      </c>
      <c r="H3" s="124">
        <v>0.6</v>
      </c>
      <c r="I3" s="124">
        <v>1</v>
      </c>
      <c r="J3" s="124">
        <v>0.6</v>
      </c>
      <c r="L3" s="129">
        <v>1.5</v>
      </c>
      <c r="M3" s="127" t="s">
        <v>644</v>
      </c>
    </row>
    <row r="4" spans="1:13">
      <c r="A4" s="124" t="s">
        <v>642</v>
      </c>
      <c r="B4" s="124">
        <v>0.3</v>
      </c>
      <c r="C4" s="124">
        <v>0.2</v>
      </c>
      <c r="D4" s="124">
        <v>0.1</v>
      </c>
      <c r="E4" s="124">
        <v>0.1</v>
      </c>
      <c r="F4" s="124">
        <v>0.15</v>
      </c>
      <c r="G4" s="124">
        <v>0.2</v>
      </c>
      <c r="H4" s="124">
        <v>0.15</v>
      </c>
      <c r="I4" s="124">
        <v>0.25</v>
      </c>
      <c r="J4" s="124">
        <v>0.15</v>
      </c>
      <c r="L4" s="129">
        <v>5.3</v>
      </c>
      <c r="M4" s="12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Objetivos_calc</vt:lpstr>
      <vt:lpstr>Actividad_data</vt:lpstr>
      <vt:lpstr>Actividad_calc</vt:lpstr>
      <vt:lpstr>Alimentacion_data</vt:lpstr>
      <vt:lpstr>Alimentacion_calc</vt:lpstr>
      <vt:lpstr>Alimentacion_score_data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</cp:lastModifiedBy>
  <dcterms:modified xsi:type="dcterms:W3CDTF">2026-03-28T14:34:21Z</dcterms:modified>
</cp:coreProperties>
</file>