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onocimientos\Programación\Proyectos\gymjan\"/>
    </mc:Choice>
  </mc:AlternateContent>
  <xr:revisionPtr revIDLastSave="0" documentId="13_ncr:1_{5D632C16-95E4-4B5D-89E0-ACED464FFE7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Objetivos_calc" sheetId="1" r:id="rId1"/>
    <sheet name="Actividad_data" sheetId="2" r:id="rId2"/>
    <sheet name="Actividad_calc" sheetId="3" r:id="rId3"/>
    <sheet name="Alimentacion_data" sheetId="4" r:id="rId4"/>
    <sheet name="Alimentacion_calc" sheetId="5" r:id="rId5"/>
  </sheets>
  <definedNames>
    <definedName name="_xlnm._FilterDatabase" localSheetId="1" hidden="1">Actividad_data!$A$1:$F$100</definedName>
    <definedName name="_xlnm._FilterDatabase" localSheetId="3" hidden="1">Alimentacion_data!$A$1:$N$500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 a="1"/>
  <c r="G3" i="1" s="1"/>
  <c r="AS3" i="5" a="1"/>
  <c r="AS3" i="5" s="1"/>
  <c r="AP3" i="1" s="1" a="1"/>
  <c r="AP3" i="1" s="1"/>
  <c r="BC3" i="3" a="1"/>
  <c r="BC3" i="3" s="1"/>
  <c r="AX3" i="3" a="1"/>
  <c r="AX3" i="3" s="1"/>
  <c r="AS3" i="3" a="1"/>
  <c r="AS3" i="3" s="1"/>
  <c r="AN3" i="3" a="1"/>
  <c r="AN3" i="3" s="1"/>
  <c r="AI3" i="3" a="1"/>
  <c r="AI3" i="3" s="1"/>
  <c r="AD3" i="3" a="1"/>
  <c r="AD3" i="3" s="1"/>
  <c r="T3" i="3" a="1"/>
  <c r="T3" i="3" s="1"/>
  <c r="O3" i="3" a="1"/>
  <c r="O3" i="3" s="1"/>
  <c r="J3" i="3" a="1"/>
  <c r="J3" i="3" s="1"/>
  <c r="AS3" i="1" a="1"/>
  <c r="AS3" i="1" s="1"/>
  <c r="AR3" i="1" a="1"/>
  <c r="AR3" i="1" s="1"/>
  <c r="AQ3" i="1" a="1"/>
  <c r="AQ3" i="1" s="1"/>
  <c r="F3" i="1" a="1"/>
  <c r="F3" i="1" s="1"/>
  <c r="AT3" i="5" a="1"/>
  <c r="AT3" i="5" s="1"/>
  <c r="AU3" i="5" a="1"/>
  <c r="AU3" i="5" s="1"/>
  <c r="AV3" i="5" a="1"/>
  <c r="AV3" i="5" s="1"/>
  <c r="AP3" i="5" a="1"/>
  <c r="AP3" i="5" s="1"/>
  <c r="AQ3" i="5" a="1"/>
  <c r="AQ3" i="5" s="1"/>
  <c r="AR3" i="5" a="1"/>
  <c r="AR3" i="5" s="1"/>
  <c r="AO3" i="5" a="1"/>
  <c r="AO3" i="5" s="1"/>
  <c r="AB3" i="5" a="1"/>
  <c r="AB3" i="5" s="1"/>
  <c r="AC3" i="5" a="1"/>
  <c r="AC3" i="5" s="1"/>
  <c r="AD3" i="5" a="1"/>
  <c r="AD3" i="5" s="1"/>
  <c r="AA3" i="5" a="1"/>
  <c r="AA3" i="5" s="1"/>
  <c r="N3" i="5" a="1"/>
  <c r="N3" i="5" s="1"/>
  <c r="O3" i="5" a="1"/>
  <c r="O3" i="5" s="1"/>
  <c r="P3" i="5" a="1"/>
  <c r="P3" i="5" s="1"/>
  <c r="M3" i="5" a="1"/>
  <c r="M3" i="5" s="1"/>
  <c r="Y3" i="3" a="1"/>
  <c r="Y3" i="3" s="1"/>
  <c r="Y4" i="3"/>
  <c r="Y5" i="3"/>
  <c r="Y6" i="3"/>
  <c r="T3" i="1" a="1"/>
  <c r="S3" i="1" a="1"/>
  <c r="R3" i="1" a="1"/>
  <c r="Q3" i="1" a="1"/>
  <c r="H3" i="1" a="1"/>
  <c r="Y32" i="3" l="1"/>
  <c r="Y31" i="3"/>
  <c r="Y98" i="3"/>
  <c r="Y97" i="3"/>
  <c r="Y96" i="3"/>
  <c r="Y95" i="3"/>
  <c r="Y71" i="3"/>
  <c r="Y70" i="3"/>
  <c r="Y69" i="3"/>
  <c r="Y68" i="3"/>
  <c r="Y59" i="3"/>
  <c r="Y42" i="3"/>
  <c r="Y33" i="3"/>
  <c r="Y72" i="3"/>
  <c r="Y44" i="3"/>
  <c r="Y16" i="3"/>
  <c r="Y43" i="3"/>
  <c r="Y7" i="3"/>
  <c r="Y94" i="3"/>
  <c r="Y58" i="3"/>
  <c r="Y30" i="3"/>
  <c r="Y85" i="3"/>
  <c r="Y57" i="3"/>
  <c r="Y29" i="3"/>
  <c r="Y84" i="3"/>
  <c r="Y56" i="3"/>
  <c r="Y20" i="3"/>
  <c r="Y83" i="3"/>
  <c r="Y55" i="3"/>
  <c r="Y19" i="3"/>
  <c r="Y82" i="3"/>
  <c r="Y46" i="3"/>
  <c r="Y18" i="3"/>
  <c r="Y81" i="3"/>
  <c r="Y45" i="3"/>
  <c r="Y17" i="3"/>
  <c r="Y93" i="3"/>
  <c r="Y80" i="3"/>
  <c r="Y67" i="3"/>
  <c r="Y54" i="3"/>
  <c r="Y41" i="3"/>
  <c r="Y28" i="3"/>
  <c r="Y14" i="3"/>
  <c r="Y92" i="3"/>
  <c r="Y79" i="3"/>
  <c r="Y66" i="3"/>
  <c r="Y53" i="3"/>
  <c r="Y40" i="3"/>
  <c r="Y26" i="3"/>
  <c r="Y13" i="3"/>
  <c r="Y91" i="3"/>
  <c r="Y78" i="3"/>
  <c r="Y65" i="3"/>
  <c r="Y52" i="3"/>
  <c r="Y38" i="3"/>
  <c r="Y25" i="3"/>
  <c r="Y12" i="3"/>
  <c r="Y90" i="3"/>
  <c r="Y77" i="3"/>
  <c r="Y64" i="3"/>
  <c r="Y50" i="3"/>
  <c r="Y37" i="3"/>
  <c r="Y24" i="3"/>
  <c r="Y11" i="3"/>
  <c r="Y89" i="3"/>
  <c r="Y76" i="3"/>
  <c r="Y62" i="3"/>
  <c r="Y49" i="3"/>
  <c r="Y36" i="3"/>
  <c r="Y23" i="3"/>
  <c r="Y10" i="3"/>
  <c r="Y88" i="3"/>
  <c r="Y74" i="3"/>
  <c r="Y61" i="3"/>
  <c r="Y48" i="3"/>
  <c r="Y35" i="3"/>
  <c r="Y22" i="3"/>
  <c r="Y9" i="3"/>
  <c r="Y100" i="3"/>
  <c r="Y86" i="3"/>
  <c r="Y73" i="3"/>
  <c r="Y60" i="3"/>
  <c r="Y47" i="3"/>
  <c r="Y34" i="3"/>
  <c r="Y21" i="3"/>
  <c r="Y8" i="3"/>
  <c r="H93" i="1"/>
  <c r="Y99" i="3"/>
  <c r="Y87" i="3"/>
  <c r="Y75" i="3"/>
  <c r="Y63" i="3"/>
  <c r="Y51" i="3"/>
  <c r="Y39" i="3"/>
  <c r="Y27" i="3"/>
  <c r="Y15" i="3"/>
  <c r="H36" i="1"/>
  <c r="H20" i="1"/>
  <c r="H38" i="1"/>
  <c r="H61" i="1"/>
  <c r="H85" i="1"/>
  <c r="H60" i="1"/>
  <c r="H62" i="1"/>
  <c r="H68" i="1"/>
  <c r="H92" i="1"/>
  <c r="H70" i="1"/>
  <c r="H48" i="1"/>
  <c r="H26" i="1"/>
  <c r="H97" i="1"/>
  <c r="H80" i="1"/>
  <c r="H83" i="1"/>
  <c r="H9" i="1"/>
  <c r="H7" i="1"/>
  <c r="H22" i="1"/>
  <c r="H94" i="1"/>
  <c r="H59" i="1"/>
  <c r="H37" i="1"/>
  <c r="H44" i="1"/>
  <c r="H46" i="1"/>
  <c r="H3" i="1"/>
  <c r="H47" i="1"/>
  <c r="H71" i="1"/>
  <c r="H95" i="1"/>
  <c r="H23" i="1"/>
  <c r="H69" i="1"/>
  <c r="H24" i="1"/>
  <c r="H91" i="1"/>
  <c r="H25" i="1"/>
  <c r="H49" i="1"/>
  <c r="H72" i="1"/>
  <c r="H96" i="1"/>
  <c r="H21" i="1"/>
  <c r="H32" i="1"/>
  <c r="H14" i="1"/>
  <c r="H8" i="1"/>
  <c r="H98" i="1"/>
  <c r="H56" i="1"/>
  <c r="H84" i="1"/>
  <c r="H86" i="1"/>
  <c r="H50" i="1"/>
  <c r="H10" i="1"/>
  <c r="H74" i="1"/>
  <c r="H11" i="1"/>
  <c r="H57" i="1"/>
  <c r="H13" i="1"/>
  <c r="H45" i="1"/>
  <c r="H73" i="1"/>
  <c r="H33" i="1"/>
  <c r="H34" i="1"/>
  <c r="H81" i="1"/>
  <c r="H12" i="1"/>
  <c r="H35" i="1"/>
  <c r="H58" i="1"/>
  <c r="H82" i="1"/>
  <c r="H4" i="1"/>
  <c r="H16" i="1"/>
  <c r="H28" i="1"/>
  <c r="H40" i="1"/>
  <c r="H52" i="1"/>
  <c r="H64" i="1"/>
  <c r="H76" i="1"/>
  <c r="H88" i="1"/>
  <c r="H100" i="1"/>
  <c r="H6" i="1"/>
  <c r="H18" i="1"/>
  <c r="H30" i="1"/>
  <c r="H42" i="1"/>
  <c r="H54" i="1"/>
  <c r="H66" i="1"/>
  <c r="H78" i="1"/>
  <c r="H90" i="1"/>
  <c r="H15" i="1"/>
  <c r="H27" i="1"/>
  <c r="H39" i="1"/>
  <c r="H51" i="1"/>
  <c r="H63" i="1"/>
  <c r="H75" i="1"/>
  <c r="H87" i="1"/>
  <c r="H99" i="1"/>
  <c r="H5" i="1"/>
  <c r="H17" i="1"/>
  <c r="H29" i="1"/>
  <c r="H41" i="1"/>
  <c r="H53" i="1"/>
  <c r="H65" i="1"/>
  <c r="H77" i="1"/>
  <c r="H89" i="1"/>
  <c r="H19" i="1"/>
  <c r="H31" i="1"/>
  <c r="H43" i="1"/>
  <c r="H55" i="1"/>
  <c r="H67" i="1"/>
  <c r="H79" i="1"/>
  <c r="BD3" i="3" l="1" a="1"/>
  <c r="BD3" i="3" s="1"/>
  <c r="K3" i="1" a="1"/>
  <c r="K3" i="1" s="1"/>
  <c r="J3" i="1" a="1"/>
  <c r="J3" i="1" s="1"/>
  <c r="I3" i="1" a="1"/>
  <c r="I3" i="1" s="1"/>
  <c r="L3" i="1" l="1" a="1"/>
  <c r="L3" i="1" s="1"/>
  <c r="BE7" i="3"/>
  <c r="AB3" i="1" a="1"/>
  <c r="AB3" i="1" s="1"/>
  <c r="BE6" i="3"/>
  <c r="AC3" i="1" a="1"/>
  <c r="AC3" i="1" s="1"/>
  <c r="AE3" i="1" l="1" a="1"/>
  <c r="AE3" i="1" s="1"/>
  <c r="AH3" i="1" s="1" a="1"/>
  <c r="AH3" i="1" s="1"/>
  <c r="AK3" i="1" s="1" a="1"/>
  <c r="AK3" i="1" s="1"/>
  <c r="Q66" i="1"/>
  <c r="Q37" i="1"/>
  <c r="Q82" i="1"/>
  <c r="Q80" i="1"/>
  <c r="Q77" i="1"/>
  <c r="Q64" i="1"/>
  <c r="Q31" i="1"/>
  <c r="Q14" i="1"/>
  <c r="Q98" i="1"/>
  <c r="Q63" i="1"/>
  <c r="Q28" i="1"/>
  <c r="Q4" i="1"/>
  <c r="Q97" i="1"/>
  <c r="Q57" i="1"/>
  <c r="Q27" i="1"/>
  <c r="Q92" i="1"/>
  <c r="Q56" i="1"/>
  <c r="Q18" i="1"/>
  <c r="Q40" i="1"/>
  <c r="Q85" i="1"/>
  <c r="Q55" i="1"/>
  <c r="Q16" i="1"/>
  <c r="Q12" i="1"/>
  <c r="Q39" i="1"/>
  <c r="Q84" i="1"/>
  <c r="Q52" i="1"/>
  <c r="Q15" i="1"/>
  <c r="Q51" i="1"/>
  <c r="Q81" i="1"/>
  <c r="Q42" i="1"/>
  <c r="Q13" i="1"/>
  <c r="Q17" i="1"/>
  <c r="Q58" i="1"/>
  <c r="Q88" i="1"/>
  <c r="Q20" i="1"/>
  <c r="Q67" i="1"/>
  <c r="Q5" i="1"/>
  <c r="Q45" i="1"/>
  <c r="Q74" i="1"/>
  <c r="Q7" i="1"/>
  <c r="Q43" i="1"/>
  <c r="Q90" i="1"/>
  <c r="Q32" i="1"/>
  <c r="Q60" i="1"/>
  <c r="Q96" i="1"/>
  <c r="Q24" i="1"/>
  <c r="Q95" i="1"/>
  <c r="Q76" i="1"/>
  <c r="Q19" i="1"/>
  <c r="Q47" i="1"/>
  <c r="Q69" i="1"/>
  <c r="Q99" i="1"/>
  <c r="Q83" i="1"/>
  <c r="Q62" i="1"/>
  <c r="Q6" i="1"/>
  <c r="Q34" i="1"/>
  <c r="Q50" i="1"/>
  <c r="Q79" i="1"/>
  <c r="Q71" i="1"/>
  <c r="Q49" i="1"/>
  <c r="Q89" i="1"/>
  <c r="Q21" i="1"/>
  <c r="Q26" i="1"/>
  <c r="Q54" i="1"/>
  <c r="Q91" i="1"/>
  <c r="Q36" i="1"/>
  <c r="Q75" i="1"/>
  <c r="Q8" i="1"/>
  <c r="Q3" i="1"/>
  <c r="Q30" i="1"/>
  <c r="Q78" i="1"/>
  <c r="Q23" i="1"/>
  <c r="Q61" i="1"/>
  <c r="Q87" i="1"/>
  <c r="Q94" i="1"/>
  <c r="Q11" i="1"/>
  <c r="Q65" i="1"/>
  <c r="Q10" i="1"/>
  <c r="Q48" i="1"/>
  <c r="Q73" i="1"/>
  <c r="Q68" i="1"/>
  <c r="Q38" i="1"/>
  <c r="Q53" i="1"/>
  <c r="Q100" i="1"/>
  <c r="Q35" i="1"/>
  <c r="Q59" i="1"/>
  <c r="Q44" i="1"/>
  <c r="Q70" i="1"/>
  <c r="Q41" i="1"/>
  <c r="Q86" i="1"/>
  <c r="Q22" i="1"/>
  <c r="Q46" i="1"/>
  <c r="Q25" i="1"/>
  <c r="Q29" i="1"/>
  <c r="Q72" i="1"/>
  <c r="Q9" i="1"/>
  <c r="Q33" i="1"/>
  <c r="Q93" i="1"/>
  <c r="AG3" i="1" l="1" a="1"/>
  <c r="AG3" i="1" s="1"/>
  <c r="AJ3" i="1" s="1" a="1"/>
  <c r="AJ3" i="1" s="1"/>
  <c r="AF3" i="1" a="1"/>
  <c r="AF3" i="1" s="1"/>
  <c r="AI3" i="1" s="1" a="1"/>
  <c r="AI3" i="1" s="1"/>
  <c r="R60" i="1"/>
  <c r="R3" i="1"/>
  <c r="S45" i="1"/>
  <c r="R87" i="1"/>
  <c r="R88" i="1"/>
  <c r="R30" i="1"/>
  <c r="S59" i="1"/>
  <c r="R59" i="1"/>
  <c r="R46" i="1"/>
  <c r="S31" i="1"/>
  <c r="R73" i="1"/>
  <c r="R15" i="1"/>
  <c r="R74" i="1"/>
  <c r="R16" i="1"/>
  <c r="S87" i="1"/>
  <c r="S16" i="1"/>
  <c r="R43" i="1"/>
  <c r="S73" i="1"/>
  <c r="S3" i="1"/>
  <c r="R29" i="1"/>
  <c r="T85" i="1"/>
  <c r="T59" i="1"/>
  <c r="T39" i="1"/>
  <c r="T12" i="1"/>
  <c r="S86" i="1"/>
  <c r="S67" i="1"/>
  <c r="S40" i="1"/>
  <c r="S14" i="1"/>
  <c r="R94" i="1"/>
  <c r="R67" i="1"/>
  <c r="R41" i="1"/>
  <c r="R22" i="1"/>
  <c r="T84" i="1"/>
  <c r="T58" i="1"/>
  <c r="T37" i="1"/>
  <c r="T11" i="1"/>
  <c r="S85" i="1"/>
  <c r="S66" i="1"/>
  <c r="S39" i="1"/>
  <c r="S13" i="1"/>
  <c r="R93" i="1"/>
  <c r="R66" i="1"/>
  <c r="R40" i="1"/>
  <c r="R14" i="1"/>
  <c r="T83" i="1"/>
  <c r="T57" i="1"/>
  <c r="T31" i="1"/>
  <c r="T10" i="1"/>
  <c r="S84" i="1"/>
  <c r="S58" i="1"/>
  <c r="S38" i="1"/>
  <c r="S12" i="1"/>
  <c r="R86" i="1"/>
  <c r="R65" i="1"/>
  <c r="R39" i="1"/>
  <c r="R13" i="1"/>
  <c r="T80" i="1"/>
  <c r="T54" i="1"/>
  <c r="T28" i="1"/>
  <c r="S82" i="1"/>
  <c r="S56" i="1"/>
  <c r="S30" i="1"/>
  <c r="T99" i="1"/>
  <c r="T96" i="1"/>
  <c r="T70" i="1"/>
  <c r="T44" i="1"/>
  <c r="T23" i="1"/>
  <c r="S97" i="1"/>
  <c r="S71" i="1"/>
  <c r="S51" i="1"/>
  <c r="T94" i="1"/>
  <c r="T68" i="1"/>
  <c r="T42" i="1"/>
  <c r="T16" i="1"/>
  <c r="S96" i="1"/>
  <c r="S70" i="1"/>
  <c r="S44" i="1"/>
  <c r="S23" i="1"/>
  <c r="R98" i="1"/>
  <c r="R72" i="1"/>
  <c r="R51" i="1"/>
  <c r="R25" i="1"/>
  <c r="T53" i="1"/>
  <c r="S57" i="1"/>
  <c r="S15" i="1"/>
  <c r="R81" i="1"/>
  <c r="R42" i="1"/>
  <c r="R9" i="1"/>
  <c r="R54" i="1"/>
  <c r="R52" i="1"/>
  <c r="R82" i="1"/>
  <c r="T100" i="1"/>
  <c r="T52" i="1"/>
  <c r="S100" i="1"/>
  <c r="S55" i="1"/>
  <c r="S10" i="1"/>
  <c r="R79" i="1"/>
  <c r="R38" i="1"/>
  <c r="R7" i="1"/>
  <c r="T9" i="1"/>
  <c r="T97" i="1"/>
  <c r="T45" i="1"/>
  <c r="S99" i="1"/>
  <c r="S54" i="1"/>
  <c r="S9" i="1"/>
  <c r="R78" i="1"/>
  <c r="R37" i="1"/>
  <c r="S80" i="1"/>
  <c r="S69" i="1"/>
  <c r="T88" i="1"/>
  <c r="T41" i="1"/>
  <c r="S98" i="1"/>
  <c r="S52" i="1"/>
  <c r="S8" i="1"/>
  <c r="R70" i="1"/>
  <c r="R36" i="1"/>
  <c r="S27" i="1"/>
  <c r="R83" i="1"/>
  <c r="T87" i="1"/>
  <c r="T40" i="1"/>
  <c r="S95" i="1"/>
  <c r="S43" i="1"/>
  <c r="R69" i="1"/>
  <c r="R28" i="1"/>
  <c r="T71" i="1"/>
  <c r="R23" i="1"/>
  <c r="R50" i="1"/>
  <c r="T81" i="1"/>
  <c r="T29" i="1"/>
  <c r="S94" i="1"/>
  <c r="S42" i="1"/>
  <c r="R100" i="1"/>
  <c r="R64" i="1"/>
  <c r="R27" i="1"/>
  <c r="T24" i="1"/>
  <c r="T66" i="1"/>
  <c r="S22" i="1"/>
  <c r="T73" i="1"/>
  <c r="T27" i="1"/>
  <c r="S83" i="1"/>
  <c r="S36" i="1"/>
  <c r="R99" i="1"/>
  <c r="R57" i="1"/>
  <c r="R26" i="1"/>
  <c r="R95" i="1"/>
  <c r="T13" i="1"/>
  <c r="S68" i="1"/>
  <c r="T72" i="1"/>
  <c r="T25" i="1"/>
  <c r="S81" i="1"/>
  <c r="S28" i="1"/>
  <c r="R96" i="1"/>
  <c r="R55" i="1"/>
  <c r="R24" i="1"/>
  <c r="R11" i="1"/>
  <c r="T55" i="1"/>
  <c r="R10" i="1"/>
  <c r="T67" i="1"/>
  <c r="T15" i="1"/>
  <c r="S72" i="1"/>
  <c r="S26" i="1"/>
  <c r="R85" i="1"/>
  <c r="R53" i="1"/>
  <c r="R12" i="1"/>
  <c r="S25" i="1"/>
  <c r="R20" i="1"/>
  <c r="R47" i="1"/>
  <c r="T20" i="1"/>
  <c r="R48" i="1"/>
  <c r="T35" i="1"/>
  <c r="T86" i="1"/>
  <c r="T43" i="1"/>
  <c r="S90" i="1"/>
  <c r="S88" i="1"/>
  <c r="R21" i="1"/>
  <c r="S93" i="1"/>
  <c r="S92" i="1"/>
  <c r="R8" i="1"/>
  <c r="R61" i="1"/>
  <c r="T34" i="1"/>
  <c r="R62" i="1"/>
  <c r="T49" i="1"/>
  <c r="T74" i="1"/>
  <c r="T30" i="1"/>
  <c r="S76" i="1"/>
  <c r="T5" i="1"/>
  <c r="R35" i="1"/>
  <c r="T8" i="1"/>
  <c r="R97" i="1"/>
  <c r="R75" i="1"/>
  <c r="T48" i="1"/>
  <c r="R76" i="1"/>
  <c r="T64" i="1"/>
  <c r="T62" i="1"/>
  <c r="T17" i="1"/>
  <c r="S63" i="1"/>
  <c r="T19" i="1"/>
  <c r="R49" i="1"/>
  <c r="T22" i="1"/>
  <c r="R84" i="1"/>
  <c r="R89" i="1"/>
  <c r="T63" i="1"/>
  <c r="R90" i="1"/>
  <c r="T78" i="1"/>
  <c r="T50" i="1"/>
  <c r="T4" i="1"/>
  <c r="S50" i="1"/>
  <c r="T33" i="1"/>
  <c r="R63" i="1"/>
  <c r="T36" i="1"/>
  <c r="S79" i="1"/>
  <c r="T32" i="1"/>
  <c r="R71" i="1"/>
  <c r="S4" i="1"/>
  <c r="T77" i="1"/>
  <c r="S6" i="1"/>
  <c r="T38" i="1"/>
  <c r="S89" i="1"/>
  <c r="S37" i="1"/>
  <c r="T47" i="1"/>
  <c r="R77" i="1"/>
  <c r="T51" i="1"/>
  <c r="R32" i="1"/>
  <c r="S74" i="1"/>
  <c r="T60" i="1"/>
  <c r="R58" i="1"/>
  <c r="S19" i="1"/>
  <c r="T91" i="1"/>
  <c r="S20" i="1"/>
  <c r="T26" i="1"/>
  <c r="S77" i="1"/>
  <c r="S24" i="1"/>
  <c r="T61" i="1"/>
  <c r="R91" i="1"/>
  <c r="T65" i="1"/>
  <c r="T92" i="1"/>
  <c r="T75" i="1"/>
  <c r="T18" i="1"/>
  <c r="R92" i="1"/>
  <c r="R45" i="1"/>
  <c r="S33" i="1"/>
  <c r="S34" i="1"/>
  <c r="T14" i="1"/>
  <c r="S65" i="1"/>
  <c r="S11" i="1"/>
  <c r="T76" i="1"/>
  <c r="S7" i="1"/>
  <c r="T79" i="1"/>
  <c r="T6" i="1"/>
  <c r="T56" i="1"/>
  <c r="S5" i="1"/>
  <c r="R6" i="1"/>
  <c r="T46" i="1"/>
  <c r="R80" i="1"/>
  <c r="R31" i="1"/>
  <c r="S47" i="1"/>
  <c r="S48" i="1"/>
  <c r="T3" i="1"/>
  <c r="S53" i="1"/>
  <c r="S18" i="1"/>
  <c r="T90" i="1"/>
  <c r="S21" i="1"/>
  <c r="T93" i="1"/>
  <c r="T89" i="1"/>
  <c r="R68" i="1"/>
  <c r="R18" i="1"/>
  <c r="S61" i="1"/>
  <c r="S62" i="1"/>
  <c r="T95" i="1"/>
  <c r="S41" i="1"/>
  <c r="S32" i="1"/>
  <c r="S35" i="1"/>
  <c r="R33" i="1"/>
  <c r="T21" i="1"/>
  <c r="R56" i="1"/>
  <c r="R5" i="1"/>
  <c r="S75" i="1"/>
  <c r="R4" i="1"/>
  <c r="S78" i="1"/>
  <c r="T82" i="1"/>
  <c r="S29" i="1"/>
  <c r="S46" i="1"/>
  <c r="S49" i="1"/>
  <c r="R44" i="1"/>
  <c r="R17" i="1"/>
  <c r="S91" i="1"/>
  <c r="R19" i="1"/>
  <c r="T7" i="1"/>
  <c r="T69" i="1"/>
  <c r="S17" i="1"/>
  <c r="S60" i="1"/>
  <c r="S64" i="1"/>
  <c r="R34" i="1"/>
  <c r="T98" i="1"/>
  <c r="AL3" i="1" l="1" a="1"/>
  <c r="AL3" i="1" s="1"/>
  <c r="AU3" i="1" s="1" a="1"/>
  <c r="AU3" i="1" s="1"/>
  <c r="AV3" i="1" s="1" a="1"/>
  <c r="AV3" i="1" s="1"/>
  <c r="V3" i="1" a="1"/>
  <c r="V3" i="1" s="1"/>
  <c r="W3" i="1" a="1"/>
  <c r="W3" i="1" s="1"/>
  <c r="U3" i="1" a="1"/>
  <c r="U3" i="1" s="1"/>
  <c r="X3" i="1" s="1" a="1"/>
  <c r="X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1"/>
            <color theme="1"/>
            <rFont val="Calibri"/>
            <scheme val="minor"/>
          </rPr>
          <t>Metabolic Equivalent of Task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<sst xmlns="http://schemas.openxmlformats.org/spreadsheetml/2006/main" count="1095" uniqueCount="540">
  <si>
    <t>DATOS PERSONALES</t>
  </si>
  <si>
    <t>RESULTADOS BASE</t>
  </si>
  <si>
    <t>AJUSTES USUARIO</t>
  </si>
  <si>
    <t>OBJETIVOS ESTÁTICOS</t>
  </si>
  <si>
    <t>CONSUMO ACTIVIDAD</t>
  </si>
  <si>
    <t>OBJETIVOS EN ACTIVIDAD</t>
  </si>
  <si>
    <t>APORTE ALIMENTACION</t>
  </si>
  <si>
    <t>RESULTADO</t>
  </si>
  <si>
    <t>case_id</t>
  </si>
  <si>
    <t>sex</t>
  </si>
  <si>
    <t>age</t>
  </si>
  <si>
    <t>height_cm</t>
  </si>
  <si>
    <t>weight_kg</t>
  </si>
  <si>
    <t>BMI</t>
  </si>
  <si>
    <t>BMR</t>
  </si>
  <si>
    <t>restKcal</t>
  </si>
  <si>
    <t>base_prot</t>
  </si>
  <si>
    <t>base_carboh</t>
  </si>
  <si>
    <t>base_grasas</t>
  </si>
  <si>
    <t>base_kcals</t>
  </si>
  <si>
    <t>tuning_kcals</t>
  </si>
  <si>
    <t>tuning_prote</t>
  </si>
  <si>
    <t>tuning_carboh</t>
  </si>
  <si>
    <t>tuning_grasas</t>
  </si>
  <si>
    <t>target_kcals</t>
  </si>
  <si>
    <t>target_prote</t>
  </si>
  <si>
    <t>target_carboh</t>
  </si>
  <si>
    <t>target_fats</t>
  </si>
  <si>
    <t>target_static_prote</t>
  </si>
  <si>
    <t>target_static_carboh</t>
  </si>
  <si>
    <t>target_static_fats</t>
  </si>
  <si>
    <t>target_static_kcals</t>
  </si>
  <si>
    <t>steps_activity</t>
  </si>
  <si>
    <t>gym_activity</t>
  </si>
  <si>
    <t>steps_total_kcals</t>
  </si>
  <si>
    <t>gym_total_kcals</t>
  </si>
  <si>
    <t>targetKcal</t>
  </si>
  <si>
    <t>targetProte</t>
  </si>
  <si>
    <t>targetCarboh</t>
  </si>
  <si>
    <t>targetGrasas</t>
  </si>
  <si>
    <t>target_active_prote</t>
  </si>
  <si>
    <t>target_active_carboh</t>
  </si>
  <si>
    <t>target_active_fats</t>
  </si>
  <si>
    <t>target_active_kcals</t>
  </si>
  <si>
    <t>menu_id</t>
  </si>
  <si>
    <t>day_week</t>
  </si>
  <si>
    <t>food_total_prote</t>
  </si>
  <si>
    <t>food_total_carboh</t>
  </si>
  <si>
    <t>food_total_fats</t>
  </si>
  <si>
    <t>food_total_kcals</t>
  </si>
  <si>
    <t>dif_target_active_kcals_food</t>
  </si>
  <si>
    <t>deficit_surplus</t>
  </si>
  <si>
    <t>TC01</t>
  </si>
  <si>
    <t>Pasos</t>
  </si>
  <si>
    <t>menu</t>
  </si>
  <si>
    <t>lunes</t>
  </si>
  <si>
    <t>TC02</t>
  </si>
  <si>
    <t>0,05</t>
  </si>
  <si>
    <t>TC03</t>
  </si>
  <si>
    <t>-0,10</t>
  </si>
  <si>
    <t>-0,05</t>
  </si>
  <si>
    <t>TC04</t>
  </si>
  <si>
    <t>TC05</t>
  </si>
  <si>
    <t>TC06HM</t>
  </si>
  <si>
    <t>menu_1</t>
  </si>
  <si>
    <t>martes</t>
  </si>
  <si>
    <t>TC06HL</t>
  </si>
  <si>
    <t>TC06HX</t>
  </si>
  <si>
    <t>miércoles</t>
  </si>
  <si>
    <t>TC06HV</t>
  </si>
  <si>
    <t>viernes</t>
  </si>
  <si>
    <t>name</t>
  </si>
  <si>
    <t>unit</t>
  </si>
  <si>
    <t>met</t>
  </si>
  <si>
    <t>rep_time_seg</t>
  </si>
  <si>
    <t>rest_time_seg</t>
  </si>
  <si>
    <t>transit_time_seg</t>
  </si>
  <si>
    <t>Flexiones</t>
  </si>
  <si>
    <t>rep</t>
  </si>
  <si>
    <t>Press banca</t>
  </si>
  <si>
    <t>Press inclinado</t>
  </si>
  <si>
    <t>Aperturas con mancuernas</t>
  </si>
  <si>
    <t>Fondos en paralelas</t>
  </si>
  <si>
    <t>Dominadas</t>
  </si>
  <si>
    <t>Jalon al pecho</t>
  </si>
  <si>
    <t>Remo con barra</t>
  </si>
  <si>
    <t>Remo con mancuerna</t>
  </si>
  <si>
    <t>Face pull</t>
  </si>
  <si>
    <t>Press militar</t>
  </si>
  <si>
    <t>Elevaciones laterales</t>
  </si>
  <si>
    <t>Curl biceps</t>
  </si>
  <si>
    <t>Curl martillo</t>
  </si>
  <si>
    <t>Extension triceps</t>
  </si>
  <si>
    <t>Sentadilla</t>
  </si>
  <si>
    <t>Sentadilla goblet</t>
  </si>
  <si>
    <t>Peso muerto</t>
  </si>
  <si>
    <t>Peso muerto rumano</t>
  </si>
  <si>
    <t>Zancadas</t>
  </si>
  <si>
    <t>Prensa de piernas</t>
  </si>
  <si>
    <t>Hip thrust</t>
  </si>
  <si>
    <t>Elevacion de gemelos</t>
  </si>
  <si>
    <t>Step-up</t>
  </si>
  <si>
    <t>Plancha</t>
  </si>
  <si>
    <t>min</t>
  </si>
  <si>
    <t>Plancha lateral</t>
  </si>
  <si>
    <t>Crunch</t>
  </si>
  <si>
    <t>Elevaciones de piernas</t>
  </si>
  <si>
    <t>Russian twist</t>
  </si>
  <si>
    <t>Burpees</t>
  </si>
  <si>
    <t>Thrusters</t>
  </si>
  <si>
    <t>Clean and press</t>
  </si>
  <si>
    <t>Kettlebell swing</t>
  </si>
  <si>
    <t>Caminar</t>
  </si>
  <si>
    <t>Correr</t>
  </si>
  <si>
    <t>HIIT</t>
  </si>
  <si>
    <t>Saltar cuerda</t>
  </si>
  <si>
    <t>Jumping jacks</t>
  </si>
  <si>
    <t>Mountain climbers</t>
  </si>
  <si>
    <t>Bicicleta carretera</t>
  </si>
  <si>
    <t>Bicicleta montana</t>
  </si>
  <si>
    <t>Spinning</t>
  </si>
  <si>
    <t>Eliptica</t>
  </si>
  <si>
    <t>Escaladora</t>
  </si>
  <si>
    <t>Trekking</t>
  </si>
  <si>
    <t>Patinar</t>
  </si>
  <si>
    <t>Remo ergometro</t>
  </si>
  <si>
    <t>Boxeo en saco</t>
  </si>
  <si>
    <t>Natacion</t>
  </si>
  <si>
    <t>Estiramientos</t>
  </si>
  <si>
    <t>Yoga suave</t>
  </si>
  <si>
    <t>Movilidad articular</t>
  </si>
  <si>
    <t>Sauna</t>
  </si>
  <si>
    <t>EJERCICIO_1</t>
  </si>
  <si>
    <t>EJERCICIO_2</t>
  </si>
  <si>
    <t>EJERCICIO_3</t>
  </si>
  <si>
    <t>EJERCICIO_4</t>
  </si>
  <si>
    <t>EJERCICIO_5</t>
  </si>
  <si>
    <t>EJERCICIO_6</t>
  </si>
  <si>
    <t>EJERCICIO_7</t>
  </si>
  <si>
    <t>EJERCICIO_8</t>
  </si>
  <si>
    <t>EJERCICIO_9</t>
  </si>
  <si>
    <t>EJERCICIO_10</t>
  </si>
  <si>
    <t>activity_id</t>
  </si>
  <si>
    <t>per_prot</t>
  </si>
  <si>
    <t>per_carboh</t>
  </si>
  <si>
    <t>per_fats</t>
  </si>
  <si>
    <t>activity_name_1</t>
  </si>
  <si>
    <t>series_time_1</t>
  </si>
  <si>
    <t>rep_1</t>
  </si>
  <si>
    <t>weight_1</t>
  </si>
  <si>
    <t>kcalsperkg_1</t>
  </si>
  <si>
    <t>activity_name_2</t>
  </si>
  <si>
    <t>series_time_2</t>
  </si>
  <si>
    <t>rep_2</t>
  </si>
  <si>
    <t>weight_2</t>
  </si>
  <si>
    <t>kcalsperkg_2</t>
  </si>
  <si>
    <t>activity_name_3</t>
  </si>
  <si>
    <t>series_time_3</t>
  </si>
  <si>
    <t>rep_3</t>
  </si>
  <si>
    <t>weight_3</t>
  </si>
  <si>
    <t>kcalsperkg_3</t>
  </si>
  <si>
    <t>activity_name_4</t>
  </si>
  <si>
    <t>series_time_4</t>
  </si>
  <si>
    <t>rep_4</t>
  </si>
  <si>
    <t>weight_4</t>
  </si>
  <si>
    <t>kcalsperkg_4</t>
  </si>
  <si>
    <t>activity_name_5</t>
  </si>
  <si>
    <t>series_time_5</t>
  </si>
  <si>
    <t>rep_5</t>
  </si>
  <si>
    <t>weight_5</t>
  </si>
  <si>
    <t>kcalsperkg_5</t>
  </si>
  <si>
    <t>activity_name_6</t>
  </si>
  <si>
    <t>series_time_6</t>
  </si>
  <si>
    <t>rep_6</t>
  </si>
  <si>
    <t>weight_6</t>
  </si>
  <si>
    <t>kcalsperkg_6</t>
  </si>
  <si>
    <t>activity_name_7</t>
  </si>
  <si>
    <t>series_time_7</t>
  </si>
  <si>
    <t>rep_7</t>
  </si>
  <si>
    <t>weight_7</t>
  </si>
  <si>
    <t>kcalsperkg_7</t>
  </si>
  <si>
    <t>activity_name_8</t>
  </si>
  <si>
    <t>series_time_8</t>
  </si>
  <si>
    <t>rep_8</t>
  </si>
  <si>
    <t>weight_8</t>
  </si>
  <si>
    <t>kcalsperkg_8</t>
  </si>
  <si>
    <t>activity_name_9</t>
  </si>
  <si>
    <t>series_time_9</t>
  </si>
  <si>
    <t>rep_9</t>
  </si>
  <si>
    <t>weight_9</t>
  </si>
  <si>
    <t>kcalsperkg_9</t>
  </si>
  <si>
    <t>activity_name_10</t>
  </si>
  <si>
    <t>series_time_10</t>
  </si>
  <si>
    <t>weight_10</t>
  </si>
  <si>
    <t>kcalsperkg_10</t>
  </si>
  <si>
    <t>activity_total_kcals_per_kg</t>
  </si>
  <si>
    <t>id</t>
  </si>
  <si>
    <t>category</t>
  </si>
  <si>
    <t>nutrionPer100-unit</t>
  </si>
  <si>
    <t>kcal</t>
  </si>
  <si>
    <t>protein</t>
  </si>
  <si>
    <t>carbs</t>
  </si>
  <si>
    <t>fat</t>
  </si>
  <si>
    <t>satured_fat</t>
  </si>
  <si>
    <t>fiber</t>
  </si>
  <si>
    <t>sugar</t>
  </si>
  <si>
    <t>sodium</t>
  </si>
  <si>
    <t>processed</t>
  </si>
  <si>
    <t>acelga</t>
  </si>
  <si>
    <t>Acelga</t>
  </si>
  <si>
    <t>🥔 Verduras y hortalizas</t>
  </si>
  <si>
    <t>g</t>
  </si>
  <si>
    <t>nutritionPer100</t>
  </si>
  <si>
    <t>ajo</t>
  </si>
  <si>
    <t>Ajo</t>
  </si>
  <si>
    <t>alcachofa</t>
  </si>
  <si>
    <t>Alcachofa</t>
  </si>
  <si>
    <t>apio</t>
  </si>
  <si>
    <t>Apio</t>
  </si>
  <si>
    <t>berenjena</t>
  </si>
  <si>
    <t>Berenjena</t>
  </si>
  <si>
    <t>brocoli</t>
  </si>
  <si>
    <t>Brócoli</t>
  </si>
  <si>
    <t>calabacin</t>
  </si>
  <si>
    <t>Calabacín</t>
  </si>
  <si>
    <t>calabaza</t>
  </si>
  <si>
    <t>Calabaza</t>
  </si>
  <si>
    <t>cebolla</t>
  </si>
  <si>
    <t>Cebolla</t>
  </si>
  <si>
    <t>champinones</t>
  </si>
  <si>
    <t>Champiñones</t>
  </si>
  <si>
    <t>col</t>
  </si>
  <si>
    <t>Col</t>
  </si>
  <si>
    <t>col_rizada</t>
  </si>
  <si>
    <t>Col rizada (kale)</t>
  </si>
  <si>
    <t>coles_bruselas</t>
  </si>
  <si>
    <t>Coles de Bruselas</t>
  </si>
  <si>
    <t>coliflor</t>
  </si>
  <si>
    <t>Coliflor</t>
  </si>
  <si>
    <t>endibia</t>
  </si>
  <si>
    <t>Endibia</t>
  </si>
  <si>
    <t>esparragos</t>
  </si>
  <si>
    <t>Espárragos</t>
  </si>
  <si>
    <t>espinacas</t>
  </si>
  <si>
    <t>Espinacas</t>
  </si>
  <si>
    <t>guisantes</t>
  </si>
  <si>
    <t>Guisantes</t>
  </si>
  <si>
    <t>judias_verdes</t>
  </si>
  <si>
    <t>Judías verdes</t>
  </si>
  <si>
    <t>lechuga</t>
  </si>
  <si>
    <t>Lechuga</t>
  </si>
  <si>
    <t>maiz</t>
  </si>
  <si>
    <t>Maíz</t>
  </si>
  <si>
    <t>pepino</t>
  </si>
  <si>
    <t>Pepino</t>
  </si>
  <si>
    <t>pimiento</t>
  </si>
  <si>
    <t>Pimiento</t>
  </si>
  <si>
    <t>puerro</t>
  </si>
  <si>
    <t>Puerro</t>
  </si>
  <si>
    <t>rabano</t>
  </si>
  <si>
    <t>Rábano</t>
  </si>
  <si>
    <t>remolacha</t>
  </si>
  <si>
    <t>Remolacha cocida</t>
  </si>
  <si>
    <t>tomate</t>
  </si>
  <si>
    <t>Tomate</t>
  </si>
  <si>
    <t>zanahoria</t>
  </si>
  <si>
    <t>Zanahoria</t>
  </si>
  <si>
    <t>aguacate</t>
  </si>
  <si>
    <t>Aguacate</t>
  </si>
  <si>
    <t>🍎 Fruta</t>
  </si>
  <si>
    <t>albaricoque</t>
  </si>
  <si>
    <t>Albaricoque</t>
  </si>
  <si>
    <t>arandanos</t>
  </si>
  <si>
    <t>Arándanos</t>
  </si>
  <si>
    <t>ciruela</t>
  </si>
  <si>
    <t>Ciruela</t>
  </si>
  <si>
    <t>fresas</t>
  </si>
  <si>
    <t>Fresas</t>
  </si>
  <si>
    <t>frutos_rojos</t>
  </si>
  <si>
    <t>Frutos rojos</t>
  </si>
  <si>
    <t>granada</t>
  </si>
  <si>
    <t>Granada</t>
  </si>
  <si>
    <t>kiwi</t>
  </si>
  <si>
    <t>Kiwi</t>
  </si>
  <si>
    <t>limon</t>
  </si>
  <si>
    <t>Limón</t>
  </si>
  <si>
    <t>mandarina</t>
  </si>
  <si>
    <t>Mandarina</t>
  </si>
  <si>
    <t>manzana</t>
  </si>
  <si>
    <t>Manzana</t>
  </si>
  <si>
    <t>mango</t>
  </si>
  <si>
    <t>Mango</t>
  </si>
  <si>
    <t>melon</t>
  </si>
  <si>
    <t>Melón</t>
  </si>
  <si>
    <t>melocoton</t>
  </si>
  <si>
    <t>Melocotón</t>
  </si>
  <si>
    <t>naranja</t>
  </si>
  <si>
    <t>Naranja</t>
  </si>
  <si>
    <t>pera</t>
  </si>
  <si>
    <t>Pera</t>
  </si>
  <si>
    <t>pina</t>
  </si>
  <si>
    <t>Piña</t>
  </si>
  <si>
    <t>platano</t>
  </si>
  <si>
    <t>Plátano</t>
  </si>
  <si>
    <t>pomelo</t>
  </si>
  <si>
    <t>Pomelo</t>
  </si>
  <si>
    <t>sandia</t>
  </si>
  <si>
    <t>Sandía</t>
  </si>
  <si>
    <t>uvas</t>
  </si>
  <si>
    <t>Uvas</t>
  </si>
  <si>
    <t>alubias</t>
  </si>
  <si>
    <t>Alubias cocidas</t>
  </si>
  <si>
    <t>🍚 Cereales, legumbres y tubérculos</t>
  </si>
  <si>
    <t>edamame</t>
  </si>
  <si>
    <t>Edamame</t>
  </si>
  <si>
    <t>garbanzos</t>
  </si>
  <si>
    <t>Garbanzos cocidos</t>
  </si>
  <si>
    <t>hummus</t>
  </si>
  <si>
    <t>Hummus</t>
  </si>
  <si>
    <t>lentejas</t>
  </si>
  <si>
    <t>Lentejas cocidas</t>
  </si>
  <si>
    <t>arroz</t>
  </si>
  <si>
    <t>Arroz cocido</t>
  </si>
  <si>
    <t>arroz_integral</t>
  </si>
  <si>
    <t>Arroz integral cocido</t>
  </si>
  <si>
    <t>avena</t>
  </si>
  <si>
    <t>Avena</t>
  </si>
  <si>
    <t>batata</t>
  </si>
  <si>
    <t>Batata</t>
  </si>
  <si>
    <t>cuscus</t>
  </si>
  <si>
    <t>Cuscús cocido</t>
  </si>
  <si>
    <t>pan</t>
  </si>
  <si>
    <t>Pan</t>
  </si>
  <si>
    <t>pan_centeno</t>
  </si>
  <si>
    <t>Pan de centeno</t>
  </si>
  <si>
    <t>pan_integral</t>
  </si>
  <si>
    <t>Pan integral</t>
  </si>
  <si>
    <t>pasta_integral</t>
  </si>
  <si>
    <t>Pasta integral cocida</t>
  </si>
  <si>
    <t>patata</t>
  </si>
  <si>
    <t>Patata cocida</t>
  </si>
  <si>
    <t>quinoa</t>
  </si>
  <si>
    <t>Quinoa cocida</t>
  </si>
  <si>
    <t>atun</t>
  </si>
  <si>
    <t>Atún</t>
  </si>
  <si>
    <t>🥩 Proteínas</t>
  </si>
  <si>
    <t>atun_lata_natural</t>
  </si>
  <si>
    <t>Atún al natural (lata)</t>
  </si>
  <si>
    <t>bacalao</t>
  </si>
  <si>
    <t>Bacalao</t>
  </si>
  <si>
    <t>bonito</t>
  </si>
  <si>
    <t>Bonito</t>
  </si>
  <si>
    <t>calamar</t>
  </si>
  <si>
    <t>Calamar</t>
  </si>
  <si>
    <t>conejo</t>
  </si>
  <si>
    <t>Conejo</t>
  </si>
  <si>
    <t>cordero</t>
  </si>
  <si>
    <t>Cordero</t>
  </si>
  <si>
    <t>carne_magra</t>
  </si>
  <si>
    <t>Carne magra</t>
  </si>
  <si>
    <t>claras_huevo</t>
  </si>
  <si>
    <t>Claras de huevo</t>
  </si>
  <si>
    <t>gambas</t>
  </si>
  <si>
    <t>Gambas</t>
  </si>
  <si>
    <t>hamburguesa_magra</t>
  </si>
  <si>
    <t>Hamburguesa magra</t>
  </si>
  <si>
    <t>huevo</t>
  </si>
  <si>
    <t>Huevo</t>
  </si>
  <si>
    <t>ud</t>
  </si>
  <si>
    <t>nutritionPerUnit</t>
  </si>
  <si>
    <t>lomo_cerdo</t>
  </si>
  <si>
    <t>Lomo de cerdo</t>
  </si>
  <si>
    <t>mejillones</t>
  </si>
  <si>
    <t>Mejillones</t>
  </si>
  <si>
    <t>merluza</t>
  </si>
  <si>
    <t>Merluza</t>
  </si>
  <si>
    <t>pavo</t>
  </si>
  <si>
    <t>Pavo</t>
  </si>
  <si>
    <t>pechuga_pollo</t>
  </si>
  <si>
    <t>Pechuga de pollo</t>
  </si>
  <si>
    <t>pechuga_pavo</t>
  </si>
  <si>
    <t>Pechuga de pavo</t>
  </si>
  <si>
    <t>pescado_azul</t>
  </si>
  <si>
    <t>Pescado azul</t>
  </si>
  <si>
    <t>pescado_blanco</t>
  </si>
  <si>
    <t>Pescado blanco</t>
  </si>
  <si>
    <t>pollo</t>
  </si>
  <si>
    <t>Pollo</t>
  </si>
  <si>
    <t>pulpo</t>
  </si>
  <si>
    <t>Pulpo</t>
  </si>
  <si>
    <t>salmon</t>
  </si>
  <si>
    <t>Salmón</t>
  </si>
  <si>
    <t>sardinas</t>
  </si>
  <si>
    <t>Sardinas</t>
  </si>
  <si>
    <t>tempeh</t>
  </si>
  <si>
    <t>Tempeh</t>
  </si>
  <si>
    <t>ternera</t>
  </si>
  <si>
    <t>Ternera</t>
  </si>
  <si>
    <t>tofu</t>
  </si>
  <si>
    <t>Tofu</t>
  </si>
  <si>
    <t>kefir</t>
  </si>
  <si>
    <t>Kéfir</t>
  </si>
  <si>
    <t>🥛 Lácteos</t>
  </si>
  <si>
    <t>leche</t>
  </si>
  <si>
    <t>Leche</t>
  </si>
  <si>
    <t>mozzarella</t>
  </si>
  <si>
    <t>Mozzarella</t>
  </si>
  <si>
    <t>queso_emmental</t>
  </si>
  <si>
    <t>Queso emmental</t>
  </si>
  <si>
    <t>queso_fresco</t>
  </si>
  <si>
    <t>Queso fresco</t>
  </si>
  <si>
    <t>yogur_griego</t>
  </si>
  <si>
    <t>Yogur griego</t>
  </si>
  <si>
    <t>yogur_natural</t>
  </si>
  <si>
    <t>Yogur natural</t>
  </si>
  <si>
    <t>aceite_oliva</t>
  </si>
  <si>
    <t>Aceite de oliva</t>
  </si>
  <si>
    <t>🥑 Grasas, frutos secos y semillas</t>
  </si>
  <si>
    <t>aceitunas</t>
  </si>
  <si>
    <t>Aceitunas</t>
  </si>
  <si>
    <t>almendras</t>
  </si>
  <si>
    <t>Almendras</t>
  </si>
  <si>
    <t>cacahuetes</t>
  </si>
  <si>
    <t>Cacahuetes</t>
  </si>
  <si>
    <t>frutos_secos</t>
  </si>
  <si>
    <t>Frutos secos</t>
  </si>
  <si>
    <t>mantequilla</t>
  </si>
  <si>
    <t>Mantequilla</t>
  </si>
  <si>
    <t>nueces</t>
  </si>
  <si>
    <t>Nueces</t>
  </si>
  <si>
    <t>semillas_chia</t>
  </si>
  <si>
    <t>Semillas de chía</t>
  </si>
  <si>
    <t>canela</t>
  </si>
  <si>
    <t>Canela</t>
  </si>
  <si>
    <t>🧂 Condimentos y especias</t>
  </si>
  <si>
    <t>comino</t>
  </si>
  <si>
    <t>Comino</t>
  </si>
  <si>
    <t>curry</t>
  </si>
  <si>
    <t>Curry en polvo</t>
  </si>
  <si>
    <t>mostaza</t>
  </si>
  <si>
    <t>Mostaza</t>
  </si>
  <si>
    <t>oregano</t>
  </si>
  <si>
    <t>Orégano</t>
  </si>
  <si>
    <t>pimenton</t>
  </si>
  <si>
    <t>Pimentón</t>
  </si>
  <si>
    <t>pimienta_negra</t>
  </si>
  <si>
    <t>Pimienta negra</t>
  </si>
  <si>
    <t>sal</t>
  </si>
  <si>
    <t>Sal</t>
  </si>
  <si>
    <t>vinagre</t>
  </si>
  <si>
    <t>Vinagre</t>
  </si>
  <si>
    <t>vinagre_balsamico</t>
  </si>
  <si>
    <t>Vinagre balsámico</t>
  </si>
  <si>
    <t>miel</t>
  </si>
  <si>
    <t>Miel</t>
  </si>
  <si>
    <t>cafe</t>
  </si>
  <si>
    <t>Café</t>
  </si>
  <si>
    <t>☕ Bebidas</t>
  </si>
  <si>
    <t>infusion</t>
  </si>
  <si>
    <t>Infusión</t>
  </si>
  <si>
    <t>ensalada</t>
  </si>
  <si>
    <t>Ensalada mix</t>
  </si>
  <si>
    <t>fruta</t>
  </si>
  <si>
    <t>Fruta variada</t>
  </si>
  <si>
    <t>verduras</t>
  </si>
  <si>
    <t>Verduras mix</t>
  </si>
  <si>
    <t>jamon_iberico</t>
  </si>
  <si>
    <t>Jamón ibérico</t>
  </si>
  <si>
    <t>jamon_york</t>
  </si>
  <si>
    <t>Jamón york</t>
  </si>
  <si>
    <t>patatas_fritas</t>
  </si>
  <si>
    <t>Patatas fritas</t>
  </si>
  <si>
    <t>📦 Otros / Procesados</t>
  </si>
  <si>
    <t>pepinillos_encurtidos</t>
  </si>
  <si>
    <t>Pepinillos encurtidos</t>
  </si>
  <si>
    <t>salmon_ahumado</t>
  </si>
  <si>
    <t>Salmón ahumado</t>
  </si>
  <si>
    <t>surimi</t>
  </si>
  <si>
    <t>Surimi (cangrejo)</t>
  </si>
  <si>
    <t>suplemento_proteina</t>
  </si>
  <si>
    <t>Suplemento de proteína</t>
  </si>
  <si>
    <t>💊 Suplementos</t>
  </si>
  <si>
    <t>DESAYUNO</t>
  </si>
  <si>
    <t>COMIDA</t>
  </si>
  <si>
    <t>CENA</t>
  </si>
  <si>
    <t>TOTALES</t>
  </si>
  <si>
    <t>breakfast_name_1</t>
  </si>
  <si>
    <t>breakfast_quantity_1</t>
  </si>
  <si>
    <t>breakfast_name_2</t>
  </si>
  <si>
    <t>breakfast_quantity_2</t>
  </si>
  <si>
    <t>breakfast_name_3</t>
  </si>
  <si>
    <t>breakfast_quantity_3</t>
  </si>
  <si>
    <t>breakfast_name_4</t>
  </si>
  <si>
    <t>breakfast_quantity_4</t>
  </si>
  <si>
    <t>breakfast_name_5</t>
  </si>
  <si>
    <t>breakfast_quantity_5</t>
  </si>
  <si>
    <t>breakfast_kcals</t>
  </si>
  <si>
    <t>breakfast_prot</t>
  </si>
  <si>
    <t>breakfast_carboh</t>
  </si>
  <si>
    <t>breakfast_fats</t>
  </si>
  <si>
    <t>lunch_name_1</t>
  </si>
  <si>
    <t>lunch_quantity_1</t>
  </si>
  <si>
    <t>lunch_name_2</t>
  </si>
  <si>
    <t>lunch_quantity_2</t>
  </si>
  <si>
    <t>lunch_name_3</t>
  </si>
  <si>
    <t>lunch_quantity_3</t>
  </si>
  <si>
    <t>lunch_name_4</t>
  </si>
  <si>
    <t>lunch_quantity_4</t>
  </si>
  <si>
    <t>lunch_name_5</t>
  </si>
  <si>
    <t>lunch_quantity_5</t>
  </si>
  <si>
    <t>lunch_kcals</t>
  </si>
  <si>
    <t>lunch_prote</t>
  </si>
  <si>
    <t>lunch_carboh</t>
  </si>
  <si>
    <t>lunch_fats</t>
  </si>
  <si>
    <t>dinner_name_1</t>
  </si>
  <si>
    <t>dinner_quantity_1</t>
  </si>
  <si>
    <t>dinner_name_2</t>
  </si>
  <si>
    <t>dinner_quantity_2</t>
  </si>
  <si>
    <t>dinner_name_3</t>
  </si>
  <si>
    <t>dinner_quantity_3</t>
  </si>
  <si>
    <t>dinner_name_4</t>
  </si>
  <si>
    <t>dinner_quantity_4</t>
  </si>
  <si>
    <t>dinner_name_5</t>
  </si>
  <si>
    <t>dinner_quantity_5</t>
  </si>
  <si>
    <t>dinner_kcals</t>
  </si>
  <si>
    <t>dinner_prote</t>
  </si>
  <si>
    <t>dinner_carboh</t>
  </si>
  <si>
    <t>dinner_fats</t>
  </si>
  <si>
    <t>foot_total_kcals</t>
  </si>
  <si>
    <t>jueves</t>
  </si>
  <si>
    <t>sábado</t>
  </si>
  <si>
    <t>domingo</t>
  </si>
  <si>
    <t>hombre</t>
  </si>
  <si>
    <t>mujer</t>
  </si>
  <si>
    <t>descanso</t>
  </si>
  <si>
    <t>recuperación</t>
  </si>
  <si>
    <t>pasos</t>
  </si>
  <si>
    <t>fuerza_a</t>
  </si>
  <si>
    <t>fuerza_b</t>
  </si>
  <si>
    <t>fuerza_c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</si>
</sst>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b/>
      <sz val="11"/>
      <color rgb="FF666666"/>
      <name val="Calibri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999999"/>
      <name val="Calibri"/>
      <scheme val="minor"/>
    </font>
    <font>
      <b/>
      <sz val="11"/>
      <color rgb="FF999999"/>
      <name val="Calibri"/>
      <scheme val="minor"/>
    </font>
    <font>
      <b/>
      <sz val="11"/>
      <color rgb="FFFF9900"/>
      <name val="Calibri"/>
      <scheme val="minor"/>
    </font>
    <font>
      <sz val="11"/>
      <color rgb="FF666666"/>
      <name val="Calibri"/>
      <scheme val="minor"/>
    </font>
    <font>
      <sz val="11"/>
      <color rgb="FFF3F3F3"/>
      <name val="Calibri"/>
      <scheme val="minor"/>
    </font>
    <font>
      <sz val="11"/>
      <color theme="1"/>
      <name val="Calibri"/>
      <scheme val="minor"/>
    </font>
    <font>
      <sz val="11"/>
      <color rgb="FFFF990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</font>
    <font>
      <sz val="11"/>
      <color theme="1"/>
      <name val="Arial"/>
    </font>
    <font>
      <b/>
      <sz val="11"/>
      <color rgb="FF666666"/>
      <name val="Calibri"/>
      <scheme val="minor"/>
    </font>
    <font>
      <sz val="11"/>
      <color rgb="FF999999"/>
      <name val="Calibri"/>
    </font>
    <font>
      <b/>
      <sz val="11"/>
      <color rgb="FFFF9900"/>
      <name val="Calibri"/>
    </font>
    <font>
      <sz val="11"/>
      <color rgb="FFF3F3F3"/>
      <name val="Calibri"/>
    </font>
    <font>
      <sz val="11"/>
      <color rgb="FFFF9900"/>
      <name val="Calibri"/>
    </font>
    <font>
      <sz val="11"/>
      <color theme="1"/>
      <name val="Calibri"/>
    </font>
    <font>
      <b/>
      <sz val="11"/>
      <color rgb="FFF3F3F3"/>
      <name val="Calibri"/>
      <scheme val="minor"/>
    </font>
    <font>
      <sz val="11"/>
      <color rgb="FF000000"/>
      <name val="&quot;Aptos Narrow&quot;"/>
    </font>
  </fonts>
  <fills count="7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</fills>
  <borders count="24"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 style="medium">
        <color rgb="FF9FC5E8"/>
      </right>
      <top/>
      <bottom/>
      <diagonal/>
    </border>
    <border>
      <left style="medium">
        <color rgb="FF9FC5E8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999999"/>
      </right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DD7E6B"/>
      </left>
      <right/>
      <top/>
      <bottom/>
      <diagonal/>
    </border>
    <border>
      <left/>
      <right style="medium">
        <color rgb="FFDD7E6B"/>
      </right>
      <top/>
      <bottom/>
      <diagonal/>
    </border>
    <border>
      <left/>
      <right/>
      <top/>
      <bottom style="thin">
        <color rgb="FFFFFFFF"/>
      </bottom>
      <diagonal/>
    </border>
    <border>
      <left style="medium">
        <color rgb="FFB6D7A8"/>
      </left>
      <right/>
      <top/>
      <bottom/>
      <diagonal/>
    </border>
    <border>
      <left/>
      <right style="medium">
        <color rgb="FFB6D7A8"/>
      </right>
      <top/>
      <bottom/>
      <diagonal/>
    </border>
    <border>
      <left style="medium">
        <color rgb="FFF9CB9C"/>
      </left>
      <right/>
      <top/>
      <bottom/>
      <diagonal/>
    </border>
    <border>
      <left/>
      <right style="medium">
        <color rgb="FFFFE599"/>
      </right>
      <top/>
      <bottom/>
      <diagonal/>
    </border>
    <border>
      <left/>
      <right/>
      <top/>
      <bottom/>
      <diagonal/>
    </border>
    <border>
      <left style="thin">
        <color rgb="FF999999"/>
      </left>
      <right/>
      <top/>
      <bottom/>
      <diagonal/>
    </border>
    <border>
      <left/>
      <right/>
      <top/>
      <bottom/>
      <diagonal/>
    </border>
    <border>
      <left/>
      <right style="medium">
        <color rgb="FF9FC5E8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/>
      <top/>
      <bottom/>
      <diagonal/>
    </border>
    <border>
      <left/>
      <right style="medium">
        <color rgb="FFFF9900"/>
      </right>
      <top/>
      <bottom/>
      <diagonal/>
    </border>
    <border>
      <left style="thin">
        <color rgb="FFFF9900"/>
      </left>
      <right/>
      <top/>
      <bottom/>
      <diagonal/>
    </border>
    <border>
      <left/>
      <right/>
      <top/>
      <bottom style="thin">
        <color rgb="FFB6D7A8"/>
      </bottom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0" fontId="1" fillId="0" borderId="0" xfId="0" applyFont="1" applyAlignment="1"/>
    <xf numFmtId="0" fontId="2" fillId="0" borderId="1" xfId="0" applyFont="1" applyBorder="1" applyAlignment="1"/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/>
    <xf numFmtId="0" fontId="3" fillId="0" borderId="0" xfId="0" applyFont="1" applyAlignment="1"/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2" xfId="0" applyFont="1" applyBorder="1" applyAlignment="1">
      <alignment horizontal="right"/>
    </xf>
    <xf numFmtId="0" fontId="5" fillId="0" borderId="0" xfId="0" applyFont="1" applyAlignment="1"/>
    <xf numFmtId="0" fontId="4" fillId="0" borderId="4" xfId="0" applyFont="1" applyBorder="1" applyAlignment="1">
      <alignment horizontal="center"/>
    </xf>
    <xf numFmtId="0" fontId="6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5" fillId="0" borderId="1" xfId="0" applyFont="1" applyBorder="1" applyAlignment="1"/>
    <xf numFmtId="0" fontId="4" fillId="0" borderId="5" xfId="0" applyFont="1" applyBorder="1" applyAlignment="1">
      <alignment horizontal="center"/>
    </xf>
    <xf numFmtId="0" fontId="6" fillId="0" borderId="0" xfId="0" applyFont="1" applyAlignment="1"/>
    <xf numFmtId="0" fontId="3" fillId="0" borderId="10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1" fillId="0" borderId="14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3" fillId="0" borderId="10" xfId="0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13" xfId="0" applyFont="1" applyBorder="1" applyAlignment="1">
      <alignment horizontal="left"/>
    </xf>
    <xf numFmtId="0" fontId="7" fillId="0" borderId="0" xfId="0" applyFont="1"/>
    <xf numFmtId="0" fontId="8" fillId="2" borderId="1" xfId="0" applyFont="1" applyFill="1" applyBorder="1" applyAlignment="1"/>
    <xf numFmtId="0" fontId="8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9" fillId="3" borderId="0" xfId="0" applyFont="1" applyFill="1"/>
    <xf numFmtId="0" fontId="4" fillId="3" borderId="1" xfId="0" applyFont="1" applyFill="1" applyBorder="1"/>
    <xf numFmtId="0" fontId="9" fillId="3" borderId="1" xfId="0" applyFont="1" applyFill="1" applyBorder="1"/>
    <xf numFmtId="0" fontId="8" fillId="2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2" xfId="0" applyFont="1" applyFill="1" applyBorder="1" applyAlignment="1">
      <alignment horizontal="right"/>
    </xf>
    <xf numFmtId="0" fontId="4" fillId="3" borderId="0" xfId="0" applyFont="1" applyFill="1"/>
    <xf numFmtId="0" fontId="4" fillId="3" borderId="4" xfId="0" applyFont="1" applyFill="1" applyBorder="1"/>
    <xf numFmtId="0" fontId="10" fillId="3" borderId="5" xfId="0" applyFont="1" applyFill="1" applyBorder="1"/>
    <xf numFmtId="0" fontId="9" fillId="0" borderId="6" xfId="0" applyFont="1" applyBorder="1"/>
    <xf numFmtId="0" fontId="8" fillId="4" borderId="7" xfId="0" applyFont="1" applyFill="1" applyBorder="1" applyAlignment="1"/>
    <xf numFmtId="0" fontId="8" fillId="4" borderId="0" xfId="0" applyFont="1" applyFill="1" applyAlignment="1"/>
    <xf numFmtId="0" fontId="8" fillId="4" borderId="8" xfId="0" applyFont="1" applyFill="1" applyBorder="1" applyAlignment="1"/>
    <xf numFmtId="0" fontId="8" fillId="0" borderId="6" xfId="0" applyFont="1" applyBorder="1" applyAlignment="1"/>
    <xf numFmtId="0" fontId="4" fillId="3" borderId="5" xfId="0" applyFont="1" applyFill="1" applyBorder="1"/>
    <xf numFmtId="0" fontId="10" fillId="3" borderId="0" xfId="0" applyFont="1" applyFill="1"/>
    <xf numFmtId="0" fontId="11" fillId="5" borderId="10" xfId="0" applyFont="1" applyFill="1" applyBorder="1" applyAlignment="1"/>
    <xf numFmtId="0" fontId="11" fillId="5" borderId="0" xfId="0" applyFont="1" applyFill="1" applyAlignment="1"/>
    <xf numFmtId="0" fontId="11" fillId="5" borderId="0" xfId="0" applyFont="1" applyFill="1"/>
    <xf numFmtId="0" fontId="9" fillId="6" borderId="12" xfId="0" applyFont="1" applyFill="1" applyBorder="1"/>
    <xf numFmtId="0" fontId="9" fillId="6" borderId="13" xfId="0" applyFont="1" applyFill="1" applyBorder="1"/>
    <xf numFmtId="0" fontId="9" fillId="0" borderId="0" xfId="0" applyFont="1"/>
    <xf numFmtId="0" fontId="4" fillId="0" borderId="1" xfId="0" applyFont="1" applyBorder="1"/>
    <xf numFmtId="0" fontId="9" fillId="0" borderId="1" xfId="0" applyFont="1" applyBorder="1"/>
    <xf numFmtId="0" fontId="4" fillId="0" borderId="0" xfId="0" applyFont="1"/>
    <xf numFmtId="0" fontId="4" fillId="0" borderId="4" xfId="0" applyFont="1" applyBorder="1"/>
    <xf numFmtId="0" fontId="10" fillId="0" borderId="5" xfId="0" applyFont="1" applyBorder="1"/>
    <xf numFmtId="0" fontId="4" fillId="0" borderId="5" xfId="0" applyFont="1" applyBorder="1"/>
    <xf numFmtId="0" fontId="10" fillId="0" borderId="0" xfId="0" applyFont="1"/>
    <xf numFmtId="0" fontId="11" fillId="5" borderId="10" xfId="0" applyFont="1" applyFill="1" applyBorder="1"/>
    <xf numFmtId="0" fontId="11" fillId="5" borderId="11" xfId="0" applyFont="1" applyFill="1" applyBorder="1"/>
    <xf numFmtId="0" fontId="7" fillId="0" borderId="0" xfId="0" applyFont="1" applyAlignment="1"/>
    <xf numFmtId="0" fontId="8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2" borderId="2" xfId="0" applyFont="1" applyFill="1" applyBorder="1" applyAlignment="1">
      <alignment horizontal="right"/>
    </xf>
    <xf numFmtId="0" fontId="8" fillId="4" borderId="8" xfId="0" applyFont="1" applyFill="1" applyBorder="1"/>
    <xf numFmtId="0" fontId="8" fillId="0" borderId="6" xfId="0" applyFont="1" applyBorder="1"/>
    <xf numFmtId="0" fontId="8" fillId="4" borderId="7" xfId="0" applyFont="1" applyFill="1" applyBorder="1"/>
    <xf numFmtId="0" fontId="8" fillId="4" borderId="0" xfId="0" applyFont="1" applyFill="1"/>
    <xf numFmtId="0" fontId="12" fillId="0" borderId="0" xfId="0" applyFont="1" applyAlignment="1"/>
    <xf numFmtId="0" fontId="12" fillId="0" borderId="0" xfId="0" applyFont="1" applyAlignment="1">
      <alignment horizontal="right"/>
    </xf>
    <xf numFmtId="0" fontId="12" fillId="0" borderId="0" xfId="0" applyFont="1" applyAlignment="1"/>
    <xf numFmtId="0" fontId="13" fillId="0" borderId="0" xfId="0" applyFont="1" applyAlignme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5" fillId="0" borderId="7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8" xfId="0" applyFont="1" applyBorder="1" applyAlignment="1">
      <alignment horizontal="center"/>
    </xf>
    <xf numFmtId="0" fontId="3" fillId="0" borderId="18" xfId="0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0" xfId="0" applyFont="1" applyAlignment="1">
      <alignment horizontal="right"/>
    </xf>
    <xf numFmtId="0" fontId="2" fillId="0" borderId="19" xfId="0" applyFont="1" applyBorder="1" applyAlignment="1">
      <alignment horizontal="right"/>
    </xf>
    <xf numFmtId="0" fontId="15" fillId="0" borderId="0" xfId="0" applyFont="1" applyAlignment="1"/>
    <xf numFmtId="0" fontId="14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8" xfId="0" applyFont="1" applyBorder="1" applyAlignment="1"/>
    <xf numFmtId="0" fontId="2" fillId="0" borderId="8" xfId="0" applyFont="1" applyBorder="1" applyAlignment="1">
      <alignment horizontal="left"/>
    </xf>
    <xf numFmtId="0" fontId="16" fillId="0" borderId="19" xfId="0" applyFont="1" applyBorder="1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9" fillId="0" borderId="18" xfId="0" applyFont="1" applyBorder="1"/>
    <xf numFmtId="0" fontId="8" fillId="4" borderId="7" xfId="0" applyFont="1" applyFill="1" applyBorder="1" applyAlignment="1">
      <alignment horizontal="left"/>
    </xf>
    <xf numFmtId="0" fontId="8" fillId="4" borderId="0" xfId="0" applyFont="1" applyFill="1" applyAlignment="1">
      <alignment horizontal="left"/>
    </xf>
    <xf numFmtId="0" fontId="8" fillId="4" borderId="8" xfId="0" applyFont="1" applyFill="1" applyBorder="1" applyAlignment="1">
      <alignment horizontal="left"/>
    </xf>
    <xf numFmtId="0" fontId="9" fillId="3" borderId="0" xfId="0" applyFont="1" applyFill="1" applyAlignment="1">
      <alignment horizontal="left"/>
    </xf>
    <xf numFmtId="0" fontId="17" fillId="4" borderId="7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8" xfId="0" applyFont="1" applyFill="1" applyBorder="1" applyAlignment="1">
      <alignment horizontal="left"/>
    </xf>
    <xf numFmtId="0" fontId="18" fillId="3" borderId="19" xfId="0" applyFont="1" applyFill="1" applyBorder="1" applyAlignment="1"/>
    <xf numFmtId="0" fontId="15" fillId="0" borderId="0" xfId="0" applyFont="1" applyAlignment="1"/>
    <xf numFmtId="0" fontId="8" fillId="4" borderId="7" xfId="0" applyFont="1" applyFill="1" applyBorder="1" applyAlignment="1">
      <alignment horizontal="left"/>
    </xf>
    <xf numFmtId="0" fontId="8" fillId="4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8" fillId="0" borderId="19" xfId="0" applyFont="1" applyBorder="1" applyAlignment="1"/>
    <xf numFmtId="0" fontId="8" fillId="4" borderId="8" xfId="0" applyFont="1" applyFill="1" applyBorder="1" applyAlignment="1">
      <alignment horizontal="left"/>
    </xf>
    <xf numFmtId="0" fontId="17" fillId="4" borderId="7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8" xfId="0" applyFont="1" applyFill="1" applyBorder="1" applyAlignment="1">
      <alignment horizontal="left"/>
    </xf>
    <xf numFmtId="0" fontId="17" fillId="4" borderId="0" xfId="0" applyFont="1" applyFill="1" applyAlignment="1">
      <alignment horizontal="left"/>
    </xf>
    <xf numFmtId="0" fontId="17" fillId="4" borderId="8" xfId="0" applyFont="1" applyFill="1" applyBorder="1" applyAlignment="1">
      <alignment horizontal="left"/>
    </xf>
    <xf numFmtId="0" fontId="18" fillId="0" borderId="19" xfId="0" applyFont="1" applyBorder="1" applyAlignment="1"/>
    <xf numFmtId="0" fontId="8" fillId="4" borderId="7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8" xfId="0" applyFont="1" applyFill="1" applyBorder="1" applyAlignment="1">
      <alignment horizontal="center"/>
    </xf>
    <xf numFmtId="0" fontId="20" fillId="4" borderId="8" xfId="0" applyFont="1" applyFill="1" applyBorder="1" applyAlignment="1">
      <alignment horizontal="center"/>
    </xf>
    <xf numFmtId="0" fontId="21" fillId="0" borderId="0" xfId="0" applyFont="1" applyAlignment="1"/>
    <xf numFmtId="0" fontId="21" fillId="0" borderId="0" xfId="0" applyFont="1" applyAlignment="1">
      <alignment horizontal="right"/>
    </xf>
    <xf numFmtId="0" fontId="5" fillId="0" borderId="0" xfId="0" applyFont="1"/>
    <xf numFmtId="0" fontId="3" fillId="0" borderId="10" xfId="0" applyFont="1" applyBorder="1" applyAlignment="1"/>
    <xf numFmtId="0" fontId="3" fillId="0" borderId="0" xfId="0" applyFont="1"/>
    <xf numFmtId="0" fontId="6" fillId="0" borderId="20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1" xfId="0" applyFont="1" applyBorder="1" applyAlignment="1">
      <alignment horizontal="center"/>
    </xf>
    <xf numFmtId="0" fontId="5" fillId="0" borderId="0" xfId="0" applyFont="1" applyAlignment="1"/>
    <xf numFmtId="0" fontId="3" fillId="0" borderId="0" xfId="0" applyFont="1" applyAlignment="1"/>
    <xf numFmtId="0" fontId="3" fillId="0" borderId="1" xfId="0" applyFont="1" applyBorder="1" applyAlignment="1"/>
    <xf numFmtId="0" fontId="6" fillId="0" borderId="2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21" xfId="0" applyFont="1" applyBorder="1" applyAlignment="1">
      <alignment horizontal="center"/>
    </xf>
    <xf numFmtId="0" fontId="4" fillId="0" borderId="0" xfId="0" applyFont="1" applyAlignment="1"/>
    <xf numFmtId="0" fontId="11" fillId="5" borderId="1" xfId="0" applyFont="1" applyFill="1" applyBorder="1" applyAlignment="1"/>
    <xf numFmtId="0" fontId="11" fillId="5" borderId="1" xfId="0" applyFont="1" applyFill="1" applyBorder="1"/>
    <xf numFmtId="0" fontId="10" fillId="0" borderId="20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1" xfId="0" applyFont="1" applyBorder="1" applyAlignment="1">
      <alignment horizontal="center"/>
    </xf>
    <xf numFmtId="0" fontId="4" fillId="0" borderId="2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FC5E8"/>
    <outlinePr summaryBelow="0" summaryRight="0"/>
  </sheetPr>
  <dimension ref="A1:CF10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16" sqref="J16"/>
    </sheetView>
  </sheetViews>
  <sheetFormatPr defaultColWidth="14.42578125" defaultRowHeight="15" customHeight="1" outlineLevelCol="1"/>
  <cols>
    <col min="7" max="7" width="14.42578125" collapsed="1"/>
    <col min="8" max="8" width="14.42578125" hidden="1" outlineLevel="1"/>
    <col min="16" max="16" width="14.42578125" collapsed="1"/>
    <col min="17" max="20" width="0" hidden="1" customWidth="1" outlineLevel="1"/>
    <col min="25" max="25" width="3" customWidth="1"/>
    <col min="30" max="30" width="3" customWidth="1" collapsed="1"/>
    <col min="31" max="34" width="0" hidden="1" customWidth="1" outlineLevel="1"/>
    <col min="39" max="39" width="3" customWidth="1"/>
    <col min="46" max="46" width="3" customWidth="1"/>
    <col min="49" max="49" width="3" customWidth="1"/>
  </cols>
  <sheetData>
    <row r="1" spans="1:84">
      <c r="A1" s="1"/>
      <c r="B1" s="2" t="s">
        <v>0</v>
      </c>
      <c r="C1" s="3"/>
      <c r="D1" s="3"/>
      <c r="E1" s="4"/>
      <c r="F1" s="5" t="s">
        <v>1</v>
      </c>
      <c r="G1" s="6"/>
      <c r="H1" s="7">
        <v>1.2</v>
      </c>
      <c r="I1" s="7">
        <v>0.3</v>
      </c>
      <c r="J1" s="8">
        <v>0.25</v>
      </c>
      <c r="K1" s="8">
        <v>0.45</v>
      </c>
      <c r="L1" s="6"/>
      <c r="M1" s="9" t="s">
        <v>2</v>
      </c>
      <c r="N1" s="10"/>
      <c r="O1" s="11"/>
      <c r="P1" s="12"/>
      <c r="Q1" s="13"/>
      <c r="R1" s="8">
        <v>0.3</v>
      </c>
      <c r="S1" s="8">
        <v>0.25</v>
      </c>
      <c r="T1" s="14">
        <v>0.45</v>
      </c>
      <c r="U1" s="5" t="s">
        <v>3</v>
      </c>
      <c r="V1" s="6"/>
      <c r="W1" s="6"/>
      <c r="X1" s="15"/>
      <c r="Y1" s="16"/>
      <c r="Z1" s="17" t="s">
        <v>4</v>
      </c>
      <c r="AA1" s="6"/>
      <c r="AB1" s="6"/>
      <c r="AC1" s="18"/>
      <c r="AD1" s="19"/>
      <c r="AE1" s="20"/>
      <c r="AF1" s="8"/>
      <c r="AG1" s="8"/>
      <c r="AH1" s="21"/>
      <c r="AI1" s="5" t="s">
        <v>5</v>
      </c>
      <c r="AJ1" s="6"/>
      <c r="AK1" s="6"/>
      <c r="AL1" s="22"/>
      <c r="AM1" s="16"/>
      <c r="AN1" s="23" t="s">
        <v>6</v>
      </c>
      <c r="AO1" s="6"/>
      <c r="AP1" s="6"/>
      <c r="AQ1" s="114"/>
      <c r="AR1" s="114"/>
      <c r="AS1" s="45"/>
      <c r="AT1" s="16"/>
      <c r="AU1" s="24" t="s">
        <v>7</v>
      </c>
      <c r="AV1" s="25"/>
      <c r="AW1" s="1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</row>
    <row r="2" spans="1:84">
      <c r="A2" s="26" t="s">
        <v>8</v>
      </c>
      <c r="B2" s="27" t="s">
        <v>9</v>
      </c>
      <c r="C2" s="28" t="s">
        <v>10</v>
      </c>
      <c r="D2" s="28" t="s">
        <v>11</v>
      </c>
      <c r="E2" s="29" t="s">
        <v>12</v>
      </c>
      <c r="F2" s="30" t="s">
        <v>13</v>
      </c>
      <c r="G2" s="30" t="s">
        <v>14</v>
      </c>
      <c r="H2" s="31" t="s">
        <v>15</v>
      </c>
      <c r="I2" s="32" t="s">
        <v>16</v>
      </c>
      <c r="J2" s="30" t="s">
        <v>17</v>
      </c>
      <c r="K2" s="30" t="s">
        <v>18</v>
      </c>
      <c r="L2" s="30" t="s">
        <v>19</v>
      </c>
      <c r="M2" s="33" t="s">
        <v>20</v>
      </c>
      <c r="N2" s="30" t="s">
        <v>21</v>
      </c>
      <c r="O2" s="30" t="s">
        <v>22</v>
      </c>
      <c r="P2" s="34" t="s">
        <v>23</v>
      </c>
      <c r="Q2" s="35" t="s">
        <v>24</v>
      </c>
      <c r="R2" s="35" t="s">
        <v>25</v>
      </c>
      <c r="S2" s="35" t="s">
        <v>26</v>
      </c>
      <c r="T2" s="36" t="s">
        <v>27</v>
      </c>
      <c r="U2" s="30" t="s">
        <v>28</v>
      </c>
      <c r="V2" s="30" t="s">
        <v>29</v>
      </c>
      <c r="W2" s="30" t="s">
        <v>30</v>
      </c>
      <c r="X2" s="37" t="s">
        <v>31</v>
      </c>
      <c r="Y2" s="38"/>
      <c r="Z2" s="39" t="s">
        <v>32</v>
      </c>
      <c r="AA2" s="30" t="s">
        <v>33</v>
      </c>
      <c r="AB2" s="30" t="s">
        <v>34</v>
      </c>
      <c r="AC2" s="40" t="s">
        <v>35</v>
      </c>
      <c r="AD2" s="41"/>
      <c r="AE2" s="31" t="s">
        <v>36</v>
      </c>
      <c r="AF2" s="35" t="s">
        <v>37</v>
      </c>
      <c r="AG2" s="35" t="s">
        <v>38</v>
      </c>
      <c r="AH2" s="42" t="s">
        <v>39</v>
      </c>
      <c r="AI2" s="30" t="s">
        <v>40</v>
      </c>
      <c r="AJ2" s="30" t="s">
        <v>41</v>
      </c>
      <c r="AK2" s="30" t="s">
        <v>42</v>
      </c>
      <c r="AL2" s="43" t="s">
        <v>43</v>
      </c>
      <c r="AM2" s="41"/>
      <c r="AN2" s="44" t="s">
        <v>44</v>
      </c>
      <c r="AO2" s="30" t="s">
        <v>45</v>
      </c>
      <c r="AP2" s="114" t="s">
        <v>49</v>
      </c>
      <c r="AQ2" s="114" t="s">
        <v>46</v>
      </c>
      <c r="AR2" s="114" t="s">
        <v>47</v>
      </c>
      <c r="AS2" s="45" t="s">
        <v>48</v>
      </c>
      <c r="AT2" s="41"/>
      <c r="AU2" s="46" t="s">
        <v>50</v>
      </c>
      <c r="AV2" s="47" t="s">
        <v>51</v>
      </c>
      <c r="AW2" s="41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</row>
    <row r="3" spans="1:84">
      <c r="A3" s="48" t="s">
        <v>52</v>
      </c>
      <c r="B3" s="49" t="s">
        <v>532</v>
      </c>
      <c r="C3" s="50">
        <v>30</v>
      </c>
      <c r="D3" s="50">
        <v>175</v>
      </c>
      <c r="E3" s="51">
        <v>75</v>
      </c>
      <c r="F3" s="52" cm="1">
        <f t="array" ref="F3:F100">IF(ISBLANK(A3:A100),"", ROUND(E3:E100 / ((D3:D100 / 100) ^2),1))</f>
        <v>24.5</v>
      </c>
      <c r="G3" s="52" cm="1">
        <f t="array" ref="G3:G100">IF(ISBLANK(A3:A100),"", ROUND(10*E3:E100 + 6.25*D3:D100 - 5*C3:C100 + IF(B3:B100="hombre", 5, -161),0))</f>
        <v>1699</v>
      </c>
      <c r="H3" s="53">
        <f t="array" ref="H3:H100">IF(ISBLANK(A3:A100),"", G3:G100 * $H$1)</f>
        <v>2038.8</v>
      </c>
      <c r="I3" s="54" cm="1">
        <f t="array" ref="I3:I100">IF(ISBLANK(A3:A100),"", ROUND($H3:H100 * I$1 / 4,0))</f>
        <v>153</v>
      </c>
      <c r="J3" s="52" cm="1">
        <f t="array" ref="J3:J100">IF(ISBLANK(A3:A100),"", ROUND($H3:H100 * J$1 / 4,0))</f>
        <v>127</v>
      </c>
      <c r="K3" s="52" cm="1">
        <f t="array" ref="K3:K100">IF(ISBLANK(A3:A100),"", ROUND($H3:H100 * K$1 / 9,0))</f>
        <v>102</v>
      </c>
      <c r="L3" s="52" cm="1">
        <f t="array" ref="L3:L100">IF(ISBLANK(A3:A100),"", $I3:I100*4 + $J3:J100*4 + $K3:K100*9)</f>
        <v>2038</v>
      </c>
      <c r="M3" s="55">
        <v>0</v>
      </c>
      <c r="N3" s="56">
        <v>0</v>
      </c>
      <c r="O3" s="56">
        <v>0</v>
      </c>
      <c r="P3" s="57">
        <v>0</v>
      </c>
      <c r="Q3" s="58">
        <f t="array" ref="Q3:Q100">IF(ISBLANK(A3:A100),"", ROUND(L3:L100 * (1 + M3:M100),0))</f>
        <v>2038</v>
      </c>
      <c r="R3" s="58">
        <f t="array" ref="R3:R100">IF(ISBLANK(A3:A100),"", ROUND($Q3:Q100 * R$1 / 4,0))</f>
        <v>153</v>
      </c>
      <c r="S3" s="58">
        <f t="array" ref="S3:S100">IF(ISBLANK(A3:A100),"", ROUND($Q3:Q100 * S$1 / 4,0))</f>
        <v>127</v>
      </c>
      <c r="T3" s="59">
        <f t="array" ref="T3:T100">IF(ISBLANK(A3:A100),"", ROUND($Q3:Q100 * T$1 / 9,0))</f>
        <v>102</v>
      </c>
      <c r="U3" s="52" cm="1">
        <f t="array" ref="U3:U100">IF(ISBLANK(A3:A100),"", ROUND(R3:R100 * (1 + N3:N100),0))</f>
        <v>153</v>
      </c>
      <c r="V3" s="52" cm="1">
        <f t="array" ref="V3:V100">IF(ISBLANK(A3:A100),"", ROUND(S3:S100 * (1 + O3:O100),0))</f>
        <v>127</v>
      </c>
      <c r="W3" s="52" cm="1">
        <f t="array" ref="W3:W100">IF(ISBLANK(A3:A100),"", ROUND(T3:T100 * (1 + P3:P100),0))</f>
        <v>102</v>
      </c>
      <c r="X3" s="60" cm="1">
        <f t="array" ref="X3:X100">IF(ISBLANK(A3:A100),"", $U3:U100*4 + $V3:V100*4 + $W3:W100*9)</f>
        <v>2038</v>
      </c>
      <c r="Y3" s="61"/>
      <c r="Z3" s="62" t="s">
        <v>53</v>
      </c>
      <c r="AA3" s="63" t="s">
        <v>537</v>
      </c>
      <c r="AB3" s="63" cm="1">
        <f t="array" ref="AB3:AB100">IF(ISBLANK(A3:A100),"", ROUND(_xlfn.XLOOKUP($Z3:Z100, Actividad_calc!$A$3:$A$30, Actividad_calc!BD$3:BD$30, "") * $E3:E100,0))</f>
        <v>350</v>
      </c>
      <c r="AC3" s="64" cm="1">
        <f t="array" ref="AC3:AC100">IF(ISBLANK(A3:A100),"", ROUND(_xlfn.XLOOKUP($AA3:AA100, Actividad_calc!$A$3:$A$30, Actividad_calc!BD$3:BD$30, "") * $E3:E100,0))</f>
        <v>207</v>
      </c>
      <c r="AD3" s="65"/>
      <c r="AE3" s="53" cm="1">
        <f t="array" ref="AE3:AE100">IF(ISBLANK(A3:A100),"", ROUND(($H3:H100 + $AB3:AB100 + $AC3:AC100) * (1 + M3:M100),0))</f>
        <v>2596</v>
      </c>
      <c r="AF3" s="58" cm="1">
        <f t="array" ref="AF3:AF100">IF(ISBLANK(A3:A100),"", ROUND($AE3:AE100 * _xlfn.XLOOKUP($AA3:AA100, Actividad_calc!$A$3:$A$30, Actividad_calc!B$3:B$30)/4,0))</f>
        <v>227</v>
      </c>
      <c r="AG3" s="58" cm="1">
        <f t="array" ref="AG3:AG100">IF(ISBLANK(A3:A100),"", ROUND($AE3:AE100 * _xlfn.XLOOKUP($AA3:AA100, Actividad_calc!$A$3:$A$30, Actividad_calc!C$3:C$30)/4,0))</f>
        <v>260</v>
      </c>
      <c r="AH3" s="66" cm="1">
        <f t="array" ref="AH3:AH100">IF(ISBLANK(A3:A100),"", ROUND($AE3:AE100 * _xlfn.XLOOKUP($AA3:AA100, Actividad_calc!$A$3:$A$30, Actividad_calc!D$3:D$30)/9,0))</f>
        <v>72</v>
      </c>
      <c r="AI3" s="52" cm="1">
        <f t="array" ref="AI3:AI100">IF(ISBLANK(A3:A100),"", ROUND(AF3:AF100 * (1 + N3:N100),0))</f>
        <v>227</v>
      </c>
      <c r="AJ3" s="52" cm="1">
        <f t="array" ref="AJ3:AJ100">IF(ISBLANK(A3:A100),"", ROUND(AG3:AG100 * (1 + O3:O100),0))</f>
        <v>260</v>
      </c>
      <c r="AK3" s="52" cm="1">
        <f t="array" ref="AK3:AK100">IF(ISBLANK(A3:A100),"", ROUND(AH3:AH100 * (1 + P3:P100),0))</f>
        <v>72</v>
      </c>
      <c r="AL3" s="67" cm="1">
        <f t="array" ref="AL3:AL100">IF(ISBLANK(A3:A100),"", $AI3:AI100*4 + $AJ3:AJ100*4 + $AK3:AK100*9)</f>
        <v>2596</v>
      </c>
      <c r="AM3" s="61"/>
      <c r="AN3" s="68" t="s">
        <v>54</v>
      </c>
      <c r="AO3" s="69" t="s">
        <v>55</v>
      </c>
      <c r="AP3" s="70" cm="1">
        <f t="array" ref="AP3:AP100">_xlfn.XLOOKUP($AN3:$AN100&amp;" | "&amp;$AO3:$AO100, Alimentacion_calc!$A3:$A100&amp;" | "&amp;Alimentacion_calc!$B3:$B100, Alimentacion_calc!AS3:AS100, "")</f>
        <v>1602</v>
      </c>
      <c r="AQ3" s="70" cm="1">
        <f t="array" ref="AQ3:AQ100">_xlfn.XLOOKUP($AN3:$AN100&amp;" | "&amp;$AO3:$AO100, Alimentacion_calc!$A3:$A100&amp;" | "&amp;Alimentacion_calc!$B3:$B100, Alimentacion_calc!AT3:AT100, "")</f>
        <v>123</v>
      </c>
      <c r="AR3" s="70" cm="1">
        <f t="array" ref="AR3:AR100">_xlfn.XLOOKUP($AN3:$AN100&amp;" | "&amp;$AO3:$AO100, Alimentacion_calc!$A3:$A100&amp;" | "&amp;Alimentacion_calc!$B3:$B100, Alimentacion_calc!AU3:AU100, "")</f>
        <v>148</v>
      </c>
      <c r="AS3" s="70" cm="1">
        <f t="array" ref="AS3:AS100">_xlfn.XLOOKUP($AN3:$AN100&amp;" | "&amp;$AO3:$AO100, Alimentacion_calc!$A3:$A100&amp;" | "&amp;Alimentacion_calc!$B3:$B100, Alimentacion_calc!AV3:AV100, "")</f>
        <v>63</v>
      </c>
      <c r="AT3" s="61"/>
      <c r="AU3" s="71" cm="1">
        <f t="array" ref="AU3:AU100">IF((AL3:AL100="") + (AP3:AP100=""), "", AP3:AP100 - AL3:AL100)</f>
        <v>-994</v>
      </c>
      <c r="AV3" s="72" t="str" cm="1">
        <f t="array" ref="AV3:AV100">IF(AU3:AU100="","",IF(AU3:AU100&gt;=0,"Superavit","Déficit"))</f>
        <v>Déficit</v>
      </c>
      <c r="AW3" s="61"/>
    </row>
    <row r="4" spans="1:84">
      <c r="A4" s="48" t="s">
        <v>56</v>
      </c>
      <c r="B4" s="49" t="s">
        <v>532</v>
      </c>
      <c r="C4" s="50">
        <v>30</v>
      </c>
      <c r="D4" s="50">
        <v>175</v>
      </c>
      <c r="E4" s="51">
        <v>75</v>
      </c>
      <c r="F4" s="73">
        <v>24.5</v>
      </c>
      <c r="G4" s="73">
        <v>1699</v>
      </c>
      <c r="H4" s="74">
        <v>2038.8</v>
      </c>
      <c r="I4" s="75">
        <v>153</v>
      </c>
      <c r="J4" s="73">
        <v>127</v>
      </c>
      <c r="K4" s="73">
        <v>102</v>
      </c>
      <c r="L4" s="73">
        <v>2038</v>
      </c>
      <c r="M4" s="55" t="s">
        <v>57</v>
      </c>
      <c r="N4" s="56" t="s">
        <v>57</v>
      </c>
      <c r="O4" s="56">
        <v>0</v>
      </c>
      <c r="P4" s="57">
        <v>0</v>
      </c>
      <c r="Q4" s="76">
        <v>2140</v>
      </c>
      <c r="R4" s="76">
        <v>161</v>
      </c>
      <c r="S4" s="76">
        <v>134</v>
      </c>
      <c r="T4" s="77">
        <v>107</v>
      </c>
      <c r="U4" s="73">
        <v>169</v>
      </c>
      <c r="V4" s="73">
        <v>134</v>
      </c>
      <c r="W4" s="73">
        <v>107</v>
      </c>
      <c r="X4" s="78">
        <v>2175</v>
      </c>
      <c r="Y4" s="61"/>
      <c r="Z4" s="62" t="s">
        <v>53</v>
      </c>
      <c r="AA4" s="63" t="s">
        <v>538</v>
      </c>
      <c r="AB4" s="63">
        <v>350</v>
      </c>
      <c r="AC4" s="64">
        <v>194</v>
      </c>
      <c r="AD4" s="65"/>
      <c r="AE4" s="74">
        <v>2712</v>
      </c>
      <c r="AF4" s="76">
        <v>237</v>
      </c>
      <c r="AG4" s="76">
        <v>271</v>
      </c>
      <c r="AH4" s="79">
        <v>75</v>
      </c>
      <c r="AI4" s="73">
        <v>249</v>
      </c>
      <c r="AJ4" s="73">
        <v>271</v>
      </c>
      <c r="AK4" s="73">
        <v>75</v>
      </c>
      <c r="AL4" s="80">
        <v>2755</v>
      </c>
      <c r="AM4" s="61"/>
      <c r="AN4" s="81"/>
      <c r="AO4" s="70"/>
      <c r="AP4" s="70" t="str">
        <v/>
      </c>
      <c r="AQ4" s="70" t="str">
        <v/>
      </c>
      <c r="AR4" s="70" t="str">
        <v/>
      </c>
      <c r="AS4" s="82" t="str">
        <v/>
      </c>
      <c r="AT4" s="61"/>
      <c r="AU4" s="71" t="str">
        <v/>
      </c>
      <c r="AV4" s="72" t="str">
        <v/>
      </c>
      <c r="AW4" s="61"/>
    </row>
    <row r="5" spans="1:84">
      <c r="A5" s="48" t="s">
        <v>58</v>
      </c>
      <c r="B5" s="49" t="s">
        <v>533</v>
      </c>
      <c r="C5" s="50">
        <v>40</v>
      </c>
      <c r="D5" s="50">
        <v>165</v>
      </c>
      <c r="E5" s="51">
        <v>62</v>
      </c>
      <c r="F5" s="73">
        <v>22.8</v>
      </c>
      <c r="G5" s="73">
        <v>1290</v>
      </c>
      <c r="H5" s="74">
        <v>1548</v>
      </c>
      <c r="I5" s="75">
        <v>116</v>
      </c>
      <c r="J5" s="73">
        <v>97</v>
      </c>
      <c r="K5" s="73">
        <v>77</v>
      </c>
      <c r="L5" s="73">
        <v>1545</v>
      </c>
      <c r="M5" s="55" t="s">
        <v>59</v>
      </c>
      <c r="N5" s="56">
        <v>0</v>
      </c>
      <c r="O5" s="56" t="s">
        <v>57</v>
      </c>
      <c r="P5" s="57" t="s">
        <v>60</v>
      </c>
      <c r="Q5" s="76">
        <v>1391</v>
      </c>
      <c r="R5" s="76">
        <v>104</v>
      </c>
      <c r="S5" s="76">
        <v>87</v>
      </c>
      <c r="T5" s="77">
        <v>70</v>
      </c>
      <c r="U5" s="73">
        <v>104</v>
      </c>
      <c r="V5" s="73">
        <v>91</v>
      </c>
      <c r="W5" s="73">
        <v>67</v>
      </c>
      <c r="X5" s="78">
        <v>1383</v>
      </c>
      <c r="Y5" s="61"/>
      <c r="Z5" s="62" t="s">
        <v>53</v>
      </c>
      <c r="AA5" s="63" t="s">
        <v>539</v>
      </c>
      <c r="AB5" s="63">
        <v>289</v>
      </c>
      <c r="AC5" s="64">
        <v>170</v>
      </c>
      <c r="AD5" s="65"/>
      <c r="AE5" s="74">
        <v>1806</v>
      </c>
      <c r="AF5" s="76">
        <v>158</v>
      </c>
      <c r="AG5" s="76">
        <v>181</v>
      </c>
      <c r="AH5" s="79">
        <v>50</v>
      </c>
      <c r="AI5" s="73">
        <v>158</v>
      </c>
      <c r="AJ5" s="73">
        <v>190</v>
      </c>
      <c r="AK5" s="73">
        <v>48</v>
      </c>
      <c r="AL5" s="80">
        <v>1824</v>
      </c>
      <c r="AM5" s="61"/>
      <c r="AN5" s="81"/>
      <c r="AO5" s="70"/>
      <c r="AP5" s="70" t="str">
        <v/>
      </c>
      <c r="AQ5" s="70" t="str">
        <v/>
      </c>
      <c r="AR5" s="70" t="str">
        <v/>
      </c>
      <c r="AS5" s="82" t="str">
        <v/>
      </c>
      <c r="AT5" s="61"/>
      <c r="AU5" s="71" t="str">
        <v/>
      </c>
      <c r="AV5" s="72" t="str">
        <v/>
      </c>
      <c r="AW5" s="61"/>
    </row>
    <row r="6" spans="1:84">
      <c r="A6" s="48" t="s">
        <v>61</v>
      </c>
      <c r="B6" s="49" t="s">
        <v>532</v>
      </c>
      <c r="C6" s="50">
        <v>35</v>
      </c>
      <c r="D6" s="50">
        <v>180</v>
      </c>
      <c r="E6" s="51">
        <v>85</v>
      </c>
      <c r="F6" s="73">
        <v>26.2</v>
      </c>
      <c r="G6" s="73">
        <v>1805</v>
      </c>
      <c r="H6" s="74">
        <v>2166</v>
      </c>
      <c r="I6" s="75">
        <v>162</v>
      </c>
      <c r="J6" s="73">
        <v>135</v>
      </c>
      <c r="K6" s="73">
        <v>108</v>
      </c>
      <c r="L6" s="73">
        <v>2160</v>
      </c>
      <c r="M6" s="55">
        <v>0</v>
      </c>
      <c r="N6" s="56">
        <v>0</v>
      </c>
      <c r="O6" s="56">
        <v>0</v>
      </c>
      <c r="P6" s="57">
        <v>0</v>
      </c>
      <c r="Q6" s="76">
        <v>2160</v>
      </c>
      <c r="R6" s="76">
        <v>162</v>
      </c>
      <c r="S6" s="76">
        <v>135</v>
      </c>
      <c r="T6" s="77">
        <v>108</v>
      </c>
      <c r="U6" s="73">
        <v>162</v>
      </c>
      <c r="V6" s="73">
        <v>135</v>
      </c>
      <c r="W6" s="73">
        <v>108</v>
      </c>
      <c r="X6" s="78">
        <v>2160</v>
      </c>
      <c r="Y6" s="61"/>
      <c r="Z6" s="62" t="s">
        <v>53</v>
      </c>
      <c r="AA6" s="63" t="s">
        <v>534</v>
      </c>
      <c r="AB6" s="63">
        <v>397</v>
      </c>
      <c r="AC6" s="64">
        <v>0</v>
      </c>
      <c r="AD6" s="65"/>
      <c r="AE6" s="74">
        <v>2563</v>
      </c>
      <c r="AF6" s="76">
        <v>192</v>
      </c>
      <c r="AG6" s="76">
        <v>160</v>
      </c>
      <c r="AH6" s="79">
        <v>128</v>
      </c>
      <c r="AI6" s="73">
        <v>192</v>
      </c>
      <c r="AJ6" s="73">
        <v>160</v>
      </c>
      <c r="AK6" s="73">
        <v>128</v>
      </c>
      <c r="AL6" s="80">
        <v>2560</v>
      </c>
      <c r="AM6" s="61"/>
      <c r="AN6" s="81"/>
      <c r="AO6" s="70"/>
      <c r="AP6" s="70" t="str">
        <v/>
      </c>
      <c r="AQ6" s="70" t="str">
        <v/>
      </c>
      <c r="AR6" s="70" t="str">
        <v/>
      </c>
      <c r="AS6" s="82" t="str">
        <v/>
      </c>
      <c r="AT6" s="61"/>
      <c r="AU6" s="71" t="str">
        <v/>
      </c>
      <c r="AV6" s="72" t="str">
        <v/>
      </c>
      <c r="AW6" s="61"/>
    </row>
    <row r="7" spans="1:84">
      <c r="A7" s="48" t="s">
        <v>62</v>
      </c>
      <c r="B7" s="49" t="s">
        <v>532</v>
      </c>
      <c r="C7" s="50">
        <v>28</v>
      </c>
      <c r="D7" s="50">
        <v>172</v>
      </c>
      <c r="E7" s="51">
        <v>70</v>
      </c>
      <c r="F7" s="73">
        <v>23.7</v>
      </c>
      <c r="G7" s="73">
        <v>1640</v>
      </c>
      <c r="H7" s="74">
        <v>1968</v>
      </c>
      <c r="I7" s="75">
        <v>148</v>
      </c>
      <c r="J7" s="73">
        <v>123</v>
      </c>
      <c r="K7" s="73">
        <v>98</v>
      </c>
      <c r="L7" s="73">
        <v>1966</v>
      </c>
      <c r="M7" s="55">
        <v>0</v>
      </c>
      <c r="N7" s="56">
        <v>0</v>
      </c>
      <c r="O7" s="56">
        <v>0</v>
      </c>
      <c r="P7" s="57">
        <v>0</v>
      </c>
      <c r="Q7" s="76">
        <v>1966</v>
      </c>
      <c r="R7" s="76">
        <v>147</v>
      </c>
      <c r="S7" s="76">
        <v>123</v>
      </c>
      <c r="T7" s="77">
        <v>98</v>
      </c>
      <c r="U7" s="73">
        <v>147</v>
      </c>
      <c r="V7" s="73">
        <v>123</v>
      </c>
      <c r="W7" s="73">
        <v>98</v>
      </c>
      <c r="X7" s="78">
        <v>1962</v>
      </c>
      <c r="Y7" s="61"/>
      <c r="Z7" s="62" t="s">
        <v>53</v>
      </c>
      <c r="AA7" s="63" t="s">
        <v>535</v>
      </c>
      <c r="AB7" s="63">
        <v>327</v>
      </c>
      <c r="AC7" s="64">
        <v>35</v>
      </c>
      <c r="AD7" s="65"/>
      <c r="AE7" s="74">
        <v>2330</v>
      </c>
      <c r="AF7" s="76">
        <v>175</v>
      </c>
      <c r="AG7" s="76">
        <v>146</v>
      </c>
      <c r="AH7" s="79">
        <v>117</v>
      </c>
      <c r="AI7" s="73">
        <v>175</v>
      </c>
      <c r="AJ7" s="73">
        <v>146</v>
      </c>
      <c r="AK7" s="73">
        <v>117</v>
      </c>
      <c r="AL7" s="80">
        <v>2337</v>
      </c>
      <c r="AM7" s="61"/>
      <c r="AN7" s="81"/>
      <c r="AO7" s="70"/>
      <c r="AP7" s="70" t="str">
        <v/>
      </c>
      <c r="AQ7" s="70" t="str">
        <v/>
      </c>
      <c r="AR7" s="70" t="str">
        <v/>
      </c>
      <c r="AS7" s="82" t="str">
        <v/>
      </c>
      <c r="AT7" s="61"/>
      <c r="AU7" s="71" t="str">
        <v/>
      </c>
      <c r="AV7" s="72" t="str">
        <v/>
      </c>
      <c r="AW7" s="61"/>
    </row>
    <row r="8" spans="1:84">
      <c r="A8" s="83" t="s">
        <v>63</v>
      </c>
      <c r="B8" s="49" t="s">
        <v>532</v>
      </c>
      <c r="C8" s="84">
        <v>43</v>
      </c>
      <c r="D8" s="84">
        <v>173</v>
      </c>
      <c r="E8" s="85">
        <v>80</v>
      </c>
      <c r="F8" s="73">
        <v>26.7</v>
      </c>
      <c r="G8" s="73">
        <v>1671</v>
      </c>
      <c r="H8" s="74">
        <v>2005.1999999999998</v>
      </c>
      <c r="I8" s="75">
        <v>150</v>
      </c>
      <c r="J8" s="73">
        <v>125</v>
      </c>
      <c r="K8" s="73">
        <v>100</v>
      </c>
      <c r="L8" s="73">
        <v>2000</v>
      </c>
      <c r="M8" s="86">
        <v>-0.05</v>
      </c>
      <c r="N8" s="87">
        <v>0.05</v>
      </c>
      <c r="O8" s="87">
        <v>0</v>
      </c>
      <c r="P8" s="88">
        <v>-0.05</v>
      </c>
      <c r="Q8" s="76">
        <v>1900</v>
      </c>
      <c r="R8" s="76">
        <v>143</v>
      </c>
      <c r="S8" s="76">
        <v>119</v>
      </c>
      <c r="T8" s="77">
        <v>95</v>
      </c>
      <c r="U8" s="73">
        <v>150</v>
      </c>
      <c r="V8" s="73">
        <v>119</v>
      </c>
      <c r="W8" s="73">
        <v>90</v>
      </c>
      <c r="X8" s="78">
        <v>1886</v>
      </c>
      <c r="Y8" s="61"/>
      <c r="Z8" s="62" t="s">
        <v>53</v>
      </c>
      <c r="AA8" s="63" t="s">
        <v>535</v>
      </c>
      <c r="AB8" s="63">
        <v>373</v>
      </c>
      <c r="AC8" s="64">
        <v>41</v>
      </c>
      <c r="AD8" s="65"/>
      <c r="AE8" s="74">
        <v>2298</v>
      </c>
      <c r="AF8" s="76">
        <v>172</v>
      </c>
      <c r="AG8" s="76">
        <v>144</v>
      </c>
      <c r="AH8" s="79">
        <v>115</v>
      </c>
      <c r="AI8" s="73">
        <v>181</v>
      </c>
      <c r="AJ8" s="73">
        <v>144</v>
      </c>
      <c r="AK8" s="73">
        <v>109</v>
      </c>
      <c r="AL8" s="80">
        <v>2281</v>
      </c>
      <c r="AM8" s="61"/>
      <c r="AN8" s="68" t="s">
        <v>64</v>
      </c>
      <c r="AO8" s="69" t="s">
        <v>65</v>
      </c>
      <c r="AP8" s="70" t="str">
        <v/>
      </c>
      <c r="AQ8" s="70" t="str">
        <v/>
      </c>
      <c r="AR8" s="70" t="str">
        <v/>
      </c>
      <c r="AS8" s="82" t="str">
        <v/>
      </c>
      <c r="AT8" s="61"/>
      <c r="AU8" s="71" t="str">
        <v/>
      </c>
      <c r="AV8" s="72" t="str">
        <v/>
      </c>
      <c r="AW8" s="61"/>
    </row>
    <row r="9" spans="1:84">
      <c r="A9" s="83" t="s">
        <v>66</v>
      </c>
      <c r="B9" s="49" t="s">
        <v>532</v>
      </c>
      <c r="C9" s="84">
        <v>43</v>
      </c>
      <c r="D9" s="84">
        <v>173</v>
      </c>
      <c r="E9" s="85">
        <v>80</v>
      </c>
      <c r="F9" s="73">
        <v>26.7</v>
      </c>
      <c r="G9" s="73">
        <v>1671</v>
      </c>
      <c r="H9" s="74">
        <v>2005.1999999999998</v>
      </c>
      <c r="I9" s="75">
        <v>150</v>
      </c>
      <c r="J9" s="73">
        <v>125</v>
      </c>
      <c r="K9" s="73">
        <v>100</v>
      </c>
      <c r="L9" s="73">
        <v>2000</v>
      </c>
      <c r="M9" s="86">
        <v>-0.05</v>
      </c>
      <c r="N9" s="87">
        <v>0.05</v>
      </c>
      <c r="O9" s="87">
        <v>0</v>
      </c>
      <c r="P9" s="88">
        <v>-0.05</v>
      </c>
      <c r="Q9" s="76">
        <v>1900</v>
      </c>
      <c r="R9" s="76">
        <v>143</v>
      </c>
      <c r="S9" s="76">
        <v>119</v>
      </c>
      <c r="T9" s="77">
        <v>95</v>
      </c>
      <c r="U9" s="73">
        <v>150</v>
      </c>
      <c r="V9" s="73">
        <v>119</v>
      </c>
      <c r="W9" s="73">
        <v>90</v>
      </c>
      <c r="X9" s="78">
        <v>1886</v>
      </c>
      <c r="Y9" s="61"/>
      <c r="Z9" s="62" t="s">
        <v>53</v>
      </c>
      <c r="AA9" s="63" t="s">
        <v>537</v>
      </c>
      <c r="AB9" s="63">
        <v>373</v>
      </c>
      <c r="AC9" s="64">
        <v>220</v>
      </c>
      <c r="AD9" s="65"/>
      <c r="AE9" s="74">
        <v>2468</v>
      </c>
      <c r="AF9" s="76">
        <v>216</v>
      </c>
      <c r="AG9" s="76">
        <v>247</v>
      </c>
      <c r="AH9" s="79">
        <v>69</v>
      </c>
      <c r="AI9" s="73">
        <v>227</v>
      </c>
      <c r="AJ9" s="73">
        <v>247</v>
      </c>
      <c r="AK9" s="73">
        <v>66</v>
      </c>
      <c r="AL9" s="80">
        <v>2490</v>
      </c>
      <c r="AM9" s="61"/>
      <c r="AN9" s="68" t="s">
        <v>64</v>
      </c>
      <c r="AO9" s="69" t="s">
        <v>55</v>
      </c>
      <c r="AP9" s="70">
        <v>1466</v>
      </c>
      <c r="AQ9" s="70">
        <v>140</v>
      </c>
      <c r="AR9" s="70">
        <v>128</v>
      </c>
      <c r="AS9" s="82">
        <v>48</v>
      </c>
      <c r="AT9" s="61"/>
      <c r="AU9" s="71">
        <v>-1024</v>
      </c>
      <c r="AV9" s="72" t="str">
        <v>Déficit</v>
      </c>
      <c r="AW9" s="61"/>
    </row>
    <row r="10" spans="1:84">
      <c r="A10" s="83" t="s">
        <v>67</v>
      </c>
      <c r="B10" s="49" t="s">
        <v>532</v>
      </c>
      <c r="C10" s="84">
        <v>43</v>
      </c>
      <c r="D10" s="84">
        <v>173</v>
      </c>
      <c r="E10" s="85">
        <v>80</v>
      </c>
      <c r="F10" s="73">
        <v>26.7</v>
      </c>
      <c r="G10" s="73">
        <v>1671</v>
      </c>
      <c r="H10" s="74">
        <v>2005.1999999999998</v>
      </c>
      <c r="I10" s="75">
        <v>150</v>
      </c>
      <c r="J10" s="73">
        <v>125</v>
      </c>
      <c r="K10" s="73">
        <v>100</v>
      </c>
      <c r="L10" s="73">
        <v>2000</v>
      </c>
      <c r="M10" s="86">
        <v>-0.05</v>
      </c>
      <c r="N10" s="87">
        <v>0.05</v>
      </c>
      <c r="O10" s="87">
        <v>0</v>
      </c>
      <c r="P10" s="88">
        <v>-0.05</v>
      </c>
      <c r="Q10" s="76">
        <v>1900</v>
      </c>
      <c r="R10" s="76">
        <v>143</v>
      </c>
      <c r="S10" s="76">
        <v>119</v>
      </c>
      <c r="T10" s="77">
        <v>95</v>
      </c>
      <c r="U10" s="73">
        <v>150</v>
      </c>
      <c r="V10" s="73">
        <v>119</v>
      </c>
      <c r="W10" s="73">
        <v>90</v>
      </c>
      <c r="X10" s="78">
        <v>1886</v>
      </c>
      <c r="Y10" s="61"/>
      <c r="Z10" s="62" t="s">
        <v>53</v>
      </c>
      <c r="AA10" s="63" t="s">
        <v>538</v>
      </c>
      <c r="AB10" s="63">
        <v>373</v>
      </c>
      <c r="AC10" s="89">
        <v>207</v>
      </c>
      <c r="AD10" s="90"/>
      <c r="AE10" s="74">
        <v>2456</v>
      </c>
      <c r="AF10" s="76">
        <v>215</v>
      </c>
      <c r="AG10" s="76">
        <v>246</v>
      </c>
      <c r="AH10" s="79">
        <v>68</v>
      </c>
      <c r="AI10" s="73">
        <v>226</v>
      </c>
      <c r="AJ10" s="73">
        <v>246</v>
      </c>
      <c r="AK10" s="73">
        <v>65</v>
      </c>
      <c r="AL10" s="80">
        <v>2473</v>
      </c>
      <c r="AM10" s="61"/>
      <c r="AN10" s="68" t="s">
        <v>64</v>
      </c>
      <c r="AO10" s="69" t="s">
        <v>68</v>
      </c>
      <c r="AP10" s="70" t="str">
        <v/>
      </c>
      <c r="AQ10" s="70" t="str">
        <v/>
      </c>
      <c r="AR10" s="70" t="str">
        <v/>
      </c>
      <c r="AS10" s="82" t="str">
        <v/>
      </c>
      <c r="AT10" s="61"/>
      <c r="AU10" s="71" t="str">
        <v/>
      </c>
      <c r="AV10" s="72" t="str">
        <v/>
      </c>
      <c r="AW10" s="61"/>
    </row>
    <row r="11" spans="1:84">
      <c r="A11" s="83" t="s">
        <v>69</v>
      </c>
      <c r="B11" s="49" t="s">
        <v>532</v>
      </c>
      <c r="C11" s="84">
        <v>43</v>
      </c>
      <c r="D11" s="84">
        <v>173</v>
      </c>
      <c r="E11" s="85">
        <v>80</v>
      </c>
      <c r="F11" s="73">
        <v>26.7</v>
      </c>
      <c r="G11" s="73">
        <v>1671</v>
      </c>
      <c r="H11" s="74">
        <v>2005.1999999999998</v>
      </c>
      <c r="I11" s="75">
        <v>150</v>
      </c>
      <c r="J11" s="73">
        <v>125</v>
      </c>
      <c r="K11" s="73">
        <v>100</v>
      </c>
      <c r="L11" s="73">
        <v>2000</v>
      </c>
      <c r="M11" s="86">
        <v>-0.05</v>
      </c>
      <c r="N11" s="87">
        <v>0.05</v>
      </c>
      <c r="O11" s="87">
        <v>0</v>
      </c>
      <c r="P11" s="88">
        <v>-0.05</v>
      </c>
      <c r="Q11" s="76">
        <v>1900</v>
      </c>
      <c r="R11" s="76">
        <v>143</v>
      </c>
      <c r="S11" s="76">
        <v>119</v>
      </c>
      <c r="T11" s="77">
        <v>95</v>
      </c>
      <c r="U11" s="73">
        <v>150</v>
      </c>
      <c r="V11" s="73">
        <v>119</v>
      </c>
      <c r="W11" s="73">
        <v>90</v>
      </c>
      <c r="X11" s="78">
        <v>1886</v>
      </c>
      <c r="Y11" s="61"/>
      <c r="Z11" s="62" t="s">
        <v>53</v>
      </c>
      <c r="AA11" s="63" t="s">
        <v>539</v>
      </c>
      <c r="AB11" s="63">
        <v>373</v>
      </c>
      <c r="AC11" s="89">
        <v>219</v>
      </c>
      <c r="AD11" s="90"/>
      <c r="AE11" s="74">
        <v>2467</v>
      </c>
      <c r="AF11" s="76">
        <v>216</v>
      </c>
      <c r="AG11" s="76">
        <v>247</v>
      </c>
      <c r="AH11" s="79">
        <v>69</v>
      </c>
      <c r="AI11" s="73">
        <v>227</v>
      </c>
      <c r="AJ11" s="73">
        <v>247</v>
      </c>
      <c r="AK11" s="73">
        <v>66</v>
      </c>
      <c r="AL11" s="80">
        <v>2490</v>
      </c>
      <c r="AM11" s="61"/>
      <c r="AN11" s="68" t="s">
        <v>64</v>
      </c>
      <c r="AO11" s="69" t="s">
        <v>70</v>
      </c>
      <c r="AP11" s="70">
        <v>404</v>
      </c>
      <c r="AQ11" s="70">
        <v>29</v>
      </c>
      <c r="AR11" s="70">
        <v>26</v>
      </c>
      <c r="AS11" s="82">
        <v>22</v>
      </c>
      <c r="AT11" s="61"/>
      <c r="AU11" s="71">
        <v>-2086</v>
      </c>
      <c r="AV11" s="72" t="str">
        <v>Déficit</v>
      </c>
      <c r="AW11" s="61"/>
    </row>
    <row r="12" spans="1:84">
      <c r="A12" s="48"/>
      <c r="B12" s="49"/>
      <c r="C12" s="50"/>
      <c r="D12" s="50"/>
      <c r="E12" s="51"/>
      <c r="F12" s="73" t="str">
        <v/>
      </c>
      <c r="G12" s="73" t="str">
        <v/>
      </c>
      <c r="H12" s="74" t="str">
        <v/>
      </c>
      <c r="I12" s="75" t="str">
        <v/>
      </c>
      <c r="J12" s="73" t="str">
        <v/>
      </c>
      <c r="K12" s="73" t="str">
        <v/>
      </c>
      <c r="L12" s="73" t="str">
        <v/>
      </c>
      <c r="M12" s="55"/>
      <c r="N12" s="56"/>
      <c r="O12" s="56"/>
      <c r="P12" s="57"/>
      <c r="Q12" s="76" t="str">
        <v/>
      </c>
      <c r="R12" s="76" t="str">
        <v/>
      </c>
      <c r="S12" s="76" t="str">
        <v/>
      </c>
      <c r="T12" s="77" t="str">
        <v/>
      </c>
      <c r="U12" s="73" t="str">
        <v/>
      </c>
      <c r="V12" s="73" t="str">
        <v/>
      </c>
      <c r="W12" s="73" t="str">
        <v/>
      </c>
      <c r="X12" s="78" t="str">
        <v/>
      </c>
      <c r="Y12" s="61"/>
      <c r="Z12" s="91"/>
      <c r="AA12" s="92"/>
      <c r="AB12" s="92" t="str">
        <v/>
      </c>
      <c r="AC12" s="89" t="str">
        <v/>
      </c>
      <c r="AD12" s="90"/>
      <c r="AE12" s="74" t="str">
        <v/>
      </c>
      <c r="AF12" s="76" t="str">
        <v/>
      </c>
      <c r="AG12" s="76" t="str">
        <v/>
      </c>
      <c r="AH12" s="79" t="str">
        <v/>
      </c>
      <c r="AI12" s="73" t="str">
        <v/>
      </c>
      <c r="AJ12" s="73" t="str">
        <v/>
      </c>
      <c r="AK12" s="73" t="str">
        <v/>
      </c>
      <c r="AL12" s="80" t="str">
        <v/>
      </c>
      <c r="AM12" s="61"/>
      <c r="AN12" s="81"/>
      <c r="AO12" s="70"/>
      <c r="AP12" s="70" t="str">
        <v/>
      </c>
      <c r="AQ12" s="70" t="str">
        <v/>
      </c>
      <c r="AR12" s="70" t="str">
        <v/>
      </c>
      <c r="AS12" s="82" t="str">
        <v/>
      </c>
      <c r="AT12" s="61"/>
      <c r="AU12" s="71" t="str">
        <v/>
      </c>
      <c r="AV12" s="72" t="str">
        <v/>
      </c>
      <c r="AW12" s="61"/>
    </row>
    <row r="13" spans="1:84">
      <c r="A13" s="48"/>
      <c r="B13" s="49"/>
      <c r="C13" s="50"/>
      <c r="D13" s="50"/>
      <c r="E13" s="51"/>
      <c r="F13" s="73" t="str">
        <v/>
      </c>
      <c r="G13" s="73" t="str">
        <v/>
      </c>
      <c r="H13" s="74" t="str">
        <v/>
      </c>
      <c r="I13" s="75" t="str">
        <v/>
      </c>
      <c r="J13" s="73" t="str">
        <v/>
      </c>
      <c r="K13" s="73" t="str">
        <v/>
      </c>
      <c r="L13" s="73" t="str">
        <v/>
      </c>
      <c r="M13" s="55"/>
      <c r="N13" s="56"/>
      <c r="O13" s="56"/>
      <c r="P13" s="57"/>
      <c r="Q13" s="76" t="str">
        <v/>
      </c>
      <c r="R13" s="76" t="str">
        <v/>
      </c>
      <c r="S13" s="76" t="str">
        <v/>
      </c>
      <c r="T13" s="77" t="str">
        <v/>
      </c>
      <c r="U13" s="73" t="str">
        <v/>
      </c>
      <c r="V13" s="73" t="str">
        <v/>
      </c>
      <c r="W13" s="73" t="str">
        <v/>
      </c>
      <c r="X13" s="78" t="str">
        <v/>
      </c>
      <c r="Y13" s="61"/>
      <c r="Z13" s="91"/>
      <c r="AA13" s="92"/>
      <c r="AB13" s="92" t="str">
        <v/>
      </c>
      <c r="AC13" s="89" t="str">
        <v/>
      </c>
      <c r="AD13" s="90"/>
      <c r="AE13" s="74" t="str">
        <v/>
      </c>
      <c r="AF13" s="76" t="str">
        <v/>
      </c>
      <c r="AG13" s="76" t="str">
        <v/>
      </c>
      <c r="AH13" s="79" t="str">
        <v/>
      </c>
      <c r="AI13" s="73" t="str">
        <v/>
      </c>
      <c r="AJ13" s="73" t="str">
        <v/>
      </c>
      <c r="AK13" s="73" t="str">
        <v/>
      </c>
      <c r="AL13" s="80" t="str">
        <v/>
      </c>
      <c r="AM13" s="61"/>
      <c r="AN13" s="81"/>
      <c r="AO13" s="70"/>
      <c r="AP13" s="70" t="str">
        <v/>
      </c>
      <c r="AQ13" s="70" t="str">
        <v/>
      </c>
      <c r="AR13" s="70" t="str">
        <v/>
      </c>
      <c r="AS13" s="82" t="str">
        <v/>
      </c>
      <c r="AT13" s="61"/>
      <c r="AU13" s="71" t="str">
        <v/>
      </c>
      <c r="AV13" s="72" t="str">
        <v/>
      </c>
      <c r="AW13" s="61"/>
    </row>
    <row r="14" spans="1:84">
      <c r="A14" s="48"/>
      <c r="B14" s="49"/>
      <c r="C14" s="50"/>
      <c r="D14" s="50"/>
      <c r="E14" s="51"/>
      <c r="F14" s="73" t="str">
        <v/>
      </c>
      <c r="G14" s="73" t="str">
        <v/>
      </c>
      <c r="H14" s="74" t="str">
        <v/>
      </c>
      <c r="I14" s="75" t="str">
        <v/>
      </c>
      <c r="J14" s="73" t="str">
        <v/>
      </c>
      <c r="K14" s="73" t="str">
        <v/>
      </c>
      <c r="L14" s="73" t="str">
        <v/>
      </c>
      <c r="M14" s="55"/>
      <c r="N14" s="56"/>
      <c r="O14" s="56"/>
      <c r="P14" s="57"/>
      <c r="Q14" s="76" t="str">
        <v/>
      </c>
      <c r="R14" s="76" t="str">
        <v/>
      </c>
      <c r="S14" s="76" t="str">
        <v/>
      </c>
      <c r="T14" s="77" t="str">
        <v/>
      </c>
      <c r="U14" s="73" t="str">
        <v/>
      </c>
      <c r="V14" s="73" t="str">
        <v/>
      </c>
      <c r="W14" s="73" t="str">
        <v/>
      </c>
      <c r="X14" s="78" t="str">
        <v/>
      </c>
      <c r="Y14" s="61"/>
      <c r="Z14" s="91"/>
      <c r="AA14" s="92"/>
      <c r="AB14" s="92" t="str">
        <v/>
      </c>
      <c r="AC14" s="89" t="str">
        <v/>
      </c>
      <c r="AD14" s="90"/>
      <c r="AE14" s="74" t="str">
        <v/>
      </c>
      <c r="AF14" s="76" t="str">
        <v/>
      </c>
      <c r="AG14" s="76" t="str">
        <v/>
      </c>
      <c r="AH14" s="79" t="str">
        <v/>
      </c>
      <c r="AI14" s="73" t="str">
        <v/>
      </c>
      <c r="AJ14" s="73" t="str">
        <v/>
      </c>
      <c r="AK14" s="73" t="str">
        <v/>
      </c>
      <c r="AL14" s="80" t="str">
        <v/>
      </c>
      <c r="AM14" s="61"/>
      <c r="AN14" s="81"/>
      <c r="AO14" s="70"/>
      <c r="AP14" s="70" t="str">
        <v/>
      </c>
      <c r="AQ14" s="70" t="str">
        <v/>
      </c>
      <c r="AR14" s="70" t="str">
        <v/>
      </c>
      <c r="AS14" s="82" t="str">
        <v/>
      </c>
      <c r="AT14" s="61"/>
      <c r="AU14" s="71" t="str">
        <v/>
      </c>
      <c r="AV14" s="72" t="str">
        <v/>
      </c>
      <c r="AW14" s="61"/>
    </row>
    <row r="15" spans="1:84">
      <c r="A15" s="48"/>
      <c r="B15" s="49"/>
      <c r="C15" s="50"/>
      <c r="D15" s="50"/>
      <c r="E15" s="51"/>
      <c r="F15" s="73" t="str">
        <v/>
      </c>
      <c r="G15" s="73" t="str">
        <v/>
      </c>
      <c r="H15" s="74" t="str">
        <v/>
      </c>
      <c r="I15" s="75" t="str">
        <v/>
      </c>
      <c r="J15" s="73" t="str">
        <v/>
      </c>
      <c r="K15" s="73" t="str">
        <v/>
      </c>
      <c r="L15" s="73" t="str">
        <v/>
      </c>
      <c r="M15" s="55"/>
      <c r="N15" s="56"/>
      <c r="O15" s="56"/>
      <c r="P15" s="57"/>
      <c r="Q15" s="76" t="str">
        <v/>
      </c>
      <c r="R15" s="76" t="str">
        <v/>
      </c>
      <c r="S15" s="76" t="str">
        <v/>
      </c>
      <c r="T15" s="77" t="str">
        <v/>
      </c>
      <c r="U15" s="73" t="str">
        <v/>
      </c>
      <c r="V15" s="73" t="str">
        <v/>
      </c>
      <c r="W15" s="73" t="str">
        <v/>
      </c>
      <c r="X15" s="78" t="str">
        <v/>
      </c>
      <c r="Y15" s="61"/>
      <c r="Z15" s="91"/>
      <c r="AA15" s="92"/>
      <c r="AB15" s="92" t="str">
        <v/>
      </c>
      <c r="AC15" s="89" t="str">
        <v/>
      </c>
      <c r="AD15" s="90"/>
      <c r="AE15" s="74" t="str">
        <v/>
      </c>
      <c r="AF15" s="76" t="str">
        <v/>
      </c>
      <c r="AG15" s="76" t="str">
        <v/>
      </c>
      <c r="AH15" s="79" t="str">
        <v/>
      </c>
      <c r="AI15" s="73" t="str">
        <v/>
      </c>
      <c r="AJ15" s="73" t="str">
        <v/>
      </c>
      <c r="AK15" s="73" t="str">
        <v/>
      </c>
      <c r="AL15" s="80" t="str">
        <v/>
      </c>
      <c r="AM15" s="61"/>
      <c r="AN15" s="81"/>
      <c r="AO15" s="70"/>
      <c r="AP15" s="70" t="str">
        <v/>
      </c>
      <c r="AQ15" s="70" t="str">
        <v/>
      </c>
      <c r="AR15" s="70" t="str">
        <v/>
      </c>
      <c r="AS15" s="82" t="str">
        <v/>
      </c>
      <c r="AT15" s="61"/>
      <c r="AU15" s="71" t="str">
        <v/>
      </c>
      <c r="AV15" s="72" t="str">
        <v/>
      </c>
      <c r="AW15" s="61"/>
    </row>
    <row r="16" spans="1:84">
      <c r="A16" s="48"/>
      <c r="B16" s="49"/>
      <c r="C16" s="50"/>
      <c r="D16" s="50"/>
      <c r="E16" s="51"/>
      <c r="F16" s="73" t="str">
        <v/>
      </c>
      <c r="G16" s="73" t="str">
        <v/>
      </c>
      <c r="H16" s="74" t="str">
        <v/>
      </c>
      <c r="I16" s="75" t="str">
        <v/>
      </c>
      <c r="J16" s="73" t="str">
        <v/>
      </c>
      <c r="K16" s="73" t="str">
        <v/>
      </c>
      <c r="L16" s="73" t="str">
        <v/>
      </c>
      <c r="M16" s="55"/>
      <c r="N16" s="56"/>
      <c r="O16" s="56"/>
      <c r="P16" s="57"/>
      <c r="Q16" s="76" t="str">
        <v/>
      </c>
      <c r="R16" s="76" t="str">
        <v/>
      </c>
      <c r="S16" s="76" t="str">
        <v/>
      </c>
      <c r="T16" s="77" t="str">
        <v/>
      </c>
      <c r="U16" s="73" t="str">
        <v/>
      </c>
      <c r="V16" s="73" t="str">
        <v/>
      </c>
      <c r="W16" s="73" t="str">
        <v/>
      </c>
      <c r="X16" s="78" t="str">
        <v/>
      </c>
      <c r="Y16" s="61"/>
      <c r="Z16" s="91"/>
      <c r="AA16" s="92"/>
      <c r="AB16" s="92" t="str">
        <v/>
      </c>
      <c r="AC16" s="89" t="str">
        <v/>
      </c>
      <c r="AD16" s="90"/>
      <c r="AE16" s="74" t="str">
        <v/>
      </c>
      <c r="AF16" s="76" t="str">
        <v/>
      </c>
      <c r="AG16" s="76" t="str">
        <v/>
      </c>
      <c r="AH16" s="79" t="str">
        <v/>
      </c>
      <c r="AI16" s="73" t="str">
        <v/>
      </c>
      <c r="AJ16" s="73" t="str">
        <v/>
      </c>
      <c r="AK16" s="73" t="str">
        <v/>
      </c>
      <c r="AL16" s="80" t="str">
        <v/>
      </c>
      <c r="AM16" s="61"/>
      <c r="AN16" s="81"/>
      <c r="AO16" s="70"/>
      <c r="AP16" s="70" t="str">
        <v/>
      </c>
      <c r="AQ16" s="70" t="str">
        <v/>
      </c>
      <c r="AR16" s="70" t="str">
        <v/>
      </c>
      <c r="AS16" s="82" t="str">
        <v/>
      </c>
      <c r="AT16" s="61"/>
      <c r="AU16" s="71" t="str">
        <v/>
      </c>
      <c r="AV16" s="72" t="str">
        <v/>
      </c>
      <c r="AW16" s="61"/>
    </row>
    <row r="17" spans="1:49">
      <c r="A17" s="48"/>
      <c r="B17" s="49"/>
      <c r="C17" s="50"/>
      <c r="D17" s="50"/>
      <c r="E17" s="51"/>
      <c r="F17" s="73" t="str">
        <v/>
      </c>
      <c r="G17" s="73" t="str">
        <v/>
      </c>
      <c r="H17" s="74" t="str">
        <v/>
      </c>
      <c r="I17" s="75" t="str">
        <v/>
      </c>
      <c r="J17" s="73" t="str">
        <v/>
      </c>
      <c r="K17" s="73" t="str">
        <v/>
      </c>
      <c r="L17" s="73" t="str">
        <v/>
      </c>
      <c r="M17" s="55"/>
      <c r="N17" s="56"/>
      <c r="O17" s="56"/>
      <c r="P17" s="57"/>
      <c r="Q17" s="76" t="str">
        <v/>
      </c>
      <c r="R17" s="76" t="str">
        <v/>
      </c>
      <c r="S17" s="76" t="str">
        <v/>
      </c>
      <c r="T17" s="77" t="str">
        <v/>
      </c>
      <c r="U17" s="73" t="str">
        <v/>
      </c>
      <c r="V17" s="73" t="str">
        <v/>
      </c>
      <c r="W17" s="73" t="str">
        <v/>
      </c>
      <c r="X17" s="78" t="str">
        <v/>
      </c>
      <c r="Y17" s="61"/>
      <c r="Z17" s="91"/>
      <c r="AA17" s="92"/>
      <c r="AB17" s="92" t="str">
        <v/>
      </c>
      <c r="AC17" s="89" t="str">
        <v/>
      </c>
      <c r="AD17" s="90"/>
      <c r="AE17" s="74" t="str">
        <v/>
      </c>
      <c r="AF17" s="76" t="str">
        <v/>
      </c>
      <c r="AG17" s="76" t="str">
        <v/>
      </c>
      <c r="AH17" s="79" t="str">
        <v/>
      </c>
      <c r="AI17" s="73" t="str">
        <v/>
      </c>
      <c r="AJ17" s="73" t="str">
        <v/>
      </c>
      <c r="AK17" s="73" t="str">
        <v/>
      </c>
      <c r="AL17" s="80" t="str">
        <v/>
      </c>
      <c r="AM17" s="61"/>
      <c r="AN17" s="81"/>
      <c r="AO17" s="70"/>
      <c r="AP17" s="70" t="str">
        <v/>
      </c>
      <c r="AQ17" s="70" t="str">
        <v/>
      </c>
      <c r="AR17" s="70" t="str">
        <v/>
      </c>
      <c r="AS17" s="82" t="str">
        <v/>
      </c>
      <c r="AT17" s="61"/>
      <c r="AU17" s="71" t="str">
        <v/>
      </c>
      <c r="AV17" s="72" t="str">
        <v/>
      </c>
      <c r="AW17" s="61"/>
    </row>
    <row r="18" spans="1:49">
      <c r="A18" s="48"/>
      <c r="B18" s="49"/>
      <c r="C18" s="50"/>
      <c r="D18" s="50"/>
      <c r="E18" s="51"/>
      <c r="F18" s="73" t="str">
        <v/>
      </c>
      <c r="G18" s="73" t="str">
        <v/>
      </c>
      <c r="H18" s="74" t="str">
        <v/>
      </c>
      <c r="I18" s="75" t="str">
        <v/>
      </c>
      <c r="J18" s="73" t="str">
        <v/>
      </c>
      <c r="K18" s="73" t="str">
        <v/>
      </c>
      <c r="L18" s="73" t="str">
        <v/>
      </c>
      <c r="M18" s="55"/>
      <c r="N18" s="56"/>
      <c r="O18" s="56"/>
      <c r="P18" s="57"/>
      <c r="Q18" s="76" t="str">
        <v/>
      </c>
      <c r="R18" s="76" t="str">
        <v/>
      </c>
      <c r="S18" s="76" t="str">
        <v/>
      </c>
      <c r="T18" s="77" t="str">
        <v/>
      </c>
      <c r="U18" s="73" t="str">
        <v/>
      </c>
      <c r="V18" s="73" t="str">
        <v/>
      </c>
      <c r="W18" s="73" t="str">
        <v/>
      </c>
      <c r="X18" s="78" t="str">
        <v/>
      </c>
      <c r="Y18" s="61"/>
      <c r="Z18" s="91"/>
      <c r="AA18" s="92"/>
      <c r="AB18" s="92" t="str">
        <v/>
      </c>
      <c r="AC18" s="89" t="str">
        <v/>
      </c>
      <c r="AD18" s="90"/>
      <c r="AE18" s="74" t="str">
        <v/>
      </c>
      <c r="AF18" s="76" t="str">
        <v/>
      </c>
      <c r="AG18" s="76" t="str">
        <v/>
      </c>
      <c r="AH18" s="79" t="str">
        <v/>
      </c>
      <c r="AI18" s="73" t="str">
        <v/>
      </c>
      <c r="AJ18" s="73" t="str">
        <v/>
      </c>
      <c r="AK18" s="73" t="str">
        <v/>
      </c>
      <c r="AL18" s="80" t="str">
        <v/>
      </c>
      <c r="AM18" s="61"/>
      <c r="AN18" s="81"/>
      <c r="AO18" s="70"/>
      <c r="AP18" s="70" t="str">
        <v/>
      </c>
      <c r="AQ18" s="70" t="str">
        <v/>
      </c>
      <c r="AR18" s="70" t="str">
        <v/>
      </c>
      <c r="AS18" s="82" t="str">
        <v/>
      </c>
      <c r="AT18" s="61"/>
      <c r="AU18" s="71" t="str">
        <v/>
      </c>
      <c r="AV18" s="72" t="str">
        <v/>
      </c>
      <c r="AW18" s="61"/>
    </row>
    <row r="19" spans="1:49">
      <c r="A19" s="48"/>
      <c r="B19" s="49"/>
      <c r="C19" s="50"/>
      <c r="D19" s="50"/>
      <c r="E19" s="51"/>
      <c r="F19" s="73" t="str">
        <v/>
      </c>
      <c r="G19" s="73" t="str">
        <v/>
      </c>
      <c r="H19" s="74" t="str">
        <v/>
      </c>
      <c r="I19" s="75" t="str">
        <v/>
      </c>
      <c r="J19" s="73" t="str">
        <v/>
      </c>
      <c r="K19" s="73" t="str">
        <v/>
      </c>
      <c r="L19" s="73" t="str">
        <v/>
      </c>
      <c r="M19" s="55"/>
      <c r="N19" s="56"/>
      <c r="O19" s="56"/>
      <c r="P19" s="57"/>
      <c r="Q19" s="76" t="str">
        <v/>
      </c>
      <c r="R19" s="76" t="str">
        <v/>
      </c>
      <c r="S19" s="76" t="str">
        <v/>
      </c>
      <c r="T19" s="77" t="str">
        <v/>
      </c>
      <c r="U19" s="73" t="str">
        <v/>
      </c>
      <c r="V19" s="73" t="str">
        <v/>
      </c>
      <c r="W19" s="73" t="str">
        <v/>
      </c>
      <c r="X19" s="78" t="str">
        <v/>
      </c>
      <c r="Y19" s="61"/>
      <c r="Z19" s="91"/>
      <c r="AA19" s="92"/>
      <c r="AB19" s="92" t="str">
        <v/>
      </c>
      <c r="AC19" s="89" t="str">
        <v/>
      </c>
      <c r="AD19" s="90"/>
      <c r="AE19" s="74" t="str">
        <v/>
      </c>
      <c r="AF19" s="76" t="str">
        <v/>
      </c>
      <c r="AG19" s="76" t="str">
        <v/>
      </c>
      <c r="AH19" s="79" t="str">
        <v/>
      </c>
      <c r="AI19" s="73" t="str">
        <v/>
      </c>
      <c r="AJ19" s="73" t="str">
        <v/>
      </c>
      <c r="AK19" s="73" t="str">
        <v/>
      </c>
      <c r="AL19" s="80" t="str">
        <v/>
      </c>
      <c r="AM19" s="61"/>
      <c r="AN19" s="81"/>
      <c r="AO19" s="70"/>
      <c r="AP19" s="70" t="str">
        <v/>
      </c>
      <c r="AQ19" s="70" t="str">
        <v/>
      </c>
      <c r="AR19" s="70" t="str">
        <v/>
      </c>
      <c r="AS19" s="82" t="str">
        <v/>
      </c>
      <c r="AT19" s="61"/>
      <c r="AU19" s="71" t="str">
        <v/>
      </c>
      <c r="AV19" s="72" t="str">
        <v/>
      </c>
      <c r="AW19" s="61"/>
    </row>
    <row r="20" spans="1:49">
      <c r="A20" s="48"/>
      <c r="B20" s="49"/>
      <c r="C20" s="50"/>
      <c r="D20" s="50"/>
      <c r="E20" s="51"/>
      <c r="F20" s="73" t="str">
        <v/>
      </c>
      <c r="G20" s="73" t="str">
        <v/>
      </c>
      <c r="H20" s="74" t="str">
        <v/>
      </c>
      <c r="I20" s="75" t="str">
        <v/>
      </c>
      <c r="J20" s="73" t="str">
        <v/>
      </c>
      <c r="K20" s="73" t="str">
        <v/>
      </c>
      <c r="L20" s="73" t="str">
        <v/>
      </c>
      <c r="M20" s="55"/>
      <c r="N20" s="56"/>
      <c r="O20" s="56"/>
      <c r="P20" s="57"/>
      <c r="Q20" s="76" t="str">
        <v/>
      </c>
      <c r="R20" s="76" t="str">
        <v/>
      </c>
      <c r="S20" s="76" t="str">
        <v/>
      </c>
      <c r="T20" s="77" t="str">
        <v/>
      </c>
      <c r="U20" s="73" t="str">
        <v/>
      </c>
      <c r="V20" s="73" t="str">
        <v/>
      </c>
      <c r="W20" s="73" t="str">
        <v/>
      </c>
      <c r="X20" s="78" t="str">
        <v/>
      </c>
      <c r="Y20" s="61"/>
      <c r="Z20" s="91"/>
      <c r="AA20" s="92"/>
      <c r="AB20" s="92" t="str">
        <v/>
      </c>
      <c r="AC20" s="89" t="str">
        <v/>
      </c>
      <c r="AD20" s="90"/>
      <c r="AE20" s="74" t="str">
        <v/>
      </c>
      <c r="AF20" s="76" t="str">
        <v/>
      </c>
      <c r="AG20" s="76" t="str">
        <v/>
      </c>
      <c r="AH20" s="79" t="str">
        <v/>
      </c>
      <c r="AI20" s="73" t="str">
        <v/>
      </c>
      <c r="AJ20" s="73" t="str">
        <v/>
      </c>
      <c r="AK20" s="73" t="str">
        <v/>
      </c>
      <c r="AL20" s="80" t="str">
        <v/>
      </c>
      <c r="AM20" s="61"/>
      <c r="AN20" s="81"/>
      <c r="AO20" s="70"/>
      <c r="AP20" s="70" t="str">
        <v/>
      </c>
      <c r="AQ20" s="70" t="str">
        <v/>
      </c>
      <c r="AR20" s="70" t="str">
        <v/>
      </c>
      <c r="AS20" s="82" t="str">
        <v/>
      </c>
      <c r="AT20" s="61"/>
      <c r="AU20" s="71" t="str">
        <v/>
      </c>
      <c r="AV20" s="72" t="str">
        <v/>
      </c>
      <c r="AW20" s="61"/>
    </row>
    <row r="21" spans="1:49">
      <c r="A21" s="48"/>
      <c r="B21" s="49"/>
      <c r="C21" s="50"/>
      <c r="D21" s="50"/>
      <c r="E21" s="51"/>
      <c r="F21" s="73" t="str">
        <v/>
      </c>
      <c r="G21" s="73" t="str">
        <v/>
      </c>
      <c r="H21" s="74" t="str">
        <v/>
      </c>
      <c r="I21" s="75" t="str">
        <v/>
      </c>
      <c r="J21" s="73" t="str">
        <v/>
      </c>
      <c r="K21" s="73" t="str">
        <v/>
      </c>
      <c r="L21" s="73" t="str">
        <v/>
      </c>
      <c r="M21" s="55"/>
      <c r="N21" s="56"/>
      <c r="O21" s="56"/>
      <c r="P21" s="57"/>
      <c r="Q21" s="76" t="str">
        <v/>
      </c>
      <c r="R21" s="76" t="str">
        <v/>
      </c>
      <c r="S21" s="76" t="str">
        <v/>
      </c>
      <c r="T21" s="77" t="str">
        <v/>
      </c>
      <c r="U21" s="73" t="str">
        <v/>
      </c>
      <c r="V21" s="73" t="str">
        <v/>
      </c>
      <c r="W21" s="73" t="str">
        <v/>
      </c>
      <c r="X21" s="78" t="str">
        <v/>
      </c>
      <c r="Y21" s="61"/>
      <c r="Z21" s="91"/>
      <c r="AA21" s="92"/>
      <c r="AB21" s="92" t="str">
        <v/>
      </c>
      <c r="AC21" s="89" t="str">
        <v/>
      </c>
      <c r="AD21" s="90"/>
      <c r="AE21" s="74" t="str">
        <v/>
      </c>
      <c r="AF21" s="76" t="str">
        <v/>
      </c>
      <c r="AG21" s="76" t="str">
        <v/>
      </c>
      <c r="AH21" s="79" t="str">
        <v/>
      </c>
      <c r="AI21" s="73" t="str">
        <v/>
      </c>
      <c r="AJ21" s="73" t="str">
        <v/>
      </c>
      <c r="AK21" s="73" t="str">
        <v/>
      </c>
      <c r="AL21" s="80" t="str">
        <v/>
      </c>
      <c r="AM21" s="61"/>
      <c r="AN21" s="81"/>
      <c r="AO21" s="70"/>
      <c r="AP21" s="70" t="str">
        <v/>
      </c>
      <c r="AQ21" s="70" t="str">
        <v/>
      </c>
      <c r="AR21" s="70" t="str">
        <v/>
      </c>
      <c r="AS21" s="82" t="str">
        <v/>
      </c>
      <c r="AT21" s="61"/>
      <c r="AU21" s="71" t="str">
        <v/>
      </c>
      <c r="AV21" s="72" t="str">
        <v/>
      </c>
      <c r="AW21" s="61"/>
    </row>
    <row r="22" spans="1:49">
      <c r="A22" s="48"/>
      <c r="B22" s="49"/>
      <c r="C22" s="50"/>
      <c r="D22" s="50"/>
      <c r="E22" s="51"/>
      <c r="F22" s="73" t="str">
        <v/>
      </c>
      <c r="G22" s="73" t="str">
        <v/>
      </c>
      <c r="H22" s="74" t="str">
        <v/>
      </c>
      <c r="I22" s="75" t="str">
        <v/>
      </c>
      <c r="J22" s="73" t="str">
        <v/>
      </c>
      <c r="K22" s="73" t="str">
        <v/>
      </c>
      <c r="L22" s="73" t="str">
        <v/>
      </c>
      <c r="M22" s="55"/>
      <c r="N22" s="56"/>
      <c r="O22" s="56"/>
      <c r="P22" s="57"/>
      <c r="Q22" s="76" t="str">
        <v/>
      </c>
      <c r="R22" s="76" t="str">
        <v/>
      </c>
      <c r="S22" s="76" t="str">
        <v/>
      </c>
      <c r="T22" s="77" t="str">
        <v/>
      </c>
      <c r="U22" s="73" t="str">
        <v/>
      </c>
      <c r="V22" s="73" t="str">
        <v/>
      </c>
      <c r="W22" s="73" t="str">
        <v/>
      </c>
      <c r="X22" s="78" t="str">
        <v/>
      </c>
      <c r="Y22" s="61"/>
      <c r="Z22" s="91"/>
      <c r="AA22" s="92"/>
      <c r="AB22" s="92" t="str">
        <v/>
      </c>
      <c r="AC22" s="89" t="str">
        <v/>
      </c>
      <c r="AD22" s="90"/>
      <c r="AE22" s="74" t="str">
        <v/>
      </c>
      <c r="AF22" s="76" t="str">
        <v/>
      </c>
      <c r="AG22" s="76" t="str">
        <v/>
      </c>
      <c r="AH22" s="79" t="str">
        <v/>
      </c>
      <c r="AI22" s="73" t="str">
        <v/>
      </c>
      <c r="AJ22" s="73" t="str">
        <v/>
      </c>
      <c r="AK22" s="73" t="str">
        <v/>
      </c>
      <c r="AL22" s="80" t="str">
        <v/>
      </c>
      <c r="AM22" s="61"/>
      <c r="AN22" s="81"/>
      <c r="AO22" s="70"/>
      <c r="AP22" s="70" t="str">
        <v/>
      </c>
      <c r="AQ22" s="70" t="str">
        <v/>
      </c>
      <c r="AR22" s="70" t="str">
        <v/>
      </c>
      <c r="AS22" s="82" t="str">
        <v/>
      </c>
      <c r="AT22" s="61"/>
      <c r="AU22" s="71" t="str">
        <v/>
      </c>
      <c r="AV22" s="72" t="str">
        <v/>
      </c>
      <c r="AW22" s="61"/>
    </row>
    <row r="23" spans="1:49">
      <c r="A23" s="48"/>
      <c r="B23" s="49"/>
      <c r="C23" s="50"/>
      <c r="D23" s="50"/>
      <c r="E23" s="51"/>
      <c r="F23" s="73" t="str">
        <v/>
      </c>
      <c r="G23" s="73" t="str">
        <v/>
      </c>
      <c r="H23" s="74" t="str">
        <v/>
      </c>
      <c r="I23" s="75" t="str">
        <v/>
      </c>
      <c r="J23" s="73" t="str">
        <v/>
      </c>
      <c r="K23" s="73" t="str">
        <v/>
      </c>
      <c r="L23" s="73" t="str">
        <v/>
      </c>
      <c r="M23" s="55"/>
      <c r="N23" s="56"/>
      <c r="O23" s="56"/>
      <c r="P23" s="57"/>
      <c r="Q23" s="76" t="str">
        <v/>
      </c>
      <c r="R23" s="76" t="str">
        <v/>
      </c>
      <c r="S23" s="76" t="str">
        <v/>
      </c>
      <c r="T23" s="77" t="str">
        <v/>
      </c>
      <c r="U23" s="73" t="str">
        <v/>
      </c>
      <c r="V23" s="73" t="str">
        <v/>
      </c>
      <c r="W23" s="73" t="str">
        <v/>
      </c>
      <c r="X23" s="78" t="str">
        <v/>
      </c>
      <c r="Y23" s="61"/>
      <c r="Z23" s="91"/>
      <c r="AA23" s="92"/>
      <c r="AB23" s="92" t="str">
        <v/>
      </c>
      <c r="AC23" s="89" t="str">
        <v/>
      </c>
      <c r="AD23" s="90"/>
      <c r="AE23" s="74" t="str">
        <v/>
      </c>
      <c r="AF23" s="76" t="str">
        <v/>
      </c>
      <c r="AG23" s="76" t="str">
        <v/>
      </c>
      <c r="AH23" s="79" t="str">
        <v/>
      </c>
      <c r="AI23" s="73" t="str">
        <v/>
      </c>
      <c r="AJ23" s="73" t="str">
        <v/>
      </c>
      <c r="AK23" s="73" t="str">
        <v/>
      </c>
      <c r="AL23" s="80" t="str">
        <v/>
      </c>
      <c r="AM23" s="61"/>
      <c r="AN23" s="81"/>
      <c r="AO23" s="70"/>
      <c r="AP23" s="70" t="str">
        <v/>
      </c>
      <c r="AQ23" s="70" t="str">
        <v/>
      </c>
      <c r="AR23" s="70" t="str">
        <v/>
      </c>
      <c r="AS23" s="82" t="str">
        <v/>
      </c>
      <c r="AT23" s="61"/>
      <c r="AU23" s="71" t="str">
        <v/>
      </c>
      <c r="AV23" s="72" t="str">
        <v/>
      </c>
      <c r="AW23" s="61"/>
    </row>
    <row r="24" spans="1:49">
      <c r="A24" s="48"/>
      <c r="B24" s="49"/>
      <c r="C24" s="50"/>
      <c r="D24" s="50"/>
      <c r="E24" s="51"/>
      <c r="F24" s="73" t="str">
        <v/>
      </c>
      <c r="G24" s="73" t="str">
        <v/>
      </c>
      <c r="H24" s="74" t="str">
        <v/>
      </c>
      <c r="I24" s="75" t="str">
        <v/>
      </c>
      <c r="J24" s="73" t="str">
        <v/>
      </c>
      <c r="K24" s="73" t="str">
        <v/>
      </c>
      <c r="L24" s="73" t="str">
        <v/>
      </c>
      <c r="M24" s="55"/>
      <c r="N24" s="56"/>
      <c r="O24" s="56"/>
      <c r="P24" s="57"/>
      <c r="Q24" s="76" t="str">
        <v/>
      </c>
      <c r="R24" s="76" t="str">
        <v/>
      </c>
      <c r="S24" s="76" t="str">
        <v/>
      </c>
      <c r="T24" s="77" t="str">
        <v/>
      </c>
      <c r="U24" s="73" t="str">
        <v/>
      </c>
      <c r="V24" s="73" t="str">
        <v/>
      </c>
      <c r="W24" s="73" t="str">
        <v/>
      </c>
      <c r="X24" s="78" t="str">
        <v/>
      </c>
      <c r="Y24" s="61"/>
      <c r="Z24" s="91"/>
      <c r="AA24" s="92"/>
      <c r="AB24" s="92" t="str">
        <v/>
      </c>
      <c r="AC24" s="89" t="str">
        <v/>
      </c>
      <c r="AD24" s="90"/>
      <c r="AE24" s="74" t="str">
        <v/>
      </c>
      <c r="AF24" s="76" t="str">
        <v/>
      </c>
      <c r="AG24" s="76" t="str">
        <v/>
      </c>
      <c r="AH24" s="79" t="str">
        <v/>
      </c>
      <c r="AI24" s="73" t="str">
        <v/>
      </c>
      <c r="AJ24" s="73" t="str">
        <v/>
      </c>
      <c r="AK24" s="73" t="str">
        <v/>
      </c>
      <c r="AL24" s="80" t="str">
        <v/>
      </c>
      <c r="AM24" s="61"/>
      <c r="AN24" s="81"/>
      <c r="AO24" s="70"/>
      <c r="AP24" s="70" t="str">
        <v/>
      </c>
      <c r="AQ24" s="70" t="str">
        <v/>
      </c>
      <c r="AR24" s="70" t="str">
        <v/>
      </c>
      <c r="AS24" s="82" t="str">
        <v/>
      </c>
      <c r="AT24" s="61"/>
      <c r="AU24" s="71" t="str">
        <v/>
      </c>
      <c r="AV24" s="72" t="str">
        <v/>
      </c>
      <c r="AW24" s="61"/>
    </row>
    <row r="25" spans="1:49">
      <c r="A25" s="48"/>
      <c r="B25" s="49"/>
      <c r="C25" s="50"/>
      <c r="D25" s="50"/>
      <c r="E25" s="51"/>
      <c r="F25" s="73" t="str">
        <v/>
      </c>
      <c r="G25" s="73" t="str">
        <v/>
      </c>
      <c r="H25" s="74" t="str">
        <v/>
      </c>
      <c r="I25" s="75" t="str">
        <v/>
      </c>
      <c r="J25" s="73" t="str">
        <v/>
      </c>
      <c r="K25" s="73" t="str">
        <v/>
      </c>
      <c r="L25" s="73" t="str">
        <v/>
      </c>
      <c r="M25" s="55"/>
      <c r="N25" s="56"/>
      <c r="O25" s="56"/>
      <c r="P25" s="57"/>
      <c r="Q25" s="76" t="str">
        <v/>
      </c>
      <c r="R25" s="76" t="str">
        <v/>
      </c>
      <c r="S25" s="76" t="str">
        <v/>
      </c>
      <c r="T25" s="77" t="str">
        <v/>
      </c>
      <c r="U25" s="73" t="str">
        <v/>
      </c>
      <c r="V25" s="73" t="str">
        <v/>
      </c>
      <c r="W25" s="73" t="str">
        <v/>
      </c>
      <c r="X25" s="78" t="str">
        <v/>
      </c>
      <c r="Y25" s="61"/>
      <c r="Z25" s="91"/>
      <c r="AA25" s="92"/>
      <c r="AB25" s="92" t="str">
        <v/>
      </c>
      <c r="AC25" s="89" t="str">
        <v/>
      </c>
      <c r="AD25" s="90"/>
      <c r="AE25" s="74" t="str">
        <v/>
      </c>
      <c r="AF25" s="76" t="str">
        <v/>
      </c>
      <c r="AG25" s="76" t="str">
        <v/>
      </c>
      <c r="AH25" s="79" t="str">
        <v/>
      </c>
      <c r="AI25" s="73" t="str">
        <v/>
      </c>
      <c r="AJ25" s="73" t="str">
        <v/>
      </c>
      <c r="AK25" s="73" t="str">
        <v/>
      </c>
      <c r="AL25" s="80" t="str">
        <v/>
      </c>
      <c r="AM25" s="61"/>
      <c r="AN25" s="81"/>
      <c r="AO25" s="70"/>
      <c r="AP25" s="70" t="str">
        <v/>
      </c>
      <c r="AQ25" s="70" t="str">
        <v/>
      </c>
      <c r="AR25" s="70" t="str">
        <v/>
      </c>
      <c r="AS25" s="82" t="str">
        <v/>
      </c>
      <c r="AT25" s="61"/>
      <c r="AU25" s="71" t="str">
        <v/>
      </c>
      <c r="AV25" s="72" t="str">
        <v/>
      </c>
      <c r="AW25" s="61"/>
    </row>
    <row r="26" spans="1:49">
      <c r="A26" s="48"/>
      <c r="B26" s="49"/>
      <c r="C26" s="50"/>
      <c r="D26" s="50"/>
      <c r="E26" s="51"/>
      <c r="F26" s="73" t="str">
        <v/>
      </c>
      <c r="G26" s="73" t="str">
        <v/>
      </c>
      <c r="H26" s="74" t="str">
        <v/>
      </c>
      <c r="I26" s="75" t="str">
        <v/>
      </c>
      <c r="J26" s="73" t="str">
        <v/>
      </c>
      <c r="K26" s="73" t="str">
        <v/>
      </c>
      <c r="L26" s="73" t="str">
        <v/>
      </c>
      <c r="M26" s="55"/>
      <c r="N26" s="56"/>
      <c r="O26" s="56"/>
      <c r="P26" s="57"/>
      <c r="Q26" s="76" t="str">
        <v/>
      </c>
      <c r="R26" s="76" t="str">
        <v/>
      </c>
      <c r="S26" s="76" t="str">
        <v/>
      </c>
      <c r="T26" s="77" t="str">
        <v/>
      </c>
      <c r="U26" s="73" t="str">
        <v/>
      </c>
      <c r="V26" s="73" t="str">
        <v/>
      </c>
      <c r="W26" s="73" t="str">
        <v/>
      </c>
      <c r="X26" s="78" t="str">
        <v/>
      </c>
      <c r="Y26" s="61"/>
      <c r="Z26" s="91"/>
      <c r="AA26" s="92"/>
      <c r="AB26" s="92" t="str">
        <v/>
      </c>
      <c r="AC26" s="89" t="str">
        <v/>
      </c>
      <c r="AD26" s="90"/>
      <c r="AE26" s="74" t="str">
        <v/>
      </c>
      <c r="AF26" s="76" t="str">
        <v/>
      </c>
      <c r="AG26" s="76" t="str">
        <v/>
      </c>
      <c r="AH26" s="79" t="str">
        <v/>
      </c>
      <c r="AI26" s="73" t="str">
        <v/>
      </c>
      <c r="AJ26" s="73" t="str">
        <v/>
      </c>
      <c r="AK26" s="73" t="str">
        <v/>
      </c>
      <c r="AL26" s="80" t="str">
        <v/>
      </c>
      <c r="AM26" s="61"/>
      <c r="AN26" s="81"/>
      <c r="AO26" s="70"/>
      <c r="AP26" s="70" t="str">
        <v/>
      </c>
      <c r="AQ26" s="70" t="str">
        <v/>
      </c>
      <c r="AR26" s="70" t="str">
        <v/>
      </c>
      <c r="AS26" s="82" t="str">
        <v/>
      </c>
      <c r="AT26" s="61"/>
      <c r="AU26" s="71" t="str">
        <v/>
      </c>
      <c r="AV26" s="72" t="str">
        <v/>
      </c>
      <c r="AW26" s="61"/>
    </row>
    <row r="27" spans="1:49">
      <c r="A27" s="48"/>
      <c r="B27" s="49"/>
      <c r="C27" s="50"/>
      <c r="D27" s="50"/>
      <c r="E27" s="51"/>
      <c r="F27" s="73" t="str">
        <v/>
      </c>
      <c r="G27" s="73" t="str">
        <v/>
      </c>
      <c r="H27" s="74" t="str">
        <v/>
      </c>
      <c r="I27" s="75" t="str">
        <v/>
      </c>
      <c r="J27" s="73" t="str">
        <v/>
      </c>
      <c r="K27" s="73" t="str">
        <v/>
      </c>
      <c r="L27" s="73" t="str">
        <v/>
      </c>
      <c r="M27" s="55"/>
      <c r="N27" s="56"/>
      <c r="O27" s="56"/>
      <c r="P27" s="57"/>
      <c r="Q27" s="76" t="str">
        <v/>
      </c>
      <c r="R27" s="76" t="str">
        <v/>
      </c>
      <c r="S27" s="76" t="str">
        <v/>
      </c>
      <c r="T27" s="77" t="str">
        <v/>
      </c>
      <c r="U27" s="73" t="str">
        <v/>
      </c>
      <c r="V27" s="73" t="str">
        <v/>
      </c>
      <c r="W27" s="73" t="str">
        <v/>
      </c>
      <c r="X27" s="78" t="str">
        <v/>
      </c>
      <c r="Y27" s="61"/>
      <c r="Z27" s="91"/>
      <c r="AA27" s="92"/>
      <c r="AB27" s="92" t="str">
        <v/>
      </c>
      <c r="AC27" s="89" t="str">
        <v/>
      </c>
      <c r="AD27" s="90"/>
      <c r="AE27" s="74" t="str">
        <v/>
      </c>
      <c r="AF27" s="76" t="str">
        <v/>
      </c>
      <c r="AG27" s="76" t="str">
        <v/>
      </c>
      <c r="AH27" s="79" t="str">
        <v/>
      </c>
      <c r="AI27" s="73" t="str">
        <v/>
      </c>
      <c r="AJ27" s="73" t="str">
        <v/>
      </c>
      <c r="AK27" s="73" t="str">
        <v/>
      </c>
      <c r="AL27" s="80" t="str">
        <v/>
      </c>
      <c r="AM27" s="61"/>
      <c r="AN27" s="81"/>
      <c r="AO27" s="70"/>
      <c r="AP27" s="70" t="str">
        <v/>
      </c>
      <c r="AQ27" s="70" t="str">
        <v/>
      </c>
      <c r="AR27" s="70" t="str">
        <v/>
      </c>
      <c r="AS27" s="82" t="str">
        <v/>
      </c>
      <c r="AT27" s="61"/>
      <c r="AU27" s="71" t="str">
        <v/>
      </c>
      <c r="AV27" s="72" t="str">
        <v/>
      </c>
      <c r="AW27" s="61"/>
    </row>
    <row r="28" spans="1:49">
      <c r="A28" s="48"/>
      <c r="B28" s="49"/>
      <c r="C28" s="50"/>
      <c r="D28" s="50"/>
      <c r="E28" s="51"/>
      <c r="F28" s="73" t="str">
        <v/>
      </c>
      <c r="G28" s="73" t="str">
        <v/>
      </c>
      <c r="H28" s="74" t="str">
        <v/>
      </c>
      <c r="I28" s="75" t="str">
        <v/>
      </c>
      <c r="J28" s="73" t="str">
        <v/>
      </c>
      <c r="K28" s="73" t="str">
        <v/>
      </c>
      <c r="L28" s="73" t="str">
        <v/>
      </c>
      <c r="M28" s="55"/>
      <c r="N28" s="56"/>
      <c r="O28" s="56"/>
      <c r="P28" s="57"/>
      <c r="Q28" s="76" t="str">
        <v/>
      </c>
      <c r="R28" s="76" t="str">
        <v/>
      </c>
      <c r="S28" s="76" t="str">
        <v/>
      </c>
      <c r="T28" s="77" t="str">
        <v/>
      </c>
      <c r="U28" s="73" t="str">
        <v/>
      </c>
      <c r="V28" s="73" t="str">
        <v/>
      </c>
      <c r="W28" s="73" t="str">
        <v/>
      </c>
      <c r="X28" s="78" t="str">
        <v/>
      </c>
      <c r="Y28" s="61"/>
      <c r="Z28" s="91"/>
      <c r="AA28" s="92"/>
      <c r="AB28" s="92" t="str">
        <v/>
      </c>
      <c r="AC28" s="89" t="str">
        <v/>
      </c>
      <c r="AD28" s="90"/>
      <c r="AE28" s="74" t="str">
        <v/>
      </c>
      <c r="AF28" s="76" t="str">
        <v/>
      </c>
      <c r="AG28" s="76" t="str">
        <v/>
      </c>
      <c r="AH28" s="79" t="str">
        <v/>
      </c>
      <c r="AI28" s="73" t="str">
        <v/>
      </c>
      <c r="AJ28" s="73" t="str">
        <v/>
      </c>
      <c r="AK28" s="73" t="str">
        <v/>
      </c>
      <c r="AL28" s="80" t="str">
        <v/>
      </c>
      <c r="AM28" s="61"/>
      <c r="AN28" s="81"/>
      <c r="AO28" s="70"/>
      <c r="AP28" s="70" t="str">
        <v/>
      </c>
      <c r="AQ28" s="70" t="str">
        <v/>
      </c>
      <c r="AR28" s="70" t="str">
        <v/>
      </c>
      <c r="AS28" s="82" t="str">
        <v/>
      </c>
      <c r="AT28" s="61"/>
      <c r="AU28" s="71" t="str">
        <v/>
      </c>
      <c r="AV28" s="72" t="str">
        <v/>
      </c>
      <c r="AW28" s="61"/>
    </row>
    <row r="29" spans="1:49">
      <c r="A29" s="48"/>
      <c r="B29" s="49"/>
      <c r="C29" s="50"/>
      <c r="D29" s="50"/>
      <c r="E29" s="51"/>
      <c r="F29" s="73" t="str">
        <v/>
      </c>
      <c r="G29" s="73" t="str">
        <v/>
      </c>
      <c r="H29" s="74" t="str">
        <v/>
      </c>
      <c r="I29" s="75" t="str">
        <v/>
      </c>
      <c r="J29" s="73" t="str">
        <v/>
      </c>
      <c r="K29" s="73" t="str">
        <v/>
      </c>
      <c r="L29" s="73" t="str">
        <v/>
      </c>
      <c r="M29" s="55"/>
      <c r="N29" s="56"/>
      <c r="O29" s="56"/>
      <c r="P29" s="57"/>
      <c r="Q29" s="76" t="str">
        <v/>
      </c>
      <c r="R29" s="76" t="str">
        <v/>
      </c>
      <c r="S29" s="76" t="str">
        <v/>
      </c>
      <c r="T29" s="77" t="str">
        <v/>
      </c>
      <c r="U29" s="73" t="str">
        <v/>
      </c>
      <c r="V29" s="73" t="str">
        <v/>
      </c>
      <c r="W29" s="73" t="str">
        <v/>
      </c>
      <c r="X29" s="78" t="str">
        <v/>
      </c>
      <c r="Y29" s="61"/>
      <c r="Z29" s="91"/>
      <c r="AA29" s="92"/>
      <c r="AB29" s="92" t="str">
        <v/>
      </c>
      <c r="AC29" s="89" t="str">
        <v/>
      </c>
      <c r="AD29" s="90"/>
      <c r="AE29" s="74" t="str">
        <v/>
      </c>
      <c r="AF29" s="76" t="str">
        <v/>
      </c>
      <c r="AG29" s="76" t="str">
        <v/>
      </c>
      <c r="AH29" s="79" t="str">
        <v/>
      </c>
      <c r="AI29" s="73" t="str">
        <v/>
      </c>
      <c r="AJ29" s="73" t="str">
        <v/>
      </c>
      <c r="AK29" s="73" t="str">
        <v/>
      </c>
      <c r="AL29" s="80" t="str">
        <v/>
      </c>
      <c r="AM29" s="61"/>
      <c r="AN29" s="81"/>
      <c r="AO29" s="70"/>
      <c r="AP29" s="70" t="str">
        <v/>
      </c>
      <c r="AQ29" s="70" t="str">
        <v/>
      </c>
      <c r="AR29" s="70" t="str">
        <v/>
      </c>
      <c r="AS29" s="82" t="str">
        <v/>
      </c>
      <c r="AT29" s="61"/>
      <c r="AU29" s="71" t="str">
        <v/>
      </c>
      <c r="AV29" s="72" t="str">
        <v/>
      </c>
      <c r="AW29" s="61"/>
    </row>
    <row r="30" spans="1:49">
      <c r="A30" s="48"/>
      <c r="B30" s="49"/>
      <c r="C30" s="50"/>
      <c r="D30" s="50"/>
      <c r="E30" s="51"/>
      <c r="F30" s="73" t="str">
        <v/>
      </c>
      <c r="G30" s="73" t="str">
        <v/>
      </c>
      <c r="H30" s="74" t="str">
        <v/>
      </c>
      <c r="I30" s="75" t="str">
        <v/>
      </c>
      <c r="J30" s="73" t="str">
        <v/>
      </c>
      <c r="K30" s="73" t="str">
        <v/>
      </c>
      <c r="L30" s="73" t="str">
        <v/>
      </c>
      <c r="M30" s="55"/>
      <c r="N30" s="56"/>
      <c r="O30" s="56"/>
      <c r="P30" s="57"/>
      <c r="Q30" s="76" t="str">
        <v/>
      </c>
      <c r="R30" s="76" t="str">
        <v/>
      </c>
      <c r="S30" s="76" t="str">
        <v/>
      </c>
      <c r="T30" s="77" t="str">
        <v/>
      </c>
      <c r="U30" s="73" t="str">
        <v/>
      </c>
      <c r="V30" s="73" t="str">
        <v/>
      </c>
      <c r="W30" s="73" t="str">
        <v/>
      </c>
      <c r="X30" s="78" t="str">
        <v/>
      </c>
      <c r="Y30" s="61"/>
      <c r="Z30" s="91"/>
      <c r="AA30" s="92"/>
      <c r="AB30" s="92" t="str">
        <v/>
      </c>
      <c r="AC30" s="89" t="str">
        <v/>
      </c>
      <c r="AD30" s="90"/>
      <c r="AE30" s="74" t="str">
        <v/>
      </c>
      <c r="AF30" s="76" t="str">
        <v/>
      </c>
      <c r="AG30" s="76" t="str">
        <v/>
      </c>
      <c r="AH30" s="79" t="str">
        <v/>
      </c>
      <c r="AI30" s="73" t="str">
        <v/>
      </c>
      <c r="AJ30" s="73" t="str">
        <v/>
      </c>
      <c r="AK30" s="73" t="str">
        <v/>
      </c>
      <c r="AL30" s="80" t="str">
        <v/>
      </c>
      <c r="AM30" s="61"/>
      <c r="AN30" s="81"/>
      <c r="AO30" s="70"/>
      <c r="AP30" s="70" t="str">
        <v/>
      </c>
      <c r="AQ30" s="70" t="str">
        <v/>
      </c>
      <c r="AR30" s="70" t="str">
        <v/>
      </c>
      <c r="AS30" s="82" t="str">
        <v/>
      </c>
      <c r="AT30" s="61"/>
      <c r="AU30" s="71" t="str">
        <v/>
      </c>
      <c r="AV30" s="72" t="str">
        <v/>
      </c>
      <c r="AW30" s="61"/>
    </row>
    <row r="31" spans="1:49">
      <c r="A31" s="48"/>
      <c r="B31" s="49"/>
      <c r="C31" s="50"/>
      <c r="D31" s="50"/>
      <c r="E31" s="51"/>
      <c r="F31" s="73" t="str">
        <v/>
      </c>
      <c r="G31" s="73" t="str">
        <v/>
      </c>
      <c r="H31" s="74" t="str">
        <v/>
      </c>
      <c r="I31" s="75" t="str">
        <v/>
      </c>
      <c r="J31" s="73" t="str">
        <v/>
      </c>
      <c r="K31" s="73" t="str">
        <v/>
      </c>
      <c r="L31" s="73" t="str">
        <v/>
      </c>
      <c r="M31" s="55"/>
      <c r="N31" s="56"/>
      <c r="O31" s="56"/>
      <c r="P31" s="57"/>
      <c r="Q31" s="76" t="str">
        <v/>
      </c>
      <c r="R31" s="76" t="str">
        <v/>
      </c>
      <c r="S31" s="76" t="str">
        <v/>
      </c>
      <c r="T31" s="77" t="str">
        <v/>
      </c>
      <c r="U31" s="73" t="str">
        <v/>
      </c>
      <c r="V31" s="73" t="str">
        <v/>
      </c>
      <c r="W31" s="73" t="str">
        <v/>
      </c>
      <c r="X31" s="78" t="str">
        <v/>
      </c>
      <c r="Y31" s="61"/>
      <c r="Z31" s="91"/>
      <c r="AA31" s="92"/>
      <c r="AB31" s="92" t="str">
        <v/>
      </c>
      <c r="AC31" s="89" t="str">
        <v/>
      </c>
      <c r="AD31" s="90"/>
      <c r="AE31" s="74" t="str">
        <v/>
      </c>
      <c r="AF31" s="76" t="str">
        <v/>
      </c>
      <c r="AG31" s="76" t="str">
        <v/>
      </c>
      <c r="AH31" s="79" t="str">
        <v/>
      </c>
      <c r="AI31" s="73" t="str">
        <v/>
      </c>
      <c r="AJ31" s="73" t="str">
        <v/>
      </c>
      <c r="AK31" s="73" t="str">
        <v/>
      </c>
      <c r="AL31" s="80" t="str">
        <v/>
      </c>
      <c r="AM31" s="61"/>
      <c r="AN31" s="81"/>
      <c r="AO31" s="70"/>
      <c r="AP31" s="70" t="str">
        <v/>
      </c>
      <c r="AQ31" s="70" t="str">
        <v/>
      </c>
      <c r="AR31" s="70" t="str">
        <v/>
      </c>
      <c r="AS31" s="82" t="str">
        <v/>
      </c>
      <c r="AT31" s="61"/>
      <c r="AU31" s="71" t="str">
        <v/>
      </c>
      <c r="AV31" s="72" t="str">
        <v/>
      </c>
      <c r="AW31" s="61"/>
    </row>
    <row r="32" spans="1:49">
      <c r="A32" s="48"/>
      <c r="B32" s="49"/>
      <c r="C32" s="50"/>
      <c r="D32" s="50"/>
      <c r="E32" s="51"/>
      <c r="F32" s="73" t="str">
        <v/>
      </c>
      <c r="G32" s="73" t="str">
        <v/>
      </c>
      <c r="H32" s="74" t="str">
        <v/>
      </c>
      <c r="I32" s="75" t="str">
        <v/>
      </c>
      <c r="J32" s="73" t="str">
        <v/>
      </c>
      <c r="K32" s="73" t="str">
        <v/>
      </c>
      <c r="L32" s="73" t="str">
        <v/>
      </c>
      <c r="M32" s="55"/>
      <c r="N32" s="56"/>
      <c r="O32" s="56"/>
      <c r="P32" s="57"/>
      <c r="Q32" s="76" t="str">
        <v/>
      </c>
      <c r="R32" s="76" t="str">
        <v/>
      </c>
      <c r="S32" s="76" t="str">
        <v/>
      </c>
      <c r="T32" s="77" t="str">
        <v/>
      </c>
      <c r="U32" s="73" t="str">
        <v/>
      </c>
      <c r="V32" s="73" t="str">
        <v/>
      </c>
      <c r="W32" s="73" t="str">
        <v/>
      </c>
      <c r="X32" s="78" t="str">
        <v/>
      </c>
      <c r="Y32" s="61"/>
      <c r="Z32" s="91"/>
      <c r="AA32" s="92"/>
      <c r="AB32" s="92" t="str">
        <v/>
      </c>
      <c r="AC32" s="89" t="str">
        <v/>
      </c>
      <c r="AD32" s="90"/>
      <c r="AE32" s="74" t="str">
        <v/>
      </c>
      <c r="AF32" s="76" t="str">
        <v/>
      </c>
      <c r="AG32" s="76" t="str">
        <v/>
      </c>
      <c r="AH32" s="79" t="str">
        <v/>
      </c>
      <c r="AI32" s="73" t="str">
        <v/>
      </c>
      <c r="AJ32" s="73" t="str">
        <v/>
      </c>
      <c r="AK32" s="73" t="str">
        <v/>
      </c>
      <c r="AL32" s="80" t="str">
        <v/>
      </c>
      <c r="AM32" s="61"/>
      <c r="AN32" s="81"/>
      <c r="AO32" s="70"/>
      <c r="AP32" s="70" t="str">
        <v/>
      </c>
      <c r="AQ32" s="70" t="str">
        <v/>
      </c>
      <c r="AR32" s="70" t="str">
        <v/>
      </c>
      <c r="AS32" s="82" t="str">
        <v/>
      </c>
      <c r="AT32" s="61"/>
      <c r="AU32" s="71" t="str">
        <v/>
      </c>
      <c r="AV32" s="72" t="str">
        <v/>
      </c>
      <c r="AW32" s="61"/>
    </row>
    <row r="33" spans="1:49">
      <c r="A33" s="48"/>
      <c r="B33" s="49"/>
      <c r="C33" s="50"/>
      <c r="D33" s="50"/>
      <c r="E33" s="51"/>
      <c r="F33" s="73" t="str">
        <v/>
      </c>
      <c r="G33" s="73" t="str">
        <v/>
      </c>
      <c r="H33" s="74" t="str">
        <v/>
      </c>
      <c r="I33" s="75" t="str">
        <v/>
      </c>
      <c r="J33" s="73" t="str">
        <v/>
      </c>
      <c r="K33" s="73" t="str">
        <v/>
      </c>
      <c r="L33" s="73" t="str">
        <v/>
      </c>
      <c r="M33" s="55"/>
      <c r="N33" s="56"/>
      <c r="O33" s="56"/>
      <c r="P33" s="57"/>
      <c r="Q33" s="76" t="str">
        <v/>
      </c>
      <c r="R33" s="76" t="str">
        <v/>
      </c>
      <c r="S33" s="76" t="str">
        <v/>
      </c>
      <c r="T33" s="77" t="str">
        <v/>
      </c>
      <c r="U33" s="73" t="str">
        <v/>
      </c>
      <c r="V33" s="73" t="str">
        <v/>
      </c>
      <c r="W33" s="73" t="str">
        <v/>
      </c>
      <c r="X33" s="78" t="str">
        <v/>
      </c>
      <c r="Y33" s="61"/>
      <c r="Z33" s="91"/>
      <c r="AA33" s="92"/>
      <c r="AB33" s="92" t="str">
        <v/>
      </c>
      <c r="AC33" s="89" t="str">
        <v/>
      </c>
      <c r="AD33" s="90"/>
      <c r="AE33" s="74" t="str">
        <v/>
      </c>
      <c r="AF33" s="76" t="str">
        <v/>
      </c>
      <c r="AG33" s="76" t="str">
        <v/>
      </c>
      <c r="AH33" s="79" t="str">
        <v/>
      </c>
      <c r="AI33" s="73" t="str">
        <v/>
      </c>
      <c r="AJ33" s="73" t="str">
        <v/>
      </c>
      <c r="AK33" s="73" t="str">
        <v/>
      </c>
      <c r="AL33" s="80" t="str">
        <v/>
      </c>
      <c r="AM33" s="61"/>
      <c r="AN33" s="81"/>
      <c r="AO33" s="70"/>
      <c r="AP33" s="70" t="str">
        <v/>
      </c>
      <c r="AQ33" s="70" t="str">
        <v/>
      </c>
      <c r="AR33" s="70" t="str">
        <v/>
      </c>
      <c r="AS33" s="82" t="str">
        <v/>
      </c>
      <c r="AT33" s="61"/>
      <c r="AU33" s="71" t="str">
        <v/>
      </c>
      <c r="AV33" s="72" t="str">
        <v/>
      </c>
      <c r="AW33" s="61"/>
    </row>
    <row r="34" spans="1:49">
      <c r="A34" s="48"/>
      <c r="B34" s="49"/>
      <c r="C34" s="50"/>
      <c r="D34" s="50"/>
      <c r="E34" s="51"/>
      <c r="F34" s="73" t="str">
        <v/>
      </c>
      <c r="G34" s="73" t="str">
        <v/>
      </c>
      <c r="H34" s="74" t="str">
        <v/>
      </c>
      <c r="I34" s="75" t="str">
        <v/>
      </c>
      <c r="J34" s="73" t="str">
        <v/>
      </c>
      <c r="K34" s="73" t="str">
        <v/>
      </c>
      <c r="L34" s="73" t="str">
        <v/>
      </c>
      <c r="M34" s="55"/>
      <c r="N34" s="56"/>
      <c r="O34" s="56"/>
      <c r="P34" s="57"/>
      <c r="Q34" s="76" t="str">
        <v/>
      </c>
      <c r="R34" s="76" t="str">
        <v/>
      </c>
      <c r="S34" s="76" t="str">
        <v/>
      </c>
      <c r="T34" s="77" t="str">
        <v/>
      </c>
      <c r="U34" s="73" t="str">
        <v/>
      </c>
      <c r="V34" s="73" t="str">
        <v/>
      </c>
      <c r="W34" s="73" t="str">
        <v/>
      </c>
      <c r="X34" s="78" t="str">
        <v/>
      </c>
      <c r="Y34" s="61"/>
      <c r="Z34" s="91"/>
      <c r="AA34" s="92"/>
      <c r="AB34" s="92" t="str">
        <v/>
      </c>
      <c r="AC34" s="89" t="str">
        <v/>
      </c>
      <c r="AD34" s="90"/>
      <c r="AE34" s="74" t="str">
        <v/>
      </c>
      <c r="AF34" s="76" t="str">
        <v/>
      </c>
      <c r="AG34" s="76" t="str">
        <v/>
      </c>
      <c r="AH34" s="79" t="str">
        <v/>
      </c>
      <c r="AI34" s="73" t="str">
        <v/>
      </c>
      <c r="AJ34" s="73" t="str">
        <v/>
      </c>
      <c r="AK34" s="73" t="str">
        <v/>
      </c>
      <c r="AL34" s="80" t="str">
        <v/>
      </c>
      <c r="AM34" s="61"/>
      <c r="AN34" s="81"/>
      <c r="AO34" s="70"/>
      <c r="AP34" s="70" t="str">
        <v/>
      </c>
      <c r="AQ34" s="70" t="str">
        <v/>
      </c>
      <c r="AR34" s="70" t="str">
        <v/>
      </c>
      <c r="AS34" s="82" t="str">
        <v/>
      </c>
      <c r="AT34" s="61"/>
      <c r="AU34" s="71" t="str">
        <v/>
      </c>
      <c r="AV34" s="72" t="str">
        <v/>
      </c>
      <c r="AW34" s="61"/>
    </row>
    <row r="35" spans="1:49">
      <c r="A35" s="48"/>
      <c r="B35" s="49"/>
      <c r="C35" s="50"/>
      <c r="D35" s="50"/>
      <c r="E35" s="51"/>
      <c r="F35" s="73" t="str">
        <v/>
      </c>
      <c r="G35" s="73" t="str">
        <v/>
      </c>
      <c r="H35" s="74" t="str">
        <v/>
      </c>
      <c r="I35" s="75" t="str">
        <v/>
      </c>
      <c r="J35" s="73" t="str">
        <v/>
      </c>
      <c r="K35" s="73" t="str">
        <v/>
      </c>
      <c r="L35" s="73" t="str">
        <v/>
      </c>
      <c r="M35" s="55"/>
      <c r="N35" s="56"/>
      <c r="O35" s="56"/>
      <c r="P35" s="57"/>
      <c r="Q35" s="76" t="str">
        <v/>
      </c>
      <c r="R35" s="76" t="str">
        <v/>
      </c>
      <c r="S35" s="76" t="str">
        <v/>
      </c>
      <c r="T35" s="77" t="str">
        <v/>
      </c>
      <c r="U35" s="73" t="str">
        <v/>
      </c>
      <c r="V35" s="73" t="str">
        <v/>
      </c>
      <c r="W35" s="73" t="str">
        <v/>
      </c>
      <c r="X35" s="78" t="str">
        <v/>
      </c>
      <c r="Y35" s="61"/>
      <c r="Z35" s="91"/>
      <c r="AA35" s="92"/>
      <c r="AB35" s="92" t="str">
        <v/>
      </c>
      <c r="AC35" s="89" t="str">
        <v/>
      </c>
      <c r="AD35" s="90"/>
      <c r="AE35" s="74" t="str">
        <v/>
      </c>
      <c r="AF35" s="76" t="str">
        <v/>
      </c>
      <c r="AG35" s="76" t="str">
        <v/>
      </c>
      <c r="AH35" s="79" t="str">
        <v/>
      </c>
      <c r="AI35" s="73" t="str">
        <v/>
      </c>
      <c r="AJ35" s="73" t="str">
        <v/>
      </c>
      <c r="AK35" s="73" t="str">
        <v/>
      </c>
      <c r="AL35" s="80" t="str">
        <v/>
      </c>
      <c r="AM35" s="61"/>
      <c r="AN35" s="81"/>
      <c r="AO35" s="70"/>
      <c r="AP35" s="70" t="str">
        <v/>
      </c>
      <c r="AQ35" s="70" t="str">
        <v/>
      </c>
      <c r="AR35" s="70" t="str">
        <v/>
      </c>
      <c r="AS35" s="82" t="str">
        <v/>
      </c>
      <c r="AT35" s="61"/>
      <c r="AU35" s="71" t="str">
        <v/>
      </c>
      <c r="AV35" s="72" t="str">
        <v/>
      </c>
      <c r="AW35" s="61"/>
    </row>
    <row r="36" spans="1:49">
      <c r="A36" s="48"/>
      <c r="B36" s="49"/>
      <c r="C36" s="50"/>
      <c r="D36" s="50"/>
      <c r="E36" s="51"/>
      <c r="F36" s="73" t="str">
        <v/>
      </c>
      <c r="G36" s="73" t="str">
        <v/>
      </c>
      <c r="H36" s="74" t="str">
        <v/>
      </c>
      <c r="I36" s="75" t="str">
        <v/>
      </c>
      <c r="J36" s="73" t="str">
        <v/>
      </c>
      <c r="K36" s="73" t="str">
        <v/>
      </c>
      <c r="L36" s="73" t="str">
        <v/>
      </c>
      <c r="M36" s="55"/>
      <c r="N36" s="56"/>
      <c r="O36" s="56"/>
      <c r="P36" s="57"/>
      <c r="Q36" s="76" t="str">
        <v/>
      </c>
      <c r="R36" s="76" t="str">
        <v/>
      </c>
      <c r="S36" s="76" t="str">
        <v/>
      </c>
      <c r="T36" s="77" t="str">
        <v/>
      </c>
      <c r="U36" s="73" t="str">
        <v/>
      </c>
      <c r="V36" s="73" t="str">
        <v/>
      </c>
      <c r="W36" s="73" t="str">
        <v/>
      </c>
      <c r="X36" s="78" t="str">
        <v/>
      </c>
      <c r="Y36" s="61"/>
      <c r="Z36" s="91"/>
      <c r="AA36" s="92"/>
      <c r="AB36" s="92" t="str">
        <v/>
      </c>
      <c r="AC36" s="89" t="str">
        <v/>
      </c>
      <c r="AD36" s="90"/>
      <c r="AE36" s="74" t="str">
        <v/>
      </c>
      <c r="AF36" s="76" t="str">
        <v/>
      </c>
      <c r="AG36" s="76" t="str">
        <v/>
      </c>
      <c r="AH36" s="79" t="str">
        <v/>
      </c>
      <c r="AI36" s="73" t="str">
        <v/>
      </c>
      <c r="AJ36" s="73" t="str">
        <v/>
      </c>
      <c r="AK36" s="73" t="str">
        <v/>
      </c>
      <c r="AL36" s="80" t="str">
        <v/>
      </c>
      <c r="AM36" s="61"/>
      <c r="AN36" s="81"/>
      <c r="AO36" s="70"/>
      <c r="AP36" s="70" t="str">
        <v/>
      </c>
      <c r="AQ36" s="70" t="str">
        <v/>
      </c>
      <c r="AR36" s="70" t="str">
        <v/>
      </c>
      <c r="AS36" s="82" t="str">
        <v/>
      </c>
      <c r="AT36" s="61"/>
      <c r="AU36" s="71" t="str">
        <v/>
      </c>
      <c r="AV36" s="72" t="str">
        <v/>
      </c>
      <c r="AW36" s="61"/>
    </row>
    <row r="37" spans="1:49">
      <c r="A37" s="48"/>
      <c r="B37" s="49"/>
      <c r="C37" s="50"/>
      <c r="D37" s="50"/>
      <c r="E37" s="51"/>
      <c r="F37" s="73" t="str">
        <v/>
      </c>
      <c r="G37" s="73" t="str">
        <v/>
      </c>
      <c r="H37" s="74" t="str">
        <v/>
      </c>
      <c r="I37" s="75" t="str">
        <v/>
      </c>
      <c r="J37" s="73" t="str">
        <v/>
      </c>
      <c r="K37" s="73" t="str">
        <v/>
      </c>
      <c r="L37" s="73" t="str">
        <v/>
      </c>
      <c r="M37" s="55"/>
      <c r="N37" s="56"/>
      <c r="O37" s="56"/>
      <c r="P37" s="57"/>
      <c r="Q37" s="76" t="str">
        <v/>
      </c>
      <c r="R37" s="76" t="str">
        <v/>
      </c>
      <c r="S37" s="76" t="str">
        <v/>
      </c>
      <c r="T37" s="77" t="str">
        <v/>
      </c>
      <c r="U37" s="73" t="str">
        <v/>
      </c>
      <c r="V37" s="73" t="str">
        <v/>
      </c>
      <c r="W37" s="73" t="str">
        <v/>
      </c>
      <c r="X37" s="78" t="str">
        <v/>
      </c>
      <c r="Y37" s="61"/>
      <c r="Z37" s="91"/>
      <c r="AA37" s="92"/>
      <c r="AB37" s="92" t="str">
        <v/>
      </c>
      <c r="AC37" s="89" t="str">
        <v/>
      </c>
      <c r="AD37" s="90"/>
      <c r="AE37" s="74" t="str">
        <v/>
      </c>
      <c r="AF37" s="76" t="str">
        <v/>
      </c>
      <c r="AG37" s="76" t="str">
        <v/>
      </c>
      <c r="AH37" s="79" t="str">
        <v/>
      </c>
      <c r="AI37" s="73" t="str">
        <v/>
      </c>
      <c r="AJ37" s="73" t="str">
        <v/>
      </c>
      <c r="AK37" s="73" t="str">
        <v/>
      </c>
      <c r="AL37" s="80" t="str">
        <v/>
      </c>
      <c r="AM37" s="61"/>
      <c r="AN37" s="81"/>
      <c r="AO37" s="70"/>
      <c r="AP37" s="70" t="str">
        <v/>
      </c>
      <c r="AQ37" s="70" t="str">
        <v/>
      </c>
      <c r="AR37" s="70" t="str">
        <v/>
      </c>
      <c r="AS37" s="82" t="str">
        <v/>
      </c>
      <c r="AT37" s="61"/>
      <c r="AU37" s="71" t="str">
        <v/>
      </c>
      <c r="AV37" s="72" t="str">
        <v/>
      </c>
      <c r="AW37" s="61"/>
    </row>
    <row r="38" spans="1:49">
      <c r="A38" s="48"/>
      <c r="B38" s="49"/>
      <c r="C38" s="50"/>
      <c r="D38" s="50"/>
      <c r="E38" s="51"/>
      <c r="F38" s="73" t="str">
        <v/>
      </c>
      <c r="G38" s="73" t="str">
        <v/>
      </c>
      <c r="H38" s="74" t="str">
        <v/>
      </c>
      <c r="I38" s="75" t="str">
        <v/>
      </c>
      <c r="J38" s="73" t="str">
        <v/>
      </c>
      <c r="K38" s="73" t="str">
        <v/>
      </c>
      <c r="L38" s="73" t="str">
        <v/>
      </c>
      <c r="M38" s="55"/>
      <c r="N38" s="56"/>
      <c r="O38" s="56"/>
      <c r="P38" s="57"/>
      <c r="Q38" s="76" t="str">
        <v/>
      </c>
      <c r="R38" s="76" t="str">
        <v/>
      </c>
      <c r="S38" s="76" t="str">
        <v/>
      </c>
      <c r="T38" s="77" t="str">
        <v/>
      </c>
      <c r="U38" s="73" t="str">
        <v/>
      </c>
      <c r="V38" s="73" t="str">
        <v/>
      </c>
      <c r="W38" s="73" t="str">
        <v/>
      </c>
      <c r="X38" s="78" t="str">
        <v/>
      </c>
      <c r="Y38" s="61"/>
      <c r="Z38" s="91"/>
      <c r="AA38" s="92"/>
      <c r="AB38" s="92" t="str">
        <v/>
      </c>
      <c r="AC38" s="89" t="str">
        <v/>
      </c>
      <c r="AD38" s="90"/>
      <c r="AE38" s="74" t="str">
        <v/>
      </c>
      <c r="AF38" s="76" t="str">
        <v/>
      </c>
      <c r="AG38" s="76" t="str">
        <v/>
      </c>
      <c r="AH38" s="79" t="str">
        <v/>
      </c>
      <c r="AI38" s="73" t="str">
        <v/>
      </c>
      <c r="AJ38" s="73" t="str">
        <v/>
      </c>
      <c r="AK38" s="73" t="str">
        <v/>
      </c>
      <c r="AL38" s="80" t="str">
        <v/>
      </c>
      <c r="AM38" s="61"/>
      <c r="AN38" s="81"/>
      <c r="AO38" s="70"/>
      <c r="AP38" s="70" t="str">
        <v/>
      </c>
      <c r="AQ38" s="70" t="str">
        <v/>
      </c>
      <c r="AR38" s="70" t="str">
        <v/>
      </c>
      <c r="AS38" s="82" t="str">
        <v/>
      </c>
      <c r="AT38" s="61"/>
      <c r="AU38" s="71" t="str">
        <v/>
      </c>
      <c r="AV38" s="72" t="str">
        <v/>
      </c>
      <c r="AW38" s="61"/>
    </row>
    <row r="39" spans="1:49">
      <c r="A39" s="48"/>
      <c r="B39" s="49"/>
      <c r="C39" s="50"/>
      <c r="D39" s="50"/>
      <c r="E39" s="51"/>
      <c r="F39" s="73" t="str">
        <v/>
      </c>
      <c r="G39" s="73" t="str">
        <v/>
      </c>
      <c r="H39" s="74" t="str">
        <v/>
      </c>
      <c r="I39" s="75" t="str">
        <v/>
      </c>
      <c r="J39" s="73" t="str">
        <v/>
      </c>
      <c r="K39" s="73" t="str">
        <v/>
      </c>
      <c r="L39" s="73" t="str">
        <v/>
      </c>
      <c r="M39" s="55"/>
      <c r="N39" s="56"/>
      <c r="O39" s="56"/>
      <c r="P39" s="57"/>
      <c r="Q39" s="76" t="str">
        <v/>
      </c>
      <c r="R39" s="76" t="str">
        <v/>
      </c>
      <c r="S39" s="76" t="str">
        <v/>
      </c>
      <c r="T39" s="77" t="str">
        <v/>
      </c>
      <c r="U39" s="73" t="str">
        <v/>
      </c>
      <c r="V39" s="73" t="str">
        <v/>
      </c>
      <c r="W39" s="73" t="str">
        <v/>
      </c>
      <c r="X39" s="78" t="str">
        <v/>
      </c>
      <c r="Y39" s="61"/>
      <c r="Z39" s="91"/>
      <c r="AA39" s="92"/>
      <c r="AB39" s="92" t="str">
        <v/>
      </c>
      <c r="AC39" s="89" t="str">
        <v/>
      </c>
      <c r="AD39" s="90"/>
      <c r="AE39" s="74" t="str">
        <v/>
      </c>
      <c r="AF39" s="76" t="str">
        <v/>
      </c>
      <c r="AG39" s="76" t="str">
        <v/>
      </c>
      <c r="AH39" s="79" t="str">
        <v/>
      </c>
      <c r="AI39" s="73" t="str">
        <v/>
      </c>
      <c r="AJ39" s="73" t="str">
        <v/>
      </c>
      <c r="AK39" s="73" t="str">
        <v/>
      </c>
      <c r="AL39" s="80" t="str">
        <v/>
      </c>
      <c r="AM39" s="61"/>
      <c r="AN39" s="81"/>
      <c r="AO39" s="70"/>
      <c r="AP39" s="70" t="str">
        <v/>
      </c>
      <c r="AQ39" s="70" t="str">
        <v/>
      </c>
      <c r="AR39" s="70" t="str">
        <v/>
      </c>
      <c r="AS39" s="82" t="str">
        <v/>
      </c>
      <c r="AT39" s="61"/>
      <c r="AU39" s="71" t="str">
        <v/>
      </c>
      <c r="AV39" s="72" t="str">
        <v/>
      </c>
      <c r="AW39" s="61"/>
    </row>
    <row r="40" spans="1:49">
      <c r="A40" s="48"/>
      <c r="B40" s="49"/>
      <c r="C40" s="50"/>
      <c r="D40" s="50"/>
      <c r="E40" s="51"/>
      <c r="F40" s="73" t="str">
        <v/>
      </c>
      <c r="G40" s="73" t="str">
        <v/>
      </c>
      <c r="H40" s="74" t="str">
        <v/>
      </c>
      <c r="I40" s="75" t="str">
        <v/>
      </c>
      <c r="J40" s="73" t="str">
        <v/>
      </c>
      <c r="K40" s="73" t="str">
        <v/>
      </c>
      <c r="L40" s="73" t="str">
        <v/>
      </c>
      <c r="M40" s="55"/>
      <c r="N40" s="56"/>
      <c r="O40" s="56"/>
      <c r="P40" s="57"/>
      <c r="Q40" s="76" t="str">
        <v/>
      </c>
      <c r="R40" s="76" t="str">
        <v/>
      </c>
      <c r="S40" s="76" t="str">
        <v/>
      </c>
      <c r="T40" s="77" t="str">
        <v/>
      </c>
      <c r="U40" s="73" t="str">
        <v/>
      </c>
      <c r="V40" s="73" t="str">
        <v/>
      </c>
      <c r="W40" s="73" t="str">
        <v/>
      </c>
      <c r="X40" s="78" t="str">
        <v/>
      </c>
      <c r="Y40" s="61"/>
      <c r="Z40" s="91"/>
      <c r="AA40" s="92"/>
      <c r="AB40" s="92" t="str">
        <v/>
      </c>
      <c r="AC40" s="89" t="str">
        <v/>
      </c>
      <c r="AD40" s="90"/>
      <c r="AE40" s="74" t="str">
        <v/>
      </c>
      <c r="AF40" s="76" t="str">
        <v/>
      </c>
      <c r="AG40" s="76" t="str">
        <v/>
      </c>
      <c r="AH40" s="79" t="str">
        <v/>
      </c>
      <c r="AI40" s="73" t="str">
        <v/>
      </c>
      <c r="AJ40" s="73" t="str">
        <v/>
      </c>
      <c r="AK40" s="73" t="str">
        <v/>
      </c>
      <c r="AL40" s="80" t="str">
        <v/>
      </c>
      <c r="AM40" s="61"/>
      <c r="AN40" s="81"/>
      <c r="AO40" s="70"/>
      <c r="AP40" s="70" t="str">
        <v/>
      </c>
      <c r="AQ40" s="70" t="str">
        <v/>
      </c>
      <c r="AR40" s="70" t="str">
        <v/>
      </c>
      <c r="AS40" s="82" t="str">
        <v/>
      </c>
      <c r="AT40" s="61"/>
      <c r="AU40" s="71" t="str">
        <v/>
      </c>
      <c r="AV40" s="72" t="str">
        <v/>
      </c>
      <c r="AW40" s="61"/>
    </row>
    <row r="41" spans="1:49">
      <c r="A41" s="48"/>
      <c r="B41" s="49"/>
      <c r="C41" s="50"/>
      <c r="D41" s="50"/>
      <c r="E41" s="51"/>
      <c r="F41" s="73" t="str">
        <v/>
      </c>
      <c r="G41" s="73" t="str">
        <v/>
      </c>
      <c r="H41" s="74" t="str">
        <v/>
      </c>
      <c r="I41" s="75" t="str">
        <v/>
      </c>
      <c r="J41" s="73" t="str">
        <v/>
      </c>
      <c r="K41" s="73" t="str">
        <v/>
      </c>
      <c r="L41" s="73" t="str">
        <v/>
      </c>
      <c r="M41" s="55"/>
      <c r="N41" s="56"/>
      <c r="O41" s="56"/>
      <c r="P41" s="57"/>
      <c r="Q41" s="76" t="str">
        <v/>
      </c>
      <c r="R41" s="76" t="str">
        <v/>
      </c>
      <c r="S41" s="76" t="str">
        <v/>
      </c>
      <c r="T41" s="77" t="str">
        <v/>
      </c>
      <c r="U41" s="73" t="str">
        <v/>
      </c>
      <c r="V41" s="73" t="str">
        <v/>
      </c>
      <c r="W41" s="73" t="str">
        <v/>
      </c>
      <c r="X41" s="78" t="str">
        <v/>
      </c>
      <c r="Y41" s="61"/>
      <c r="Z41" s="91"/>
      <c r="AA41" s="92"/>
      <c r="AB41" s="92" t="str">
        <v/>
      </c>
      <c r="AC41" s="89" t="str">
        <v/>
      </c>
      <c r="AD41" s="90"/>
      <c r="AE41" s="74" t="str">
        <v/>
      </c>
      <c r="AF41" s="76" t="str">
        <v/>
      </c>
      <c r="AG41" s="76" t="str">
        <v/>
      </c>
      <c r="AH41" s="79" t="str">
        <v/>
      </c>
      <c r="AI41" s="73" t="str">
        <v/>
      </c>
      <c r="AJ41" s="73" t="str">
        <v/>
      </c>
      <c r="AK41" s="73" t="str">
        <v/>
      </c>
      <c r="AL41" s="80" t="str">
        <v/>
      </c>
      <c r="AM41" s="61"/>
      <c r="AN41" s="81"/>
      <c r="AO41" s="70"/>
      <c r="AP41" s="70" t="str">
        <v/>
      </c>
      <c r="AQ41" s="70" t="str">
        <v/>
      </c>
      <c r="AR41" s="70" t="str">
        <v/>
      </c>
      <c r="AS41" s="82" t="str">
        <v/>
      </c>
      <c r="AT41" s="61"/>
      <c r="AU41" s="71" t="str">
        <v/>
      </c>
      <c r="AV41" s="72" t="str">
        <v/>
      </c>
      <c r="AW41" s="61"/>
    </row>
    <row r="42" spans="1:49">
      <c r="A42" s="48"/>
      <c r="B42" s="49"/>
      <c r="C42" s="50"/>
      <c r="D42" s="50"/>
      <c r="E42" s="51"/>
      <c r="F42" s="73" t="str">
        <v/>
      </c>
      <c r="G42" s="73" t="str">
        <v/>
      </c>
      <c r="H42" s="74" t="str">
        <v/>
      </c>
      <c r="I42" s="75" t="str">
        <v/>
      </c>
      <c r="J42" s="73" t="str">
        <v/>
      </c>
      <c r="K42" s="73" t="str">
        <v/>
      </c>
      <c r="L42" s="73" t="str">
        <v/>
      </c>
      <c r="M42" s="55"/>
      <c r="N42" s="56"/>
      <c r="O42" s="56"/>
      <c r="P42" s="57"/>
      <c r="Q42" s="76" t="str">
        <v/>
      </c>
      <c r="R42" s="76" t="str">
        <v/>
      </c>
      <c r="S42" s="76" t="str">
        <v/>
      </c>
      <c r="T42" s="77" t="str">
        <v/>
      </c>
      <c r="U42" s="73" t="str">
        <v/>
      </c>
      <c r="V42" s="73" t="str">
        <v/>
      </c>
      <c r="W42" s="73" t="str">
        <v/>
      </c>
      <c r="X42" s="78" t="str">
        <v/>
      </c>
      <c r="Y42" s="61"/>
      <c r="Z42" s="91"/>
      <c r="AA42" s="92"/>
      <c r="AB42" s="92" t="str">
        <v/>
      </c>
      <c r="AC42" s="89" t="str">
        <v/>
      </c>
      <c r="AD42" s="90"/>
      <c r="AE42" s="74" t="str">
        <v/>
      </c>
      <c r="AF42" s="76" t="str">
        <v/>
      </c>
      <c r="AG42" s="76" t="str">
        <v/>
      </c>
      <c r="AH42" s="79" t="str">
        <v/>
      </c>
      <c r="AI42" s="73" t="str">
        <v/>
      </c>
      <c r="AJ42" s="73" t="str">
        <v/>
      </c>
      <c r="AK42" s="73" t="str">
        <v/>
      </c>
      <c r="AL42" s="80" t="str">
        <v/>
      </c>
      <c r="AM42" s="61"/>
      <c r="AN42" s="81"/>
      <c r="AO42" s="70"/>
      <c r="AP42" s="70" t="str">
        <v/>
      </c>
      <c r="AQ42" s="70" t="str">
        <v/>
      </c>
      <c r="AR42" s="70" t="str">
        <v/>
      </c>
      <c r="AS42" s="82" t="str">
        <v/>
      </c>
      <c r="AT42" s="61"/>
      <c r="AU42" s="71" t="str">
        <v/>
      </c>
      <c r="AV42" s="72" t="str">
        <v/>
      </c>
      <c r="AW42" s="61"/>
    </row>
    <row r="43" spans="1:49">
      <c r="A43" s="48"/>
      <c r="B43" s="49"/>
      <c r="C43" s="50"/>
      <c r="D43" s="50"/>
      <c r="E43" s="51"/>
      <c r="F43" s="73" t="str">
        <v/>
      </c>
      <c r="G43" s="73" t="str">
        <v/>
      </c>
      <c r="H43" s="74" t="str">
        <v/>
      </c>
      <c r="I43" s="75" t="str">
        <v/>
      </c>
      <c r="J43" s="73" t="str">
        <v/>
      </c>
      <c r="K43" s="73" t="str">
        <v/>
      </c>
      <c r="L43" s="73" t="str">
        <v/>
      </c>
      <c r="M43" s="55"/>
      <c r="N43" s="56"/>
      <c r="O43" s="56"/>
      <c r="P43" s="57"/>
      <c r="Q43" s="76" t="str">
        <v/>
      </c>
      <c r="R43" s="76" t="str">
        <v/>
      </c>
      <c r="S43" s="76" t="str">
        <v/>
      </c>
      <c r="T43" s="77" t="str">
        <v/>
      </c>
      <c r="U43" s="73" t="str">
        <v/>
      </c>
      <c r="V43" s="73" t="str">
        <v/>
      </c>
      <c r="W43" s="73" t="str">
        <v/>
      </c>
      <c r="X43" s="78" t="str">
        <v/>
      </c>
      <c r="Y43" s="61"/>
      <c r="Z43" s="91"/>
      <c r="AA43" s="92"/>
      <c r="AB43" s="92" t="str">
        <v/>
      </c>
      <c r="AC43" s="89" t="str">
        <v/>
      </c>
      <c r="AD43" s="90"/>
      <c r="AE43" s="74" t="str">
        <v/>
      </c>
      <c r="AF43" s="76" t="str">
        <v/>
      </c>
      <c r="AG43" s="76" t="str">
        <v/>
      </c>
      <c r="AH43" s="79" t="str">
        <v/>
      </c>
      <c r="AI43" s="73" t="str">
        <v/>
      </c>
      <c r="AJ43" s="73" t="str">
        <v/>
      </c>
      <c r="AK43" s="73" t="str">
        <v/>
      </c>
      <c r="AL43" s="80" t="str">
        <v/>
      </c>
      <c r="AM43" s="61"/>
      <c r="AN43" s="81"/>
      <c r="AO43" s="70"/>
      <c r="AP43" s="70" t="str">
        <v/>
      </c>
      <c r="AQ43" s="70" t="str">
        <v/>
      </c>
      <c r="AR43" s="70" t="str">
        <v/>
      </c>
      <c r="AS43" s="82" t="str">
        <v/>
      </c>
      <c r="AT43" s="61"/>
      <c r="AU43" s="71" t="str">
        <v/>
      </c>
      <c r="AV43" s="72" t="str">
        <v/>
      </c>
      <c r="AW43" s="61"/>
    </row>
    <row r="44" spans="1:49">
      <c r="A44" s="48"/>
      <c r="B44" s="49"/>
      <c r="C44" s="50"/>
      <c r="D44" s="50"/>
      <c r="E44" s="51"/>
      <c r="F44" s="73" t="str">
        <v/>
      </c>
      <c r="G44" s="73" t="str">
        <v/>
      </c>
      <c r="H44" s="74" t="str">
        <v/>
      </c>
      <c r="I44" s="75" t="str">
        <v/>
      </c>
      <c r="J44" s="73" t="str">
        <v/>
      </c>
      <c r="K44" s="73" t="str">
        <v/>
      </c>
      <c r="L44" s="73" t="str">
        <v/>
      </c>
      <c r="M44" s="55"/>
      <c r="N44" s="56"/>
      <c r="O44" s="56"/>
      <c r="P44" s="57"/>
      <c r="Q44" s="76" t="str">
        <v/>
      </c>
      <c r="R44" s="76" t="str">
        <v/>
      </c>
      <c r="S44" s="76" t="str">
        <v/>
      </c>
      <c r="T44" s="77" t="str">
        <v/>
      </c>
      <c r="U44" s="73" t="str">
        <v/>
      </c>
      <c r="V44" s="73" t="str">
        <v/>
      </c>
      <c r="W44" s="73" t="str">
        <v/>
      </c>
      <c r="X44" s="78" t="str">
        <v/>
      </c>
      <c r="Y44" s="61"/>
      <c r="Z44" s="91"/>
      <c r="AA44" s="92"/>
      <c r="AB44" s="92" t="str">
        <v/>
      </c>
      <c r="AC44" s="89" t="str">
        <v/>
      </c>
      <c r="AD44" s="90"/>
      <c r="AE44" s="74" t="str">
        <v/>
      </c>
      <c r="AF44" s="76" t="str">
        <v/>
      </c>
      <c r="AG44" s="76" t="str">
        <v/>
      </c>
      <c r="AH44" s="79" t="str">
        <v/>
      </c>
      <c r="AI44" s="73" t="str">
        <v/>
      </c>
      <c r="AJ44" s="73" t="str">
        <v/>
      </c>
      <c r="AK44" s="73" t="str">
        <v/>
      </c>
      <c r="AL44" s="80" t="str">
        <v/>
      </c>
      <c r="AM44" s="61"/>
      <c r="AN44" s="81"/>
      <c r="AO44" s="70"/>
      <c r="AP44" s="70" t="str">
        <v/>
      </c>
      <c r="AQ44" s="70" t="str">
        <v/>
      </c>
      <c r="AR44" s="70" t="str">
        <v/>
      </c>
      <c r="AS44" s="82" t="str">
        <v/>
      </c>
      <c r="AT44" s="61"/>
      <c r="AU44" s="71" t="str">
        <v/>
      </c>
      <c r="AV44" s="72" t="str">
        <v/>
      </c>
      <c r="AW44" s="61"/>
    </row>
    <row r="45" spans="1:49">
      <c r="A45" s="48"/>
      <c r="B45" s="49"/>
      <c r="C45" s="50"/>
      <c r="D45" s="50"/>
      <c r="E45" s="51"/>
      <c r="F45" s="73" t="str">
        <v/>
      </c>
      <c r="G45" s="73" t="str">
        <v/>
      </c>
      <c r="H45" s="74" t="str">
        <v/>
      </c>
      <c r="I45" s="75" t="str">
        <v/>
      </c>
      <c r="J45" s="73" t="str">
        <v/>
      </c>
      <c r="K45" s="73" t="str">
        <v/>
      </c>
      <c r="L45" s="73" t="str">
        <v/>
      </c>
      <c r="M45" s="55"/>
      <c r="N45" s="56"/>
      <c r="O45" s="56"/>
      <c r="P45" s="57"/>
      <c r="Q45" s="76" t="str">
        <v/>
      </c>
      <c r="R45" s="76" t="str">
        <v/>
      </c>
      <c r="S45" s="76" t="str">
        <v/>
      </c>
      <c r="T45" s="77" t="str">
        <v/>
      </c>
      <c r="U45" s="73" t="str">
        <v/>
      </c>
      <c r="V45" s="73" t="str">
        <v/>
      </c>
      <c r="W45" s="73" t="str">
        <v/>
      </c>
      <c r="X45" s="78" t="str">
        <v/>
      </c>
      <c r="Y45" s="61"/>
      <c r="Z45" s="91"/>
      <c r="AA45" s="92"/>
      <c r="AB45" s="92" t="str">
        <v/>
      </c>
      <c r="AC45" s="89" t="str">
        <v/>
      </c>
      <c r="AD45" s="90"/>
      <c r="AE45" s="74" t="str">
        <v/>
      </c>
      <c r="AF45" s="76" t="str">
        <v/>
      </c>
      <c r="AG45" s="76" t="str">
        <v/>
      </c>
      <c r="AH45" s="79" t="str">
        <v/>
      </c>
      <c r="AI45" s="73" t="str">
        <v/>
      </c>
      <c r="AJ45" s="73" t="str">
        <v/>
      </c>
      <c r="AK45" s="73" t="str">
        <v/>
      </c>
      <c r="AL45" s="80" t="str">
        <v/>
      </c>
      <c r="AM45" s="61"/>
      <c r="AN45" s="81"/>
      <c r="AO45" s="70"/>
      <c r="AP45" s="70" t="str">
        <v/>
      </c>
      <c r="AQ45" s="70" t="str">
        <v/>
      </c>
      <c r="AR45" s="70" t="str">
        <v/>
      </c>
      <c r="AS45" s="82" t="str">
        <v/>
      </c>
      <c r="AT45" s="61"/>
      <c r="AU45" s="71" t="str">
        <v/>
      </c>
      <c r="AV45" s="72" t="str">
        <v/>
      </c>
      <c r="AW45" s="61"/>
    </row>
    <row r="46" spans="1:49">
      <c r="A46" s="48"/>
      <c r="B46" s="49"/>
      <c r="C46" s="50"/>
      <c r="D46" s="50"/>
      <c r="E46" s="51"/>
      <c r="F46" s="73" t="str">
        <v/>
      </c>
      <c r="G46" s="73" t="str">
        <v/>
      </c>
      <c r="H46" s="74" t="str">
        <v/>
      </c>
      <c r="I46" s="75" t="str">
        <v/>
      </c>
      <c r="J46" s="73" t="str">
        <v/>
      </c>
      <c r="K46" s="73" t="str">
        <v/>
      </c>
      <c r="L46" s="73" t="str">
        <v/>
      </c>
      <c r="M46" s="55"/>
      <c r="N46" s="56"/>
      <c r="O46" s="56"/>
      <c r="P46" s="57"/>
      <c r="Q46" s="76" t="str">
        <v/>
      </c>
      <c r="R46" s="76" t="str">
        <v/>
      </c>
      <c r="S46" s="76" t="str">
        <v/>
      </c>
      <c r="T46" s="77" t="str">
        <v/>
      </c>
      <c r="U46" s="73" t="str">
        <v/>
      </c>
      <c r="V46" s="73" t="str">
        <v/>
      </c>
      <c r="W46" s="73" t="str">
        <v/>
      </c>
      <c r="X46" s="78" t="str">
        <v/>
      </c>
      <c r="Y46" s="61"/>
      <c r="Z46" s="91"/>
      <c r="AA46" s="92"/>
      <c r="AB46" s="92" t="str">
        <v/>
      </c>
      <c r="AC46" s="89" t="str">
        <v/>
      </c>
      <c r="AD46" s="90"/>
      <c r="AE46" s="74" t="str">
        <v/>
      </c>
      <c r="AF46" s="76" t="str">
        <v/>
      </c>
      <c r="AG46" s="76" t="str">
        <v/>
      </c>
      <c r="AH46" s="79" t="str">
        <v/>
      </c>
      <c r="AI46" s="73" t="str">
        <v/>
      </c>
      <c r="AJ46" s="73" t="str">
        <v/>
      </c>
      <c r="AK46" s="73" t="str">
        <v/>
      </c>
      <c r="AL46" s="80" t="str">
        <v/>
      </c>
      <c r="AM46" s="61"/>
      <c r="AN46" s="81"/>
      <c r="AO46" s="70"/>
      <c r="AP46" s="70" t="str">
        <v/>
      </c>
      <c r="AQ46" s="70" t="str">
        <v/>
      </c>
      <c r="AR46" s="70" t="str">
        <v/>
      </c>
      <c r="AS46" s="82" t="str">
        <v/>
      </c>
      <c r="AT46" s="61"/>
      <c r="AU46" s="71" t="str">
        <v/>
      </c>
      <c r="AV46" s="72" t="str">
        <v/>
      </c>
      <c r="AW46" s="61"/>
    </row>
    <row r="47" spans="1:49">
      <c r="A47" s="48"/>
      <c r="B47" s="49"/>
      <c r="C47" s="50"/>
      <c r="D47" s="50"/>
      <c r="E47" s="51"/>
      <c r="F47" s="73" t="str">
        <v/>
      </c>
      <c r="G47" s="73" t="str">
        <v/>
      </c>
      <c r="H47" s="74" t="str">
        <v/>
      </c>
      <c r="I47" s="75" t="str">
        <v/>
      </c>
      <c r="J47" s="73" t="str">
        <v/>
      </c>
      <c r="K47" s="73" t="str">
        <v/>
      </c>
      <c r="L47" s="73" t="str">
        <v/>
      </c>
      <c r="M47" s="55"/>
      <c r="N47" s="56"/>
      <c r="O47" s="56"/>
      <c r="P47" s="57"/>
      <c r="Q47" s="76" t="str">
        <v/>
      </c>
      <c r="R47" s="76" t="str">
        <v/>
      </c>
      <c r="S47" s="76" t="str">
        <v/>
      </c>
      <c r="T47" s="77" t="str">
        <v/>
      </c>
      <c r="U47" s="73" t="str">
        <v/>
      </c>
      <c r="V47" s="73" t="str">
        <v/>
      </c>
      <c r="W47" s="73" t="str">
        <v/>
      </c>
      <c r="X47" s="78" t="str">
        <v/>
      </c>
      <c r="Y47" s="61"/>
      <c r="Z47" s="91"/>
      <c r="AA47" s="92"/>
      <c r="AB47" s="92" t="str">
        <v/>
      </c>
      <c r="AC47" s="89" t="str">
        <v/>
      </c>
      <c r="AD47" s="90"/>
      <c r="AE47" s="74" t="str">
        <v/>
      </c>
      <c r="AF47" s="76" t="str">
        <v/>
      </c>
      <c r="AG47" s="76" t="str">
        <v/>
      </c>
      <c r="AH47" s="79" t="str">
        <v/>
      </c>
      <c r="AI47" s="73" t="str">
        <v/>
      </c>
      <c r="AJ47" s="73" t="str">
        <v/>
      </c>
      <c r="AK47" s="73" t="str">
        <v/>
      </c>
      <c r="AL47" s="80" t="str">
        <v/>
      </c>
      <c r="AM47" s="61"/>
      <c r="AN47" s="81"/>
      <c r="AO47" s="70"/>
      <c r="AP47" s="70" t="str">
        <v/>
      </c>
      <c r="AQ47" s="70" t="str">
        <v/>
      </c>
      <c r="AR47" s="70" t="str">
        <v/>
      </c>
      <c r="AS47" s="82" t="str">
        <v/>
      </c>
      <c r="AT47" s="61"/>
      <c r="AU47" s="71" t="str">
        <v/>
      </c>
      <c r="AV47" s="72" t="str">
        <v/>
      </c>
      <c r="AW47" s="61"/>
    </row>
    <row r="48" spans="1:49">
      <c r="A48" s="48"/>
      <c r="B48" s="49"/>
      <c r="C48" s="50"/>
      <c r="D48" s="50"/>
      <c r="E48" s="51"/>
      <c r="F48" s="73" t="str">
        <v/>
      </c>
      <c r="G48" s="73" t="str">
        <v/>
      </c>
      <c r="H48" s="74" t="str">
        <v/>
      </c>
      <c r="I48" s="75" t="str">
        <v/>
      </c>
      <c r="J48" s="73" t="str">
        <v/>
      </c>
      <c r="K48" s="73" t="str">
        <v/>
      </c>
      <c r="L48" s="73" t="str">
        <v/>
      </c>
      <c r="M48" s="55"/>
      <c r="N48" s="56"/>
      <c r="O48" s="56"/>
      <c r="P48" s="57"/>
      <c r="Q48" s="76" t="str">
        <v/>
      </c>
      <c r="R48" s="76" t="str">
        <v/>
      </c>
      <c r="S48" s="76" t="str">
        <v/>
      </c>
      <c r="T48" s="77" t="str">
        <v/>
      </c>
      <c r="U48" s="73" t="str">
        <v/>
      </c>
      <c r="V48" s="73" t="str">
        <v/>
      </c>
      <c r="W48" s="73" t="str">
        <v/>
      </c>
      <c r="X48" s="78" t="str">
        <v/>
      </c>
      <c r="Y48" s="61"/>
      <c r="Z48" s="91"/>
      <c r="AA48" s="92"/>
      <c r="AB48" s="92" t="str">
        <v/>
      </c>
      <c r="AC48" s="89" t="str">
        <v/>
      </c>
      <c r="AD48" s="90"/>
      <c r="AE48" s="74" t="str">
        <v/>
      </c>
      <c r="AF48" s="76" t="str">
        <v/>
      </c>
      <c r="AG48" s="76" t="str">
        <v/>
      </c>
      <c r="AH48" s="79" t="str">
        <v/>
      </c>
      <c r="AI48" s="73" t="str">
        <v/>
      </c>
      <c r="AJ48" s="73" t="str">
        <v/>
      </c>
      <c r="AK48" s="73" t="str">
        <v/>
      </c>
      <c r="AL48" s="80" t="str">
        <v/>
      </c>
      <c r="AM48" s="61"/>
      <c r="AN48" s="81"/>
      <c r="AO48" s="70"/>
      <c r="AP48" s="70" t="str">
        <v/>
      </c>
      <c r="AQ48" s="70" t="str">
        <v/>
      </c>
      <c r="AR48" s="70" t="str">
        <v/>
      </c>
      <c r="AS48" s="82" t="str">
        <v/>
      </c>
      <c r="AT48" s="61"/>
      <c r="AU48" s="71" t="str">
        <v/>
      </c>
      <c r="AV48" s="72" t="str">
        <v/>
      </c>
      <c r="AW48" s="61"/>
    </row>
    <row r="49" spans="1:49">
      <c r="A49" s="48"/>
      <c r="B49" s="49"/>
      <c r="C49" s="50"/>
      <c r="D49" s="50"/>
      <c r="E49" s="51"/>
      <c r="F49" s="73" t="str">
        <v/>
      </c>
      <c r="G49" s="73" t="str">
        <v/>
      </c>
      <c r="H49" s="74" t="str">
        <v/>
      </c>
      <c r="I49" s="75" t="str">
        <v/>
      </c>
      <c r="J49" s="73" t="str">
        <v/>
      </c>
      <c r="K49" s="73" t="str">
        <v/>
      </c>
      <c r="L49" s="73" t="str">
        <v/>
      </c>
      <c r="M49" s="55"/>
      <c r="N49" s="56"/>
      <c r="O49" s="56"/>
      <c r="P49" s="57"/>
      <c r="Q49" s="76" t="str">
        <v/>
      </c>
      <c r="R49" s="76" t="str">
        <v/>
      </c>
      <c r="S49" s="76" t="str">
        <v/>
      </c>
      <c r="T49" s="77" t="str">
        <v/>
      </c>
      <c r="U49" s="73" t="str">
        <v/>
      </c>
      <c r="V49" s="73" t="str">
        <v/>
      </c>
      <c r="W49" s="73" t="str">
        <v/>
      </c>
      <c r="X49" s="78" t="str">
        <v/>
      </c>
      <c r="Y49" s="61"/>
      <c r="Z49" s="91"/>
      <c r="AA49" s="92"/>
      <c r="AB49" s="92" t="str">
        <v/>
      </c>
      <c r="AC49" s="89" t="str">
        <v/>
      </c>
      <c r="AD49" s="90"/>
      <c r="AE49" s="74" t="str">
        <v/>
      </c>
      <c r="AF49" s="76" t="str">
        <v/>
      </c>
      <c r="AG49" s="76" t="str">
        <v/>
      </c>
      <c r="AH49" s="79" t="str">
        <v/>
      </c>
      <c r="AI49" s="73" t="str">
        <v/>
      </c>
      <c r="AJ49" s="73" t="str">
        <v/>
      </c>
      <c r="AK49" s="73" t="str">
        <v/>
      </c>
      <c r="AL49" s="80" t="str">
        <v/>
      </c>
      <c r="AM49" s="61"/>
      <c r="AN49" s="81"/>
      <c r="AO49" s="70"/>
      <c r="AP49" s="70" t="str">
        <v/>
      </c>
      <c r="AQ49" s="70" t="str">
        <v/>
      </c>
      <c r="AR49" s="70" t="str">
        <v/>
      </c>
      <c r="AS49" s="82" t="str">
        <v/>
      </c>
      <c r="AT49" s="61"/>
      <c r="AU49" s="71" t="str">
        <v/>
      </c>
      <c r="AV49" s="72" t="str">
        <v/>
      </c>
      <c r="AW49" s="61"/>
    </row>
    <row r="50" spans="1:49">
      <c r="A50" s="48"/>
      <c r="B50" s="49"/>
      <c r="C50" s="50"/>
      <c r="D50" s="50"/>
      <c r="E50" s="51"/>
      <c r="F50" s="73" t="str">
        <v/>
      </c>
      <c r="G50" s="73" t="str">
        <v/>
      </c>
      <c r="H50" s="74" t="str">
        <v/>
      </c>
      <c r="I50" s="75" t="str">
        <v/>
      </c>
      <c r="J50" s="73" t="str">
        <v/>
      </c>
      <c r="K50" s="73" t="str">
        <v/>
      </c>
      <c r="L50" s="73" t="str">
        <v/>
      </c>
      <c r="M50" s="55"/>
      <c r="N50" s="56"/>
      <c r="O50" s="56"/>
      <c r="P50" s="57"/>
      <c r="Q50" s="76" t="str">
        <v/>
      </c>
      <c r="R50" s="76" t="str">
        <v/>
      </c>
      <c r="S50" s="76" t="str">
        <v/>
      </c>
      <c r="T50" s="77" t="str">
        <v/>
      </c>
      <c r="U50" s="73" t="str">
        <v/>
      </c>
      <c r="V50" s="73" t="str">
        <v/>
      </c>
      <c r="W50" s="73" t="str">
        <v/>
      </c>
      <c r="X50" s="78" t="str">
        <v/>
      </c>
      <c r="Y50" s="61"/>
      <c r="Z50" s="91"/>
      <c r="AA50" s="92"/>
      <c r="AB50" s="92" t="str">
        <v/>
      </c>
      <c r="AC50" s="89" t="str">
        <v/>
      </c>
      <c r="AD50" s="90"/>
      <c r="AE50" s="74" t="str">
        <v/>
      </c>
      <c r="AF50" s="76" t="str">
        <v/>
      </c>
      <c r="AG50" s="76" t="str">
        <v/>
      </c>
      <c r="AH50" s="79" t="str">
        <v/>
      </c>
      <c r="AI50" s="73" t="str">
        <v/>
      </c>
      <c r="AJ50" s="73" t="str">
        <v/>
      </c>
      <c r="AK50" s="73" t="str">
        <v/>
      </c>
      <c r="AL50" s="80" t="str">
        <v/>
      </c>
      <c r="AM50" s="61"/>
      <c r="AN50" s="81"/>
      <c r="AO50" s="70"/>
      <c r="AP50" s="70" t="str">
        <v/>
      </c>
      <c r="AQ50" s="70" t="str">
        <v/>
      </c>
      <c r="AR50" s="70" t="str">
        <v/>
      </c>
      <c r="AS50" s="82" t="str">
        <v/>
      </c>
      <c r="AT50" s="61"/>
      <c r="AU50" s="71" t="str">
        <v/>
      </c>
      <c r="AV50" s="72" t="str">
        <v/>
      </c>
      <c r="AW50" s="61"/>
    </row>
    <row r="51" spans="1:49">
      <c r="A51" s="48"/>
      <c r="B51" s="49"/>
      <c r="C51" s="50"/>
      <c r="D51" s="50"/>
      <c r="E51" s="51"/>
      <c r="F51" s="73" t="str">
        <v/>
      </c>
      <c r="G51" s="73" t="str">
        <v/>
      </c>
      <c r="H51" s="74" t="str">
        <v/>
      </c>
      <c r="I51" s="75" t="str">
        <v/>
      </c>
      <c r="J51" s="73" t="str">
        <v/>
      </c>
      <c r="K51" s="73" t="str">
        <v/>
      </c>
      <c r="L51" s="73" t="str">
        <v/>
      </c>
      <c r="M51" s="55"/>
      <c r="N51" s="56"/>
      <c r="O51" s="56"/>
      <c r="P51" s="57"/>
      <c r="Q51" s="76" t="str">
        <v/>
      </c>
      <c r="R51" s="76" t="str">
        <v/>
      </c>
      <c r="S51" s="76" t="str">
        <v/>
      </c>
      <c r="T51" s="77" t="str">
        <v/>
      </c>
      <c r="U51" s="73" t="str">
        <v/>
      </c>
      <c r="V51" s="73" t="str">
        <v/>
      </c>
      <c r="W51" s="73" t="str">
        <v/>
      </c>
      <c r="X51" s="78" t="str">
        <v/>
      </c>
      <c r="Y51" s="61"/>
      <c r="Z51" s="91"/>
      <c r="AA51" s="92"/>
      <c r="AB51" s="92" t="str">
        <v/>
      </c>
      <c r="AC51" s="89" t="str">
        <v/>
      </c>
      <c r="AD51" s="90"/>
      <c r="AE51" s="74" t="str">
        <v/>
      </c>
      <c r="AF51" s="76" t="str">
        <v/>
      </c>
      <c r="AG51" s="76" t="str">
        <v/>
      </c>
      <c r="AH51" s="79" t="str">
        <v/>
      </c>
      <c r="AI51" s="73" t="str">
        <v/>
      </c>
      <c r="AJ51" s="73" t="str">
        <v/>
      </c>
      <c r="AK51" s="73" t="str">
        <v/>
      </c>
      <c r="AL51" s="80" t="str">
        <v/>
      </c>
      <c r="AM51" s="61"/>
      <c r="AN51" s="81"/>
      <c r="AO51" s="70"/>
      <c r="AP51" s="70" t="str">
        <v/>
      </c>
      <c r="AQ51" s="70" t="str">
        <v/>
      </c>
      <c r="AR51" s="70" t="str">
        <v/>
      </c>
      <c r="AS51" s="82" t="str">
        <v/>
      </c>
      <c r="AT51" s="61"/>
      <c r="AU51" s="71" t="str">
        <v/>
      </c>
      <c r="AV51" s="72" t="str">
        <v/>
      </c>
      <c r="AW51" s="61"/>
    </row>
    <row r="52" spans="1:49">
      <c r="A52" s="48"/>
      <c r="B52" s="49"/>
      <c r="C52" s="50"/>
      <c r="D52" s="50"/>
      <c r="E52" s="51"/>
      <c r="F52" s="73" t="str">
        <v/>
      </c>
      <c r="G52" s="73" t="str">
        <v/>
      </c>
      <c r="H52" s="74" t="str">
        <v/>
      </c>
      <c r="I52" s="75" t="str">
        <v/>
      </c>
      <c r="J52" s="73" t="str">
        <v/>
      </c>
      <c r="K52" s="73" t="str">
        <v/>
      </c>
      <c r="L52" s="73" t="str">
        <v/>
      </c>
      <c r="M52" s="55"/>
      <c r="N52" s="56"/>
      <c r="O52" s="56"/>
      <c r="P52" s="57"/>
      <c r="Q52" s="76" t="str">
        <v/>
      </c>
      <c r="R52" s="76" t="str">
        <v/>
      </c>
      <c r="S52" s="76" t="str">
        <v/>
      </c>
      <c r="T52" s="77" t="str">
        <v/>
      </c>
      <c r="U52" s="73" t="str">
        <v/>
      </c>
      <c r="V52" s="73" t="str">
        <v/>
      </c>
      <c r="W52" s="73" t="str">
        <v/>
      </c>
      <c r="X52" s="78" t="str">
        <v/>
      </c>
      <c r="Y52" s="61"/>
      <c r="Z52" s="91"/>
      <c r="AA52" s="92"/>
      <c r="AB52" s="92" t="str">
        <v/>
      </c>
      <c r="AC52" s="89" t="str">
        <v/>
      </c>
      <c r="AD52" s="90"/>
      <c r="AE52" s="74" t="str">
        <v/>
      </c>
      <c r="AF52" s="76" t="str">
        <v/>
      </c>
      <c r="AG52" s="76" t="str">
        <v/>
      </c>
      <c r="AH52" s="79" t="str">
        <v/>
      </c>
      <c r="AI52" s="73" t="str">
        <v/>
      </c>
      <c r="AJ52" s="73" t="str">
        <v/>
      </c>
      <c r="AK52" s="73" t="str">
        <v/>
      </c>
      <c r="AL52" s="80" t="str">
        <v/>
      </c>
      <c r="AM52" s="61"/>
      <c r="AN52" s="81"/>
      <c r="AO52" s="70"/>
      <c r="AP52" s="70" t="str">
        <v/>
      </c>
      <c r="AQ52" s="70" t="str">
        <v/>
      </c>
      <c r="AR52" s="70" t="str">
        <v/>
      </c>
      <c r="AS52" s="82" t="str">
        <v/>
      </c>
      <c r="AT52" s="61"/>
      <c r="AU52" s="71" t="str">
        <v/>
      </c>
      <c r="AV52" s="72" t="str">
        <v/>
      </c>
      <c r="AW52" s="61"/>
    </row>
    <row r="53" spans="1:49">
      <c r="A53" s="48"/>
      <c r="B53" s="49"/>
      <c r="C53" s="50"/>
      <c r="D53" s="50"/>
      <c r="E53" s="51"/>
      <c r="F53" s="73" t="str">
        <v/>
      </c>
      <c r="G53" s="73" t="str">
        <v/>
      </c>
      <c r="H53" s="74" t="str">
        <v/>
      </c>
      <c r="I53" s="75" t="str">
        <v/>
      </c>
      <c r="J53" s="73" t="str">
        <v/>
      </c>
      <c r="K53" s="73" t="str">
        <v/>
      </c>
      <c r="L53" s="73" t="str">
        <v/>
      </c>
      <c r="M53" s="55"/>
      <c r="N53" s="56"/>
      <c r="O53" s="56"/>
      <c r="P53" s="57"/>
      <c r="Q53" s="76" t="str">
        <v/>
      </c>
      <c r="R53" s="76" t="str">
        <v/>
      </c>
      <c r="S53" s="76" t="str">
        <v/>
      </c>
      <c r="T53" s="77" t="str">
        <v/>
      </c>
      <c r="U53" s="73" t="str">
        <v/>
      </c>
      <c r="V53" s="73" t="str">
        <v/>
      </c>
      <c r="W53" s="73" t="str">
        <v/>
      </c>
      <c r="X53" s="78" t="str">
        <v/>
      </c>
      <c r="Y53" s="61"/>
      <c r="Z53" s="91"/>
      <c r="AA53" s="92"/>
      <c r="AB53" s="92" t="str">
        <v/>
      </c>
      <c r="AC53" s="89" t="str">
        <v/>
      </c>
      <c r="AD53" s="90"/>
      <c r="AE53" s="74" t="str">
        <v/>
      </c>
      <c r="AF53" s="76" t="str">
        <v/>
      </c>
      <c r="AG53" s="76" t="str">
        <v/>
      </c>
      <c r="AH53" s="79" t="str">
        <v/>
      </c>
      <c r="AI53" s="73" t="str">
        <v/>
      </c>
      <c r="AJ53" s="73" t="str">
        <v/>
      </c>
      <c r="AK53" s="73" t="str">
        <v/>
      </c>
      <c r="AL53" s="80" t="str">
        <v/>
      </c>
      <c r="AM53" s="61"/>
      <c r="AN53" s="81"/>
      <c r="AO53" s="70"/>
      <c r="AP53" s="70" t="str">
        <v/>
      </c>
      <c r="AQ53" s="70" t="str">
        <v/>
      </c>
      <c r="AR53" s="70" t="str">
        <v/>
      </c>
      <c r="AS53" s="82" t="str">
        <v/>
      </c>
      <c r="AT53" s="61"/>
      <c r="AU53" s="71" t="str">
        <v/>
      </c>
      <c r="AV53" s="72" t="str">
        <v/>
      </c>
      <c r="AW53" s="61"/>
    </row>
    <row r="54" spans="1:49">
      <c r="A54" s="48"/>
      <c r="B54" s="49"/>
      <c r="C54" s="50"/>
      <c r="D54" s="50"/>
      <c r="E54" s="51"/>
      <c r="F54" s="73" t="str">
        <v/>
      </c>
      <c r="G54" s="73" t="str">
        <v/>
      </c>
      <c r="H54" s="74" t="str">
        <v/>
      </c>
      <c r="I54" s="75" t="str">
        <v/>
      </c>
      <c r="J54" s="73" t="str">
        <v/>
      </c>
      <c r="K54" s="73" t="str">
        <v/>
      </c>
      <c r="L54" s="73" t="str">
        <v/>
      </c>
      <c r="M54" s="55"/>
      <c r="N54" s="56"/>
      <c r="O54" s="56"/>
      <c r="P54" s="57"/>
      <c r="Q54" s="76" t="str">
        <v/>
      </c>
      <c r="R54" s="76" t="str">
        <v/>
      </c>
      <c r="S54" s="76" t="str">
        <v/>
      </c>
      <c r="T54" s="77" t="str">
        <v/>
      </c>
      <c r="U54" s="73" t="str">
        <v/>
      </c>
      <c r="V54" s="73" t="str">
        <v/>
      </c>
      <c r="W54" s="73" t="str">
        <v/>
      </c>
      <c r="X54" s="78" t="str">
        <v/>
      </c>
      <c r="Y54" s="61"/>
      <c r="Z54" s="91"/>
      <c r="AA54" s="92"/>
      <c r="AB54" s="92" t="str">
        <v/>
      </c>
      <c r="AC54" s="89" t="str">
        <v/>
      </c>
      <c r="AD54" s="90"/>
      <c r="AE54" s="74" t="str">
        <v/>
      </c>
      <c r="AF54" s="76" t="str">
        <v/>
      </c>
      <c r="AG54" s="76" t="str">
        <v/>
      </c>
      <c r="AH54" s="79" t="str">
        <v/>
      </c>
      <c r="AI54" s="73" t="str">
        <v/>
      </c>
      <c r="AJ54" s="73" t="str">
        <v/>
      </c>
      <c r="AK54" s="73" t="str">
        <v/>
      </c>
      <c r="AL54" s="80" t="str">
        <v/>
      </c>
      <c r="AM54" s="61"/>
      <c r="AN54" s="81"/>
      <c r="AO54" s="70"/>
      <c r="AP54" s="70" t="str">
        <v/>
      </c>
      <c r="AQ54" s="70" t="str">
        <v/>
      </c>
      <c r="AR54" s="70" t="str">
        <v/>
      </c>
      <c r="AS54" s="82" t="str">
        <v/>
      </c>
      <c r="AT54" s="61"/>
      <c r="AU54" s="71" t="str">
        <v/>
      </c>
      <c r="AV54" s="72" t="str">
        <v/>
      </c>
      <c r="AW54" s="61"/>
    </row>
    <row r="55" spans="1:49">
      <c r="A55" s="48"/>
      <c r="B55" s="49"/>
      <c r="C55" s="50"/>
      <c r="D55" s="50"/>
      <c r="E55" s="51"/>
      <c r="F55" s="73" t="str">
        <v/>
      </c>
      <c r="G55" s="73" t="str">
        <v/>
      </c>
      <c r="H55" s="74" t="str">
        <v/>
      </c>
      <c r="I55" s="75" t="str">
        <v/>
      </c>
      <c r="J55" s="73" t="str">
        <v/>
      </c>
      <c r="K55" s="73" t="str">
        <v/>
      </c>
      <c r="L55" s="73" t="str">
        <v/>
      </c>
      <c r="M55" s="55"/>
      <c r="N55" s="56"/>
      <c r="O55" s="56"/>
      <c r="P55" s="57"/>
      <c r="Q55" s="76" t="str">
        <v/>
      </c>
      <c r="R55" s="76" t="str">
        <v/>
      </c>
      <c r="S55" s="76" t="str">
        <v/>
      </c>
      <c r="T55" s="77" t="str">
        <v/>
      </c>
      <c r="U55" s="73" t="str">
        <v/>
      </c>
      <c r="V55" s="73" t="str">
        <v/>
      </c>
      <c r="W55" s="73" t="str">
        <v/>
      </c>
      <c r="X55" s="78" t="str">
        <v/>
      </c>
      <c r="Y55" s="61"/>
      <c r="Z55" s="91"/>
      <c r="AA55" s="92"/>
      <c r="AB55" s="92" t="str">
        <v/>
      </c>
      <c r="AC55" s="89" t="str">
        <v/>
      </c>
      <c r="AD55" s="90"/>
      <c r="AE55" s="74" t="str">
        <v/>
      </c>
      <c r="AF55" s="76" t="str">
        <v/>
      </c>
      <c r="AG55" s="76" t="str">
        <v/>
      </c>
      <c r="AH55" s="79" t="str">
        <v/>
      </c>
      <c r="AI55" s="73" t="str">
        <v/>
      </c>
      <c r="AJ55" s="73" t="str">
        <v/>
      </c>
      <c r="AK55" s="73" t="str">
        <v/>
      </c>
      <c r="AL55" s="80" t="str">
        <v/>
      </c>
      <c r="AM55" s="61"/>
      <c r="AN55" s="81"/>
      <c r="AO55" s="70"/>
      <c r="AP55" s="70" t="str">
        <v/>
      </c>
      <c r="AQ55" s="70" t="str">
        <v/>
      </c>
      <c r="AR55" s="70" t="str">
        <v/>
      </c>
      <c r="AS55" s="82" t="str">
        <v/>
      </c>
      <c r="AT55" s="61"/>
      <c r="AU55" s="71" t="str">
        <v/>
      </c>
      <c r="AV55" s="72" t="str">
        <v/>
      </c>
      <c r="AW55" s="61"/>
    </row>
    <row r="56" spans="1:49">
      <c r="A56" s="48"/>
      <c r="B56" s="49"/>
      <c r="C56" s="50"/>
      <c r="D56" s="50"/>
      <c r="E56" s="51"/>
      <c r="F56" s="73" t="str">
        <v/>
      </c>
      <c r="G56" s="73" t="str">
        <v/>
      </c>
      <c r="H56" s="74" t="str">
        <v/>
      </c>
      <c r="I56" s="75" t="str">
        <v/>
      </c>
      <c r="J56" s="73" t="str">
        <v/>
      </c>
      <c r="K56" s="73" t="str">
        <v/>
      </c>
      <c r="L56" s="73" t="str">
        <v/>
      </c>
      <c r="M56" s="55"/>
      <c r="N56" s="56"/>
      <c r="O56" s="56"/>
      <c r="P56" s="57"/>
      <c r="Q56" s="76" t="str">
        <v/>
      </c>
      <c r="R56" s="76" t="str">
        <v/>
      </c>
      <c r="S56" s="76" t="str">
        <v/>
      </c>
      <c r="T56" s="77" t="str">
        <v/>
      </c>
      <c r="U56" s="73" t="str">
        <v/>
      </c>
      <c r="V56" s="73" t="str">
        <v/>
      </c>
      <c r="W56" s="73" t="str">
        <v/>
      </c>
      <c r="X56" s="78" t="str">
        <v/>
      </c>
      <c r="Y56" s="61"/>
      <c r="Z56" s="91"/>
      <c r="AA56" s="92"/>
      <c r="AB56" s="92" t="str">
        <v/>
      </c>
      <c r="AC56" s="89" t="str">
        <v/>
      </c>
      <c r="AD56" s="90"/>
      <c r="AE56" s="74" t="str">
        <v/>
      </c>
      <c r="AF56" s="76" t="str">
        <v/>
      </c>
      <c r="AG56" s="76" t="str">
        <v/>
      </c>
      <c r="AH56" s="79" t="str">
        <v/>
      </c>
      <c r="AI56" s="73" t="str">
        <v/>
      </c>
      <c r="AJ56" s="73" t="str">
        <v/>
      </c>
      <c r="AK56" s="73" t="str">
        <v/>
      </c>
      <c r="AL56" s="80" t="str">
        <v/>
      </c>
      <c r="AM56" s="61"/>
      <c r="AN56" s="81"/>
      <c r="AO56" s="70"/>
      <c r="AP56" s="70" t="str">
        <v/>
      </c>
      <c r="AQ56" s="70" t="str">
        <v/>
      </c>
      <c r="AR56" s="70" t="str">
        <v/>
      </c>
      <c r="AS56" s="82" t="str">
        <v/>
      </c>
      <c r="AT56" s="61"/>
      <c r="AU56" s="71" t="str">
        <v/>
      </c>
      <c r="AV56" s="72" t="str">
        <v/>
      </c>
      <c r="AW56" s="61"/>
    </row>
    <row r="57" spans="1:49">
      <c r="A57" s="48"/>
      <c r="B57" s="49"/>
      <c r="C57" s="50"/>
      <c r="D57" s="50"/>
      <c r="E57" s="51"/>
      <c r="F57" s="73" t="str">
        <v/>
      </c>
      <c r="G57" s="73" t="str">
        <v/>
      </c>
      <c r="H57" s="74" t="str">
        <v/>
      </c>
      <c r="I57" s="75" t="str">
        <v/>
      </c>
      <c r="J57" s="73" t="str">
        <v/>
      </c>
      <c r="K57" s="73" t="str">
        <v/>
      </c>
      <c r="L57" s="73" t="str">
        <v/>
      </c>
      <c r="M57" s="55"/>
      <c r="N57" s="56"/>
      <c r="O57" s="56"/>
      <c r="P57" s="57"/>
      <c r="Q57" s="76" t="str">
        <v/>
      </c>
      <c r="R57" s="76" t="str">
        <v/>
      </c>
      <c r="S57" s="76" t="str">
        <v/>
      </c>
      <c r="T57" s="77" t="str">
        <v/>
      </c>
      <c r="U57" s="73" t="str">
        <v/>
      </c>
      <c r="V57" s="73" t="str">
        <v/>
      </c>
      <c r="W57" s="73" t="str">
        <v/>
      </c>
      <c r="X57" s="78" t="str">
        <v/>
      </c>
      <c r="Y57" s="61"/>
      <c r="Z57" s="91"/>
      <c r="AA57" s="92"/>
      <c r="AB57" s="92" t="str">
        <v/>
      </c>
      <c r="AC57" s="89" t="str">
        <v/>
      </c>
      <c r="AD57" s="90"/>
      <c r="AE57" s="74" t="str">
        <v/>
      </c>
      <c r="AF57" s="76" t="str">
        <v/>
      </c>
      <c r="AG57" s="76" t="str">
        <v/>
      </c>
      <c r="AH57" s="79" t="str">
        <v/>
      </c>
      <c r="AI57" s="73" t="str">
        <v/>
      </c>
      <c r="AJ57" s="73" t="str">
        <v/>
      </c>
      <c r="AK57" s="73" t="str">
        <v/>
      </c>
      <c r="AL57" s="80" t="str">
        <v/>
      </c>
      <c r="AM57" s="61"/>
      <c r="AN57" s="81"/>
      <c r="AO57" s="70"/>
      <c r="AP57" s="70" t="str">
        <v/>
      </c>
      <c r="AQ57" s="70" t="str">
        <v/>
      </c>
      <c r="AR57" s="70" t="str">
        <v/>
      </c>
      <c r="AS57" s="82" t="str">
        <v/>
      </c>
      <c r="AT57" s="61"/>
      <c r="AU57" s="71" t="str">
        <v/>
      </c>
      <c r="AV57" s="72" t="str">
        <v/>
      </c>
      <c r="AW57" s="61"/>
    </row>
    <row r="58" spans="1:49">
      <c r="A58" s="48"/>
      <c r="B58" s="49"/>
      <c r="C58" s="50"/>
      <c r="D58" s="50"/>
      <c r="E58" s="51"/>
      <c r="F58" s="73" t="str">
        <v/>
      </c>
      <c r="G58" s="73" t="str">
        <v/>
      </c>
      <c r="H58" s="74" t="str">
        <v/>
      </c>
      <c r="I58" s="75" t="str">
        <v/>
      </c>
      <c r="J58" s="73" t="str">
        <v/>
      </c>
      <c r="K58" s="73" t="str">
        <v/>
      </c>
      <c r="L58" s="73" t="str">
        <v/>
      </c>
      <c r="M58" s="55"/>
      <c r="N58" s="56"/>
      <c r="O58" s="56"/>
      <c r="P58" s="57"/>
      <c r="Q58" s="76" t="str">
        <v/>
      </c>
      <c r="R58" s="76" t="str">
        <v/>
      </c>
      <c r="S58" s="76" t="str">
        <v/>
      </c>
      <c r="T58" s="77" t="str">
        <v/>
      </c>
      <c r="U58" s="73" t="str">
        <v/>
      </c>
      <c r="V58" s="73" t="str">
        <v/>
      </c>
      <c r="W58" s="73" t="str">
        <v/>
      </c>
      <c r="X58" s="78" t="str">
        <v/>
      </c>
      <c r="Y58" s="61"/>
      <c r="Z58" s="91"/>
      <c r="AA58" s="92"/>
      <c r="AB58" s="92" t="str">
        <v/>
      </c>
      <c r="AC58" s="89" t="str">
        <v/>
      </c>
      <c r="AD58" s="90"/>
      <c r="AE58" s="74" t="str">
        <v/>
      </c>
      <c r="AF58" s="76" t="str">
        <v/>
      </c>
      <c r="AG58" s="76" t="str">
        <v/>
      </c>
      <c r="AH58" s="79" t="str">
        <v/>
      </c>
      <c r="AI58" s="73" t="str">
        <v/>
      </c>
      <c r="AJ58" s="73" t="str">
        <v/>
      </c>
      <c r="AK58" s="73" t="str">
        <v/>
      </c>
      <c r="AL58" s="80" t="str">
        <v/>
      </c>
      <c r="AM58" s="61"/>
      <c r="AN58" s="81"/>
      <c r="AO58" s="70"/>
      <c r="AP58" s="70" t="str">
        <v/>
      </c>
      <c r="AQ58" s="70" t="str">
        <v/>
      </c>
      <c r="AR58" s="70" t="str">
        <v/>
      </c>
      <c r="AS58" s="82" t="str">
        <v/>
      </c>
      <c r="AT58" s="61"/>
      <c r="AU58" s="71" t="str">
        <v/>
      </c>
      <c r="AV58" s="72" t="str">
        <v/>
      </c>
      <c r="AW58" s="61"/>
    </row>
    <row r="59" spans="1:49">
      <c r="A59" s="48"/>
      <c r="B59" s="49"/>
      <c r="C59" s="50"/>
      <c r="D59" s="50"/>
      <c r="E59" s="51"/>
      <c r="F59" s="73" t="str">
        <v/>
      </c>
      <c r="G59" s="73" t="str">
        <v/>
      </c>
      <c r="H59" s="74" t="str">
        <v/>
      </c>
      <c r="I59" s="75" t="str">
        <v/>
      </c>
      <c r="J59" s="73" t="str">
        <v/>
      </c>
      <c r="K59" s="73" t="str">
        <v/>
      </c>
      <c r="L59" s="73" t="str">
        <v/>
      </c>
      <c r="M59" s="55"/>
      <c r="N59" s="56"/>
      <c r="O59" s="56"/>
      <c r="P59" s="57"/>
      <c r="Q59" s="76" t="str">
        <v/>
      </c>
      <c r="R59" s="76" t="str">
        <v/>
      </c>
      <c r="S59" s="76" t="str">
        <v/>
      </c>
      <c r="T59" s="77" t="str">
        <v/>
      </c>
      <c r="U59" s="73" t="str">
        <v/>
      </c>
      <c r="V59" s="73" t="str">
        <v/>
      </c>
      <c r="W59" s="73" t="str">
        <v/>
      </c>
      <c r="X59" s="78" t="str">
        <v/>
      </c>
      <c r="Y59" s="61"/>
      <c r="Z59" s="91"/>
      <c r="AA59" s="92"/>
      <c r="AB59" s="92" t="str">
        <v/>
      </c>
      <c r="AC59" s="89" t="str">
        <v/>
      </c>
      <c r="AD59" s="90"/>
      <c r="AE59" s="74" t="str">
        <v/>
      </c>
      <c r="AF59" s="76" t="str">
        <v/>
      </c>
      <c r="AG59" s="76" t="str">
        <v/>
      </c>
      <c r="AH59" s="79" t="str">
        <v/>
      </c>
      <c r="AI59" s="73" t="str">
        <v/>
      </c>
      <c r="AJ59" s="73" t="str">
        <v/>
      </c>
      <c r="AK59" s="73" t="str">
        <v/>
      </c>
      <c r="AL59" s="80" t="str">
        <v/>
      </c>
      <c r="AM59" s="61"/>
      <c r="AN59" s="81"/>
      <c r="AO59" s="70"/>
      <c r="AP59" s="70" t="str">
        <v/>
      </c>
      <c r="AQ59" s="70" t="str">
        <v/>
      </c>
      <c r="AR59" s="70" t="str">
        <v/>
      </c>
      <c r="AS59" s="82" t="str">
        <v/>
      </c>
      <c r="AT59" s="61"/>
      <c r="AU59" s="71" t="str">
        <v/>
      </c>
      <c r="AV59" s="72" t="str">
        <v/>
      </c>
      <c r="AW59" s="61"/>
    </row>
    <row r="60" spans="1:49">
      <c r="A60" s="48"/>
      <c r="B60" s="49"/>
      <c r="C60" s="50"/>
      <c r="D60" s="50"/>
      <c r="E60" s="51"/>
      <c r="F60" s="73" t="str">
        <v/>
      </c>
      <c r="G60" s="73" t="str">
        <v/>
      </c>
      <c r="H60" s="74" t="str">
        <v/>
      </c>
      <c r="I60" s="75" t="str">
        <v/>
      </c>
      <c r="J60" s="73" t="str">
        <v/>
      </c>
      <c r="K60" s="73" t="str">
        <v/>
      </c>
      <c r="L60" s="73" t="str">
        <v/>
      </c>
      <c r="M60" s="55"/>
      <c r="N60" s="56"/>
      <c r="O60" s="56"/>
      <c r="P60" s="57"/>
      <c r="Q60" s="76" t="str">
        <v/>
      </c>
      <c r="R60" s="76" t="str">
        <v/>
      </c>
      <c r="S60" s="76" t="str">
        <v/>
      </c>
      <c r="T60" s="77" t="str">
        <v/>
      </c>
      <c r="U60" s="73" t="str">
        <v/>
      </c>
      <c r="V60" s="73" t="str">
        <v/>
      </c>
      <c r="W60" s="73" t="str">
        <v/>
      </c>
      <c r="X60" s="78" t="str">
        <v/>
      </c>
      <c r="Y60" s="61"/>
      <c r="Z60" s="91"/>
      <c r="AA60" s="92"/>
      <c r="AB60" s="92" t="str">
        <v/>
      </c>
      <c r="AC60" s="89" t="str">
        <v/>
      </c>
      <c r="AD60" s="90"/>
      <c r="AE60" s="74" t="str">
        <v/>
      </c>
      <c r="AF60" s="76" t="str">
        <v/>
      </c>
      <c r="AG60" s="76" t="str">
        <v/>
      </c>
      <c r="AH60" s="79" t="str">
        <v/>
      </c>
      <c r="AI60" s="73" t="str">
        <v/>
      </c>
      <c r="AJ60" s="73" t="str">
        <v/>
      </c>
      <c r="AK60" s="73" t="str">
        <v/>
      </c>
      <c r="AL60" s="80" t="str">
        <v/>
      </c>
      <c r="AM60" s="61"/>
      <c r="AN60" s="81"/>
      <c r="AO60" s="70"/>
      <c r="AP60" s="70" t="str">
        <v/>
      </c>
      <c r="AQ60" s="70" t="str">
        <v/>
      </c>
      <c r="AR60" s="70" t="str">
        <v/>
      </c>
      <c r="AS60" s="82" t="str">
        <v/>
      </c>
      <c r="AT60" s="61"/>
      <c r="AU60" s="71" t="str">
        <v/>
      </c>
      <c r="AV60" s="72" t="str">
        <v/>
      </c>
      <c r="AW60" s="61"/>
    </row>
    <row r="61" spans="1:49">
      <c r="A61" s="48"/>
      <c r="B61" s="49"/>
      <c r="C61" s="50"/>
      <c r="D61" s="50"/>
      <c r="E61" s="51"/>
      <c r="F61" s="73" t="str">
        <v/>
      </c>
      <c r="G61" s="73" t="str">
        <v/>
      </c>
      <c r="H61" s="74" t="str">
        <v/>
      </c>
      <c r="I61" s="75" t="str">
        <v/>
      </c>
      <c r="J61" s="73" t="str">
        <v/>
      </c>
      <c r="K61" s="73" t="str">
        <v/>
      </c>
      <c r="L61" s="73" t="str">
        <v/>
      </c>
      <c r="M61" s="55"/>
      <c r="N61" s="56"/>
      <c r="O61" s="56"/>
      <c r="P61" s="57"/>
      <c r="Q61" s="76" t="str">
        <v/>
      </c>
      <c r="R61" s="76" t="str">
        <v/>
      </c>
      <c r="S61" s="76" t="str">
        <v/>
      </c>
      <c r="T61" s="77" t="str">
        <v/>
      </c>
      <c r="U61" s="73" t="str">
        <v/>
      </c>
      <c r="V61" s="73" t="str">
        <v/>
      </c>
      <c r="W61" s="73" t="str">
        <v/>
      </c>
      <c r="X61" s="78" t="str">
        <v/>
      </c>
      <c r="Y61" s="61"/>
      <c r="Z61" s="91"/>
      <c r="AA61" s="92"/>
      <c r="AB61" s="92" t="str">
        <v/>
      </c>
      <c r="AC61" s="89" t="str">
        <v/>
      </c>
      <c r="AD61" s="90"/>
      <c r="AE61" s="74" t="str">
        <v/>
      </c>
      <c r="AF61" s="76" t="str">
        <v/>
      </c>
      <c r="AG61" s="76" t="str">
        <v/>
      </c>
      <c r="AH61" s="79" t="str">
        <v/>
      </c>
      <c r="AI61" s="73" t="str">
        <v/>
      </c>
      <c r="AJ61" s="73" t="str">
        <v/>
      </c>
      <c r="AK61" s="73" t="str">
        <v/>
      </c>
      <c r="AL61" s="80" t="str">
        <v/>
      </c>
      <c r="AM61" s="61"/>
      <c r="AN61" s="81"/>
      <c r="AO61" s="70"/>
      <c r="AP61" s="70" t="str">
        <v/>
      </c>
      <c r="AQ61" s="70" t="str">
        <v/>
      </c>
      <c r="AR61" s="70" t="str">
        <v/>
      </c>
      <c r="AS61" s="82" t="str">
        <v/>
      </c>
      <c r="AT61" s="61"/>
      <c r="AU61" s="71" t="str">
        <v/>
      </c>
      <c r="AV61" s="72" t="str">
        <v/>
      </c>
      <c r="AW61" s="61"/>
    </row>
    <row r="62" spans="1:49">
      <c r="A62" s="48"/>
      <c r="B62" s="49"/>
      <c r="C62" s="50"/>
      <c r="D62" s="50"/>
      <c r="E62" s="51"/>
      <c r="F62" s="73" t="str">
        <v/>
      </c>
      <c r="G62" s="73" t="str">
        <v/>
      </c>
      <c r="H62" s="74" t="str">
        <v/>
      </c>
      <c r="I62" s="75" t="str">
        <v/>
      </c>
      <c r="J62" s="73" t="str">
        <v/>
      </c>
      <c r="K62" s="73" t="str">
        <v/>
      </c>
      <c r="L62" s="73" t="str">
        <v/>
      </c>
      <c r="M62" s="55"/>
      <c r="N62" s="56"/>
      <c r="O62" s="56"/>
      <c r="P62" s="57"/>
      <c r="Q62" s="76" t="str">
        <v/>
      </c>
      <c r="R62" s="76" t="str">
        <v/>
      </c>
      <c r="S62" s="76" t="str">
        <v/>
      </c>
      <c r="T62" s="77" t="str">
        <v/>
      </c>
      <c r="U62" s="73" t="str">
        <v/>
      </c>
      <c r="V62" s="73" t="str">
        <v/>
      </c>
      <c r="W62" s="73" t="str">
        <v/>
      </c>
      <c r="X62" s="78" t="str">
        <v/>
      </c>
      <c r="Y62" s="61"/>
      <c r="Z62" s="91"/>
      <c r="AA62" s="92"/>
      <c r="AB62" s="92" t="str">
        <v/>
      </c>
      <c r="AC62" s="89" t="str">
        <v/>
      </c>
      <c r="AD62" s="90"/>
      <c r="AE62" s="74" t="str">
        <v/>
      </c>
      <c r="AF62" s="76" t="str">
        <v/>
      </c>
      <c r="AG62" s="76" t="str">
        <v/>
      </c>
      <c r="AH62" s="79" t="str">
        <v/>
      </c>
      <c r="AI62" s="73" t="str">
        <v/>
      </c>
      <c r="AJ62" s="73" t="str">
        <v/>
      </c>
      <c r="AK62" s="73" t="str">
        <v/>
      </c>
      <c r="AL62" s="80" t="str">
        <v/>
      </c>
      <c r="AM62" s="61"/>
      <c r="AN62" s="81"/>
      <c r="AO62" s="70"/>
      <c r="AP62" s="70" t="str">
        <v/>
      </c>
      <c r="AQ62" s="70" t="str">
        <v/>
      </c>
      <c r="AR62" s="70" t="str">
        <v/>
      </c>
      <c r="AS62" s="82" t="str">
        <v/>
      </c>
      <c r="AT62" s="61"/>
      <c r="AU62" s="71" t="str">
        <v/>
      </c>
      <c r="AV62" s="72" t="str">
        <v/>
      </c>
      <c r="AW62" s="61"/>
    </row>
    <row r="63" spans="1:49">
      <c r="A63" s="48"/>
      <c r="B63" s="49"/>
      <c r="C63" s="50"/>
      <c r="D63" s="50"/>
      <c r="E63" s="51"/>
      <c r="F63" s="73" t="str">
        <v/>
      </c>
      <c r="G63" s="73" t="str">
        <v/>
      </c>
      <c r="H63" s="74" t="str">
        <v/>
      </c>
      <c r="I63" s="75" t="str">
        <v/>
      </c>
      <c r="J63" s="73" t="str">
        <v/>
      </c>
      <c r="K63" s="73" t="str">
        <v/>
      </c>
      <c r="L63" s="73" t="str">
        <v/>
      </c>
      <c r="M63" s="55"/>
      <c r="N63" s="56"/>
      <c r="O63" s="56"/>
      <c r="P63" s="57"/>
      <c r="Q63" s="76" t="str">
        <v/>
      </c>
      <c r="R63" s="76" t="str">
        <v/>
      </c>
      <c r="S63" s="76" t="str">
        <v/>
      </c>
      <c r="T63" s="77" t="str">
        <v/>
      </c>
      <c r="U63" s="73" t="str">
        <v/>
      </c>
      <c r="V63" s="73" t="str">
        <v/>
      </c>
      <c r="W63" s="73" t="str">
        <v/>
      </c>
      <c r="X63" s="78" t="str">
        <v/>
      </c>
      <c r="Y63" s="61"/>
      <c r="Z63" s="91"/>
      <c r="AA63" s="92"/>
      <c r="AB63" s="92" t="str">
        <v/>
      </c>
      <c r="AC63" s="89" t="str">
        <v/>
      </c>
      <c r="AD63" s="90"/>
      <c r="AE63" s="74" t="str">
        <v/>
      </c>
      <c r="AF63" s="76" t="str">
        <v/>
      </c>
      <c r="AG63" s="76" t="str">
        <v/>
      </c>
      <c r="AH63" s="79" t="str">
        <v/>
      </c>
      <c r="AI63" s="73" t="str">
        <v/>
      </c>
      <c r="AJ63" s="73" t="str">
        <v/>
      </c>
      <c r="AK63" s="73" t="str">
        <v/>
      </c>
      <c r="AL63" s="80" t="str">
        <v/>
      </c>
      <c r="AM63" s="61"/>
      <c r="AN63" s="81"/>
      <c r="AO63" s="70"/>
      <c r="AP63" s="70" t="str">
        <v/>
      </c>
      <c r="AQ63" s="70" t="str">
        <v/>
      </c>
      <c r="AR63" s="70" t="str">
        <v/>
      </c>
      <c r="AS63" s="82" t="str">
        <v/>
      </c>
      <c r="AT63" s="61"/>
      <c r="AU63" s="71" t="str">
        <v/>
      </c>
      <c r="AV63" s="72" t="str">
        <v/>
      </c>
      <c r="AW63" s="61"/>
    </row>
    <row r="64" spans="1:49">
      <c r="A64" s="48"/>
      <c r="B64" s="49"/>
      <c r="C64" s="50"/>
      <c r="D64" s="50"/>
      <c r="E64" s="51"/>
      <c r="F64" s="73" t="str">
        <v/>
      </c>
      <c r="G64" s="73" t="str">
        <v/>
      </c>
      <c r="H64" s="74" t="str">
        <v/>
      </c>
      <c r="I64" s="75" t="str">
        <v/>
      </c>
      <c r="J64" s="73" t="str">
        <v/>
      </c>
      <c r="K64" s="73" t="str">
        <v/>
      </c>
      <c r="L64" s="73" t="str">
        <v/>
      </c>
      <c r="M64" s="55"/>
      <c r="N64" s="56"/>
      <c r="O64" s="56"/>
      <c r="P64" s="57"/>
      <c r="Q64" s="76" t="str">
        <v/>
      </c>
      <c r="R64" s="76" t="str">
        <v/>
      </c>
      <c r="S64" s="76" t="str">
        <v/>
      </c>
      <c r="T64" s="77" t="str">
        <v/>
      </c>
      <c r="U64" s="73" t="str">
        <v/>
      </c>
      <c r="V64" s="73" t="str">
        <v/>
      </c>
      <c r="W64" s="73" t="str">
        <v/>
      </c>
      <c r="X64" s="78" t="str">
        <v/>
      </c>
      <c r="Y64" s="61"/>
      <c r="Z64" s="91"/>
      <c r="AA64" s="92"/>
      <c r="AB64" s="92" t="str">
        <v/>
      </c>
      <c r="AC64" s="89" t="str">
        <v/>
      </c>
      <c r="AD64" s="90"/>
      <c r="AE64" s="74" t="str">
        <v/>
      </c>
      <c r="AF64" s="76" t="str">
        <v/>
      </c>
      <c r="AG64" s="76" t="str">
        <v/>
      </c>
      <c r="AH64" s="79" t="str">
        <v/>
      </c>
      <c r="AI64" s="73" t="str">
        <v/>
      </c>
      <c r="AJ64" s="73" t="str">
        <v/>
      </c>
      <c r="AK64" s="73" t="str">
        <v/>
      </c>
      <c r="AL64" s="80" t="str">
        <v/>
      </c>
      <c r="AM64" s="61"/>
      <c r="AN64" s="81"/>
      <c r="AO64" s="70"/>
      <c r="AP64" s="70" t="str">
        <v/>
      </c>
      <c r="AQ64" s="70" t="str">
        <v/>
      </c>
      <c r="AR64" s="70" t="str">
        <v/>
      </c>
      <c r="AS64" s="82" t="str">
        <v/>
      </c>
      <c r="AT64" s="61"/>
      <c r="AU64" s="71" t="str">
        <v/>
      </c>
      <c r="AV64" s="72" t="str">
        <v/>
      </c>
      <c r="AW64" s="61"/>
    </row>
    <row r="65" spans="1:49">
      <c r="A65" s="48"/>
      <c r="B65" s="49"/>
      <c r="C65" s="50"/>
      <c r="D65" s="50"/>
      <c r="E65" s="51"/>
      <c r="F65" s="73" t="str">
        <v/>
      </c>
      <c r="G65" s="73" t="str">
        <v/>
      </c>
      <c r="H65" s="74" t="str">
        <v/>
      </c>
      <c r="I65" s="75" t="str">
        <v/>
      </c>
      <c r="J65" s="73" t="str">
        <v/>
      </c>
      <c r="K65" s="73" t="str">
        <v/>
      </c>
      <c r="L65" s="73" t="str">
        <v/>
      </c>
      <c r="M65" s="55"/>
      <c r="N65" s="56"/>
      <c r="O65" s="56"/>
      <c r="P65" s="57"/>
      <c r="Q65" s="76" t="str">
        <v/>
      </c>
      <c r="R65" s="76" t="str">
        <v/>
      </c>
      <c r="S65" s="76" t="str">
        <v/>
      </c>
      <c r="T65" s="77" t="str">
        <v/>
      </c>
      <c r="U65" s="73" t="str">
        <v/>
      </c>
      <c r="V65" s="73" t="str">
        <v/>
      </c>
      <c r="W65" s="73" t="str">
        <v/>
      </c>
      <c r="X65" s="78" t="str">
        <v/>
      </c>
      <c r="Y65" s="61"/>
      <c r="Z65" s="91"/>
      <c r="AA65" s="92"/>
      <c r="AB65" s="92" t="str">
        <v/>
      </c>
      <c r="AC65" s="89" t="str">
        <v/>
      </c>
      <c r="AD65" s="90"/>
      <c r="AE65" s="74" t="str">
        <v/>
      </c>
      <c r="AF65" s="76" t="str">
        <v/>
      </c>
      <c r="AG65" s="76" t="str">
        <v/>
      </c>
      <c r="AH65" s="79" t="str">
        <v/>
      </c>
      <c r="AI65" s="73" t="str">
        <v/>
      </c>
      <c r="AJ65" s="73" t="str">
        <v/>
      </c>
      <c r="AK65" s="73" t="str">
        <v/>
      </c>
      <c r="AL65" s="80" t="str">
        <v/>
      </c>
      <c r="AM65" s="61"/>
      <c r="AN65" s="81"/>
      <c r="AO65" s="70"/>
      <c r="AP65" s="70" t="str">
        <v/>
      </c>
      <c r="AQ65" s="70" t="str">
        <v/>
      </c>
      <c r="AR65" s="70" t="str">
        <v/>
      </c>
      <c r="AS65" s="82" t="str">
        <v/>
      </c>
      <c r="AT65" s="61"/>
      <c r="AU65" s="71" t="str">
        <v/>
      </c>
      <c r="AV65" s="72" t="str">
        <v/>
      </c>
      <c r="AW65" s="61"/>
    </row>
    <row r="66" spans="1:49">
      <c r="A66" s="48"/>
      <c r="B66" s="49"/>
      <c r="C66" s="50"/>
      <c r="D66" s="50"/>
      <c r="E66" s="51"/>
      <c r="F66" s="73" t="str">
        <v/>
      </c>
      <c r="G66" s="73" t="str">
        <v/>
      </c>
      <c r="H66" s="74" t="str">
        <v/>
      </c>
      <c r="I66" s="75" t="str">
        <v/>
      </c>
      <c r="J66" s="73" t="str">
        <v/>
      </c>
      <c r="K66" s="73" t="str">
        <v/>
      </c>
      <c r="L66" s="73" t="str">
        <v/>
      </c>
      <c r="M66" s="55"/>
      <c r="N66" s="56"/>
      <c r="O66" s="56"/>
      <c r="P66" s="57"/>
      <c r="Q66" s="76" t="str">
        <v/>
      </c>
      <c r="R66" s="76" t="str">
        <v/>
      </c>
      <c r="S66" s="76" t="str">
        <v/>
      </c>
      <c r="T66" s="77" t="str">
        <v/>
      </c>
      <c r="U66" s="73" t="str">
        <v/>
      </c>
      <c r="V66" s="73" t="str">
        <v/>
      </c>
      <c r="W66" s="73" t="str">
        <v/>
      </c>
      <c r="X66" s="78" t="str">
        <v/>
      </c>
      <c r="Y66" s="61"/>
      <c r="Z66" s="91"/>
      <c r="AA66" s="92"/>
      <c r="AB66" s="92" t="str">
        <v/>
      </c>
      <c r="AC66" s="89" t="str">
        <v/>
      </c>
      <c r="AD66" s="90"/>
      <c r="AE66" s="74" t="str">
        <v/>
      </c>
      <c r="AF66" s="76" t="str">
        <v/>
      </c>
      <c r="AG66" s="76" t="str">
        <v/>
      </c>
      <c r="AH66" s="79" t="str">
        <v/>
      </c>
      <c r="AI66" s="73" t="str">
        <v/>
      </c>
      <c r="AJ66" s="73" t="str">
        <v/>
      </c>
      <c r="AK66" s="73" t="str">
        <v/>
      </c>
      <c r="AL66" s="80" t="str">
        <v/>
      </c>
      <c r="AM66" s="61"/>
      <c r="AN66" s="81"/>
      <c r="AO66" s="70"/>
      <c r="AP66" s="70" t="str">
        <v/>
      </c>
      <c r="AQ66" s="70" t="str">
        <v/>
      </c>
      <c r="AR66" s="70" t="str">
        <v/>
      </c>
      <c r="AS66" s="82" t="str">
        <v/>
      </c>
      <c r="AT66" s="61"/>
      <c r="AU66" s="71" t="str">
        <v/>
      </c>
      <c r="AV66" s="72" t="str">
        <v/>
      </c>
      <c r="AW66" s="61"/>
    </row>
    <row r="67" spans="1:49">
      <c r="A67" s="48"/>
      <c r="B67" s="49"/>
      <c r="C67" s="50"/>
      <c r="D67" s="50"/>
      <c r="E67" s="51"/>
      <c r="F67" s="73" t="str">
        <v/>
      </c>
      <c r="G67" s="73" t="str">
        <v/>
      </c>
      <c r="H67" s="74" t="str">
        <v/>
      </c>
      <c r="I67" s="75" t="str">
        <v/>
      </c>
      <c r="J67" s="73" t="str">
        <v/>
      </c>
      <c r="K67" s="73" t="str">
        <v/>
      </c>
      <c r="L67" s="73" t="str">
        <v/>
      </c>
      <c r="M67" s="55"/>
      <c r="N67" s="56"/>
      <c r="O67" s="56"/>
      <c r="P67" s="57"/>
      <c r="Q67" s="76" t="str">
        <v/>
      </c>
      <c r="R67" s="76" t="str">
        <v/>
      </c>
      <c r="S67" s="76" t="str">
        <v/>
      </c>
      <c r="T67" s="77" t="str">
        <v/>
      </c>
      <c r="U67" s="73" t="str">
        <v/>
      </c>
      <c r="V67" s="73" t="str">
        <v/>
      </c>
      <c r="W67" s="73" t="str">
        <v/>
      </c>
      <c r="X67" s="78" t="str">
        <v/>
      </c>
      <c r="Y67" s="61"/>
      <c r="Z67" s="91"/>
      <c r="AA67" s="92"/>
      <c r="AB67" s="92" t="str">
        <v/>
      </c>
      <c r="AC67" s="89" t="str">
        <v/>
      </c>
      <c r="AD67" s="90"/>
      <c r="AE67" s="74" t="str">
        <v/>
      </c>
      <c r="AF67" s="76" t="str">
        <v/>
      </c>
      <c r="AG67" s="76" t="str">
        <v/>
      </c>
      <c r="AH67" s="79" t="str">
        <v/>
      </c>
      <c r="AI67" s="73" t="str">
        <v/>
      </c>
      <c r="AJ67" s="73" t="str">
        <v/>
      </c>
      <c r="AK67" s="73" t="str">
        <v/>
      </c>
      <c r="AL67" s="80" t="str">
        <v/>
      </c>
      <c r="AM67" s="61"/>
      <c r="AN67" s="81"/>
      <c r="AO67" s="70"/>
      <c r="AP67" s="70" t="str">
        <v/>
      </c>
      <c r="AQ67" s="70" t="str">
        <v/>
      </c>
      <c r="AR67" s="70" t="str">
        <v/>
      </c>
      <c r="AS67" s="82" t="str">
        <v/>
      </c>
      <c r="AT67" s="61"/>
      <c r="AU67" s="71" t="str">
        <v/>
      </c>
      <c r="AV67" s="72" t="str">
        <v/>
      </c>
      <c r="AW67" s="61"/>
    </row>
    <row r="68" spans="1:49">
      <c r="A68" s="48"/>
      <c r="B68" s="49"/>
      <c r="C68" s="50"/>
      <c r="D68" s="50"/>
      <c r="E68" s="51"/>
      <c r="F68" s="73" t="str">
        <v/>
      </c>
      <c r="G68" s="73" t="str">
        <v/>
      </c>
      <c r="H68" s="74" t="str">
        <v/>
      </c>
      <c r="I68" s="75" t="str">
        <v/>
      </c>
      <c r="J68" s="73" t="str">
        <v/>
      </c>
      <c r="K68" s="73" t="str">
        <v/>
      </c>
      <c r="L68" s="73" t="str">
        <v/>
      </c>
      <c r="M68" s="55"/>
      <c r="N68" s="56"/>
      <c r="O68" s="56"/>
      <c r="P68" s="57"/>
      <c r="Q68" s="76" t="str">
        <v/>
      </c>
      <c r="R68" s="76" t="str">
        <v/>
      </c>
      <c r="S68" s="76" t="str">
        <v/>
      </c>
      <c r="T68" s="77" t="str">
        <v/>
      </c>
      <c r="U68" s="73" t="str">
        <v/>
      </c>
      <c r="V68" s="73" t="str">
        <v/>
      </c>
      <c r="W68" s="73" t="str">
        <v/>
      </c>
      <c r="X68" s="78" t="str">
        <v/>
      </c>
      <c r="Y68" s="61"/>
      <c r="Z68" s="91"/>
      <c r="AA68" s="92"/>
      <c r="AB68" s="92" t="str">
        <v/>
      </c>
      <c r="AC68" s="89" t="str">
        <v/>
      </c>
      <c r="AD68" s="90"/>
      <c r="AE68" s="74" t="str">
        <v/>
      </c>
      <c r="AF68" s="76" t="str">
        <v/>
      </c>
      <c r="AG68" s="76" t="str">
        <v/>
      </c>
      <c r="AH68" s="79" t="str">
        <v/>
      </c>
      <c r="AI68" s="73" t="str">
        <v/>
      </c>
      <c r="AJ68" s="73" t="str">
        <v/>
      </c>
      <c r="AK68" s="73" t="str">
        <v/>
      </c>
      <c r="AL68" s="80" t="str">
        <v/>
      </c>
      <c r="AM68" s="61"/>
      <c r="AN68" s="81"/>
      <c r="AO68" s="70"/>
      <c r="AP68" s="70" t="str">
        <v/>
      </c>
      <c r="AQ68" s="70" t="str">
        <v/>
      </c>
      <c r="AR68" s="70" t="str">
        <v/>
      </c>
      <c r="AS68" s="82" t="str">
        <v/>
      </c>
      <c r="AT68" s="61"/>
      <c r="AU68" s="71" t="str">
        <v/>
      </c>
      <c r="AV68" s="72" t="str">
        <v/>
      </c>
      <c r="AW68" s="61"/>
    </row>
    <row r="69" spans="1:49">
      <c r="A69" s="48"/>
      <c r="B69" s="49"/>
      <c r="C69" s="50"/>
      <c r="D69" s="50"/>
      <c r="E69" s="51"/>
      <c r="F69" s="73" t="str">
        <v/>
      </c>
      <c r="G69" s="73" t="str">
        <v/>
      </c>
      <c r="H69" s="74" t="str">
        <v/>
      </c>
      <c r="I69" s="75" t="str">
        <v/>
      </c>
      <c r="J69" s="73" t="str">
        <v/>
      </c>
      <c r="K69" s="73" t="str">
        <v/>
      </c>
      <c r="L69" s="73" t="str">
        <v/>
      </c>
      <c r="M69" s="55"/>
      <c r="N69" s="56"/>
      <c r="O69" s="56"/>
      <c r="P69" s="57"/>
      <c r="Q69" s="76" t="str">
        <v/>
      </c>
      <c r="R69" s="76" t="str">
        <v/>
      </c>
      <c r="S69" s="76" t="str">
        <v/>
      </c>
      <c r="T69" s="77" t="str">
        <v/>
      </c>
      <c r="U69" s="73" t="str">
        <v/>
      </c>
      <c r="V69" s="73" t="str">
        <v/>
      </c>
      <c r="W69" s="73" t="str">
        <v/>
      </c>
      <c r="X69" s="78" t="str">
        <v/>
      </c>
      <c r="Y69" s="61"/>
      <c r="Z69" s="91"/>
      <c r="AA69" s="92"/>
      <c r="AB69" s="92" t="str">
        <v/>
      </c>
      <c r="AC69" s="89" t="str">
        <v/>
      </c>
      <c r="AD69" s="90"/>
      <c r="AE69" s="74" t="str">
        <v/>
      </c>
      <c r="AF69" s="76" t="str">
        <v/>
      </c>
      <c r="AG69" s="76" t="str">
        <v/>
      </c>
      <c r="AH69" s="79" t="str">
        <v/>
      </c>
      <c r="AI69" s="73" t="str">
        <v/>
      </c>
      <c r="AJ69" s="73" t="str">
        <v/>
      </c>
      <c r="AK69" s="73" t="str">
        <v/>
      </c>
      <c r="AL69" s="80" t="str">
        <v/>
      </c>
      <c r="AM69" s="61"/>
      <c r="AN69" s="81"/>
      <c r="AO69" s="70"/>
      <c r="AP69" s="70" t="str">
        <v/>
      </c>
      <c r="AQ69" s="70" t="str">
        <v/>
      </c>
      <c r="AR69" s="70" t="str">
        <v/>
      </c>
      <c r="AS69" s="82" t="str">
        <v/>
      </c>
      <c r="AT69" s="61"/>
      <c r="AU69" s="71" t="str">
        <v/>
      </c>
      <c r="AV69" s="72" t="str">
        <v/>
      </c>
      <c r="AW69" s="61"/>
    </row>
    <row r="70" spans="1:49">
      <c r="A70" s="48"/>
      <c r="B70" s="49"/>
      <c r="C70" s="50"/>
      <c r="D70" s="50"/>
      <c r="E70" s="51"/>
      <c r="F70" s="73" t="str">
        <v/>
      </c>
      <c r="G70" s="73" t="str">
        <v/>
      </c>
      <c r="H70" s="74" t="str">
        <v/>
      </c>
      <c r="I70" s="75" t="str">
        <v/>
      </c>
      <c r="J70" s="73" t="str">
        <v/>
      </c>
      <c r="K70" s="73" t="str">
        <v/>
      </c>
      <c r="L70" s="73" t="str">
        <v/>
      </c>
      <c r="M70" s="55"/>
      <c r="N70" s="56"/>
      <c r="O70" s="56"/>
      <c r="P70" s="57"/>
      <c r="Q70" s="76" t="str">
        <v/>
      </c>
      <c r="R70" s="76" t="str">
        <v/>
      </c>
      <c r="S70" s="76" t="str">
        <v/>
      </c>
      <c r="T70" s="77" t="str">
        <v/>
      </c>
      <c r="U70" s="73" t="str">
        <v/>
      </c>
      <c r="V70" s="73" t="str">
        <v/>
      </c>
      <c r="W70" s="73" t="str">
        <v/>
      </c>
      <c r="X70" s="78" t="str">
        <v/>
      </c>
      <c r="Y70" s="61"/>
      <c r="Z70" s="91"/>
      <c r="AA70" s="92"/>
      <c r="AB70" s="92" t="str">
        <v/>
      </c>
      <c r="AC70" s="89" t="str">
        <v/>
      </c>
      <c r="AD70" s="90"/>
      <c r="AE70" s="74" t="str">
        <v/>
      </c>
      <c r="AF70" s="76" t="str">
        <v/>
      </c>
      <c r="AG70" s="76" t="str">
        <v/>
      </c>
      <c r="AH70" s="79" t="str">
        <v/>
      </c>
      <c r="AI70" s="73" t="str">
        <v/>
      </c>
      <c r="AJ70" s="73" t="str">
        <v/>
      </c>
      <c r="AK70" s="73" t="str">
        <v/>
      </c>
      <c r="AL70" s="80" t="str">
        <v/>
      </c>
      <c r="AM70" s="61"/>
      <c r="AN70" s="81"/>
      <c r="AO70" s="70"/>
      <c r="AP70" s="70" t="str">
        <v/>
      </c>
      <c r="AQ70" s="70" t="str">
        <v/>
      </c>
      <c r="AR70" s="70" t="str">
        <v/>
      </c>
      <c r="AS70" s="82" t="str">
        <v/>
      </c>
      <c r="AT70" s="61"/>
      <c r="AU70" s="71" t="str">
        <v/>
      </c>
      <c r="AV70" s="72" t="str">
        <v/>
      </c>
      <c r="AW70" s="61"/>
    </row>
    <row r="71" spans="1:49">
      <c r="A71" s="48"/>
      <c r="B71" s="49"/>
      <c r="C71" s="50"/>
      <c r="D71" s="50"/>
      <c r="E71" s="51"/>
      <c r="F71" s="73" t="str">
        <v/>
      </c>
      <c r="G71" s="73" t="str">
        <v/>
      </c>
      <c r="H71" s="74" t="str">
        <v/>
      </c>
      <c r="I71" s="75" t="str">
        <v/>
      </c>
      <c r="J71" s="73" t="str">
        <v/>
      </c>
      <c r="K71" s="73" t="str">
        <v/>
      </c>
      <c r="L71" s="73" t="str">
        <v/>
      </c>
      <c r="M71" s="55"/>
      <c r="N71" s="56"/>
      <c r="O71" s="56"/>
      <c r="P71" s="57"/>
      <c r="Q71" s="76" t="str">
        <v/>
      </c>
      <c r="R71" s="76" t="str">
        <v/>
      </c>
      <c r="S71" s="76" t="str">
        <v/>
      </c>
      <c r="T71" s="77" t="str">
        <v/>
      </c>
      <c r="U71" s="73" t="str">
        <v/>
      </c>
      <c r="V71" s="73" t="str">
        <v/>
      </c>
      <c r="W71" s="73" t="str">
        <v/>
      </c>
      <c r="X71" s="78" t="str">
        <v/>
      </c>
      <c r="Y71" s="61"/>
      <c r="Z71" s="91"/>
      <c r="AA71" s="92"/>
      <c r="AB71" s="92" t="str">
        <v/>
      </c>
      <c r="AC71" s="89" t="str">
        <v/>
      </c>
      <c r="AD71" s="90"/>
      <c r="AE71" s="74" t="str">
        <v/>
      </c>
      <c r="AF71" s="76" t="str">
        <v/>
      </c>
      <c r="AG71" s="76" t="str">
        <v/>
      </c>
      <c r="AH71" s="79" t="str">
        <v/>
      </c>
      <c r="AI71" s="73" t="str">
        <v/>
      </c>
      <c r="AJ71" s="73" t="str">
        <v/>
      </c>
      <c r="AK71" s="73" t="str">
        <v/>
      </c>
      <c r="AL71" s="80" t="str">
        <v/>
      </c>
      <c r="AM71" s="61"/>
      <c r="AN71" s="81"/>
      <c r="AO71" s="70"/>
      <c r="AP71" s="70" t="str">
        <v/>
      </c>
      <c r="AQ71" s="70" t="str">
        <v/>
      </c>
      <c r="AR71" s="70" t="str">
        <v/>
      </c>
      <c r="AS71" s="82" t="str">
        <v/>
      </c>
      <c r="AT71" s="61"/>
      <c r="AU71" s="71" t="str">
        <v/>
      </c>
      <c r="AV71" s="72" t="str">
        <v/>
      </c>
      <c r="AW71" s="61"/>
    </row>
    <row r="72" spans="1:49">
      <c r="A72" s="48"/>
      <c r="B72" s="49"/>
      <c r="C72" s="50"/>
      <c r="D72" s="50"/>
      <c r="E72" s="51"/>
      <c r="F72" s="73" t="str">
        <v/>
      </c>
      <c r="G72" s="73" t="str">
        <v/>
      </c>
      <c r="H72" s="74" t="str">
        <v/>
      </c>
      <c r="I72" s="75" t="str">
        <v/>
      </c>
      <c r="J72" s="73" t="str">
        <v/>
      </c>
      <c r="K72" s="73" t="str">
        <v/>
      </c>
      <c r="L72" s="73" t="str">
        <v/>
      </c>
      <c r="M72" s="55"/>
      <c r="N72" s="56"/>
      <c r="O72" s="56"/>
      <c r="P72" s="57"/>
      <c r="Q72" s="76" t="str">
        <v/>
      </c>
      <c r="R72" s="76" t="str">
        <v/>
      </c>
      <c r="S72" s="76" t="str">
        <v/>
      </c>
      <c r="T72" s="77" t="str">
        <v/>
      </c>
      <c r="U72" s="73" t="str">
        <v/>
      </c>
      <c r="V72" s="73" t="str">
        <v/>
      </c>
      <c r="W72" s="73" t="str">
        <v/>
      </c>
      <c r="X72" s="78" t="str">
        <v/>
      </c>
      <c r="Y72" s="61"/>
      <c r="Z72" s="91"/>
      <c r="AA72" s="92"/>
      <c r="AB72" s="92" t="str">
        <v/>
      </c>
      <c r="AC72" s="89" t="str">
        <v/>
      </c>
      <c r="AD72" s="90"/>
      <c r="AE72" s="74" t="str">
        <v/>
      </c>
      <c r="AF72" s="76" t="str">
        <v/>
      </c>
      <c r="AG72" s="76" t="str">
        <v/>
      </c>
      <c r="AH72" s="79" t="str">
        <v/>
      </c>
      <c r="AI72" s="73" t="str">
        <v/>
      </c>
      <c r="AJ72" s="73" t="str">
        <v/>
      </c>
      <c r="AK72" s="73" t="str">
        <v/>
      </c>
      <c r="AL72" s="80" t="str">
        <v/>
      </c>
      <c r="AM72" s="61"/>
      <c r="AN72" s="81"/>
      <c r="AO72" s="70"/>
      <c r="AP72" s="70" t="str">
        <v/>
      </c>
      <c r="AQ72" s="70" t="str">
        <v/>
      </c>
      <c r="AR72" s="70" t="str">
        <v/>
      </c>
      <c r="AS72" s="82" t="str">
        <v/>
      </c>
      <c r="AT72" s="61"/>
      <c r="AU72" s="71" t="str">
        <v/>
      </c>
      <c r="AV72" s="72" t="str">
        <v/>
      </c>
      <c r="AW72" s="61"/>
    </row>
    <row r="73" spans="1:49">
      <c r="A73" s="48"/>
      <c r="B73" s="49"/>
      <c r="C73" s="50"/>
      <c r="D73" s="50"/>
      <c r="E73" s="51"/>
      <c r="F73" s="73" t="str">
        <v/>
      </c>
      <c r="G73" s="73" t="str">
        <v/>
      </c>
      <c r="H73" s="74" t="str">
        <v/>
      </c>
      <c r="I73" s="75" t="str">
        <v/>
      </c>
      <c r="J73" s="73" t="str">
        <v/>
      </c>
      <c r="K73" s="73" t="str">
        <v/>
      </c>
      <c r="L73" s="73" t="str">
        <v/>
      </c>
      <c r="M73" s="55"/>
      <c r="N73" s="56"/>
      <c r="O73" s="56"/>
      <c r="P73" s="57"/>
      <c r="Q73" s="76" t="str">
        <v/>
      </c>
      <c r="R73" s="76" t="str">
        <v/>
      </c>
      <c r="S73" s="76" t="str">
        <v/>
      </c>
      <c r="T73" s="77" t="str">
        <v/>
      </c>
      <c r="U73" s="73" t="str">
        <v/>
      </c>
      <c r="V73" s="73" t="str">
        <v/>
      </c>
      <c r="W73" s="73" t="str">
        <v/>
      </c>
      <c r="X73" s="78" t="str">
        <v/>
      </c>
      <c r="Y73" s="61"/>
      <c r="Z73" s="91"/>
      <c r="AA73" s="92"/>
      <c r="AB73" s="92" t="str">
        <v/>
      </c>
      <c r="AC73" s="89" t="str">
        <v/>
      </c>
      <c r="AD73" s="90"/>
      <c r="AE73" s="74" t="str">
        <v/>
      </c>
      <c r="AF73" s="76" t="str">
        <v/>
      </c>
      <c r="AG73" s="76" t="str">
        <v/>
      </c>
      <c r="AH73" s="79" t="str">
        <v/>
      </c>
      <c r="AI73" s="73" t="str">
        <v/>
      </c>
      <c r="AJ73" s="73" t="str">
        <v/>
      </c>
      <c r="AK73" s="73" t="str">
        <v/>
      </c>
      <c r="AL73" s="80" t="str">
        <v/>
      </c>
      <c r="AM73" s="61"/>
      <c r="AN73" s="81"/>
      <c r="AO73" s="70"/>
      <c r="AP73" s="70" t="str">
        <v/>
      </c>
      <c r="AQ73" s="70" t="str">
        <v/>
      </c>
      <c r="AR73" s="70" t="str">
        <v/>
      </c>
      <c r="AS73" s="82" t="str">
        <v/>
      </c>
      <c r="AT73" s="61"/>
      <c r="AU73" s="71" t="str">
        <v/>
      </c>
      <c r="AV73" s="72" t="str">
        <v/>
      </c>
      <c r="AW73" s="61"/>
    </row>
    <row r="74" spans="1:49">
      <c r="A74" s="48"/>
      <c r="B74" s="49"/>
      <c r="C74" s="50"/>
      <c r="D74" s="50"/>
      <c r="E74" s="51"/>
      <c r="F74" s="73" t="str">
        <v/>
      </c>
      <c r="G74" s="73" t="str">
        <v/>
      </c>
      <c r="H74" s="74" t="str">
        <v/>
      </c>
      <c r="I74" s="75" t="str">
        <v/>
      </c>
      <c r="J74" s="73" t="str">
        <v/>
      </c>
      <c r="K74" s="73" t="str">
        <v/>
      </c>
      <c r="L74" s="73" t="str">
        <v/>
      </c>
      <c r="M74" s="55"/>
      <c r="N74" s="56"/>
      <c r="O74" s="56"/>
      <c r="P74" s="57"/>
      <c r="Q74" s="76" t="str">
        <v/>
      </c>
      <c r="R74" s="76" t="str">
        <v/>
      </c>
      <c r="S74" s="76" t="str">
        <v/>
      </c>
      <c r="T74" s="77" t="str">
        <v/>
      </c>
      <c r="U74" s="73" t="str">
        <v/>
      </c>
      <c r="V74" s="73" t="str">
        <v/>
      </c>
      <c r="W74" s="73" t="str">
        <v/>
      </c>
      <c r="X74" s="78" t="str">
        <v/>
      </c>
      <c r="Y74" s="61"/>
      <c r="Z74" s="91"/>
      <c r="AA74" s="92"/>
      <c r="AB74" s="92" t="str">
        <v/>
      </c>
      <c r="AC74" s="89" t="str">
        <v/>
      </c>
      <c r="AD74" s="90"/>
      <c r="AE74" s="74" t="str">
        <v/>
      </c>
      <c r="AF74" s="76" t="str">
        <v/>
      </c>
      <c r="AG74" s="76" t="str">
        <v/>
      </c>
      <c r="AH74" s="79" t="str">
        <v/>
      </c>
      <c r="AI74" s="73" t="str">
        <v/>
      </c>
      <c r="AJ74" s="73" t="str">
        <v/>
      </c>
      <c r="AK74" s="73" t="str">
        <v/>
      </c>
      <c r="AL74" s="80" t="str">
        <v/>
      </c>
      <c r="AM74" s="61"/>
      <c r="AN74" s="81"/>
      <c r="AO74" s="70"/>
      <c r="AP74" s="70" t="str">
        <v/>
      </c>
      <c r="AQ74" s="70" t="str">
        <v/>
      </c>
      <c r="AR74" s="70" t="str">
        <v/>
      </c>
      <c r="AS74" s="82" t="str">
        <v/>
      </c>
      <c r="AT74" s="61"/>
      <c r="AU74" s="71" t="str">
        <v/>
      </c>
      <c r="AV74" s="72" t="str">
        <v/>
      </c>
      <c r="AW74" s="61"/>
    </row>
    <row r="75" spans="1:49">
      <c r="A75" s="48"/>
      <c r="B75" s="49"/>
      <c r="C75" s="50"/>
      <c r="D75" s="50"/>
      <c r="E75" s="51"/>
      <c r="F75" s="73" t="str">
        <v/>
      </c>
      <c r="G75" s="73" t="str">
        <v/>
      </c>
      <c r="H75" s="74" t="str">
        <v/>
      </c>
      <c r="I75" s="75" t="str">
        <v/>
      </c>
      <c r="J75" s="73" t="str">
        <v/>
      </c>
      <c r="K75" s="73" t="str">
        <v/>
      </c>
      <c r="L75" s="73" t="str">
        <v/>
      </c>
      <c r="M75" s="55"/>
      <c r="N75" s="56"/>
      <c r="O75" s="56"/>
      <c r="P75" s="57"/>
      <c r="Q75" s="76" t="str">
        <v/>
      </c>
      <c r="R75" s="76" t="str">
        <v/>
      </c>
      <c r="S75" s="76" t="str">
        <v/>
      </c>
      <c r="T75" s="77" t="str">
        <v/>
      </c>
      <c r="U75" s="73" t="str">
        <v/>
      </c>
      <c r="V75" s="73" t="str">
        <v/>
      </c>
      <c r="W75" s="73" t="str">
        <v/>
      </c>
      <c r="X75" s="78" t="str">
        <v/>
      </c>
      <c r="Y75" s="61"/>
      <c r="Z75" s="91"/>
      <c r="AA75" s="92"/>
      <c r="AB75" s="92" t="str">
        <v/>
      </c>
      <c r="AC75" s="89" t="str">
        <v/>
      </c>
      <c r="AD75" s="90"/>
      <c r="AE75" s="74" t="str">
        <v/>
      </c>
      <c r="AF75" s="76" t="str">
        <v/>
      </c>
      <c r="AG75" s="76" t="str">
        <v/>
      </c>
      <c r="AH75" s="79" t="str">
        <v/>
      </c>
      <c r="AI75" s="73" t="str">
        <v/>
      </c>
      <c r="AJ75" s="73" t="str">
        <v/>
      </c>
      <c r="AK75" s="73" t="str">
        <v/>
      </c>
      <c r="AL75" s="80" t="str">
        <v/>
      </c>
      <c r="AM75" s="61"/>
      <c r="AN75" s="81"/>
      <c r="AO75" s="70"/>
      <c r="AP75" s="70" t="str">
        <v/>
      </c>
      <c r="AQ75" s="70" t="str">
        <v/>
      </c>
      <c r="AR75" s="70" t="str">
        <v/>
      </c>
      <c r="AS75" s="82" t="str">
        <v/>
      </c>
      <c r="AT75" s="61"/>
      <c r="AU75" s="71" t="str">
        <v/>
      </c>
      <c r="AV75" s="72" t="str">
        <v/>
      </c>
      <c r="AW75" s="61"/>
    </row>
    <row r="76" spans="1:49">
      <c r="A76" s="48"/>
      <c r="B76" s="49"/>
      <c r="C76" s="50"/>
      <c r="D76" s="50"/>
      <c r="E76" s="51"/>
      <c r="F76" s="73" t="str">
        <v/>
      </c>
      <c r="G76" s="73" t="str">
        <v/>
      </c>
      <c r="H76" s="74" t="str">
        <v/>
      </c>
      <c r="I76" s="75" t="str">
        <v/>
      </c>
      <c r="J76" s="73" t="str">
        <v/>
      </c>
      <c r="K76" s="73" t="str">
        <v/>
      </c>
      <c r="L76" s="73" t="str">
        <v/>
      </c>
      <c r="M76" s="55"/>
      <c r="N76" s="56"/>
      <c r="O76" s="56"/>
      <c r="P76" s="57"/>
      <c r="Q76" s="76" t="str">
        <v/>
      </c>
      <c r="R76" s="76" t="str">
        <v/>
      </c>
      <c r="S76" s="76" t="str">
        <v/>
      </c>
      <c r="T76" s="77" t="str">
        <v/>
      </c>
      <c r="U76" s="73" t="str">
        <v/>
      </c>
      <c r="V76" s="73" t="str">
        <v/>
      </c>
      <c r="W76" s="73" t="str">
        <v/>
      </c>
      <c r="X76" s="78" t="str">
        <v/>
      </c>
      <c r="Y76" s="61"/>
      <c r="Z76" s="91"/>
      <c r="AA76" s="92"/>
      <c r="AB76" s="92" t="str">
        <v/>
      </c>
      <c r="AC76" s="89" t="str">
        <v/>
      </c>
      <c r="AD76" s="90"/>
      <c r="AE76" s="74" t="str">
        <v/>
      </c>
      <c r="AF76" s="76" t="str">
        <v/>
      </c>
      <c r="AG76" s="76" t="str">
        <v/>
      </c>
      <c r="AH76" s="79" t="str">
        <v/>
      </c>
      <c r="AI76" s="73" t="str">
        <v/>
      </c>
      <c r="AJ76" s="73" t="str">
        <v/>
      </c>
      <c r="AK76" s="73" t="str">
        <v/>
      </c>
      <c r="AL76" s="80" t="str">
        <v/>
      </c>
      <c r="AM76" s="61"/>
      <c r="AN76" s="81"/>
      <c r="AO76" s="70"/>
      <c r="AP76" s="70" t="str">
        <v/>
      </c>
      <c r="AQ76" s="70" t="str">
        <v/>
      </c>
      <c r="AR76" s="70" t="str">
        <v/>
      </c>
      <c r="AS76" s="82" t="str">
        <v/>
      </c>
      <c r="AT76" s="61"/>
      <c r="AU76" s="71" t="str">
        <v/>
      </c>
      <c r="AV76" s="72" t="str">
        <v/>
      </c>
      <c r="AW76" s="61"/>
    </row>
    <row r="77" spans="1:49">
      <c r="A77" s="48"/>
      <c r="B77" s="49"/>
      <c r="C77" s="50"/>
      <c r="D77" s="50"/>
      <c r="E77" s="51"/>
      <c r="F77" s="73" t="str">
        <v/>
      </c>
      <c r="G77" s="73" t="str">
        <v/>
      </c>
      <c r="H77" s="74" t="str">
        <v/>
      </c>
      <c r="I77" s="75" t="str">
        <v/>
      </c>
      <c r="J77" s="73" t="str">
        <v/>
      </c>
      <c r="K77" s="73" t="str">
        <v/>
      </c>
      <c r="L77" s="73" t="str">
        <v/>
      </c>
      <c r="M77" s="55"/>
      <c r="N77" s="56"/>
      <c r="O77" s="56"/>
      <c r="P77" s="57"/>
      <c r="Q77" s="76" t="str">
        <v/>
      </c>
      <c r="R77" s="76" t="str">
        <v/>
      </c>
      <c r="S77" s="76" t="str">
        <v/>
      </c>
      <c r="T77" s="77" t="str">
        <v/>
      </c>
      <c r="U77" s="73" t="str">
        <v/>
      </c>
      <c r="V77" s="73" t="str">
        <v/>
      </c>
      <c r="W77" s="73" t="str">
        <v/>
      </c>
      <c r="X77" s="78" t="str">
        <v/>
      </c>
      <c r="Y77" s="61"/>
      <c r="Z77" s="91"/>
      <c r="AA77" s="92"/>
      <c r="AB77" s="92" t="str">
        <v/>
      </c>
      <c r="AC77" s="89" t="str">
        <v/>
      </c>
      <c r="AD77" s="90"/>
      <c r="AE77" s="74" t="str">
        <v/>
      </c>
      <c r="AF77" s="76" t="str">
        <v/>
      </c>
      <c r="AG77" s="76" t="str">
        <v/>
      </c>
      <c r="AH77" s="79" t="str">
        <v/>
      </c>
      <c r="AI77" s="73" t="str">
        <v/>
      </c>
      <c r="AJ77" s="73" t="str">
        <v/>
      </c>
      <c r="AK77" s="73" t="str">
        <v/>
      </c>
      <c r="AL77" s="80" t="str">
        <v/>
      </c>
      <c r="AM77" s="61"/>
      <c r="AN77" s="81"/>
      <c r="AO77" s="70"/>
      <c r="AP77" s="70" t="str">
        <v/>
      </c>
      <c r="AQ77" s="70" t="str">
        <v/>
      </c>
      <c r="AR77" s="70" t="str">
        <v/>
      </c>
      <c r="AS77" s="82" t="str">
        <v/>
      </c>
      <c r="AT77" s="61"/>
      <c r="AU77" s="71" t="str">
        <v/>
      </c>
      <c r="AV77" s="72" t="str">
        <v/>
      </c>
      <c r="AW77" s="61"/>
    </row>
    <row r="78" spans="1:49">
      <c r="A78" s="48"/>
      <c r="B78" s="49"/>
      <c r="C78" s="50"/>
      <c r="D78" s="50"/>
      <c r="E78" s="51"/>
      <c r="F78" s="73" t="str">
        <v/>
      </c>
      <c r="G78" s="73" t="str">
        <v/>
      </c>
      <c r="H78" s="74" t="str">
        <v/>
      </c>
      <c r="I78" s="75" t="str">
        <v/>
      </c>
      <c r="J78" s="73" t="str">
        <v/>
      </c>
      <c r="K78" s="73" t="str">
        <v/>
      </c>
      <c r="L78" s="73" t="str">
        <v/>
      </c>
      <c r="M78" s="55"/>
      <c r="N78" s="56"/>
      <c r="O78" s="56"/>
      <c r="P78" s="57"/>
      <c r="Q78" s="76" t="str">
        <v/>
      </c>
      <c r="R78" s="76" t="str">
        <v/>
      </c>
      <c r="S78" s="76" t="str">
        <v/>
      </c>
      <c r="T78" s="77" t="str">
        <v/>
      </c>
      <c r="U78" s="73" t="str">
        <v/>
      </c>
      <c r="V78" s="73" t="str">
        <v/>
      </c>
      <c r="W78" s="73" t="str">
        <v/>
      </c>
      <c r="X78" s="78" t="str">
        <v/>
      </c>
      <c r="Y78" s="61"/>
      <c r="Z78" s="91"/>
      <c r="AA78" s="92"/>
      <c r="AB78" s="92" t="str">
        <v/>
      </c>
      <c r="AC78" s="89" t="str">
        <v/>
      </c>
      <c r="AD78" s="90"/>
      <c r="AE78" s="74" t="str">
        <v/>
      </c>
      <c r="AF78" s="76" t="str">
        <v/>
      </c>
      <c r="AG78" s="76" t="str">
        <v/>
      </c>
      <c r="AH78" s="79" t="str">
        <v/>
      </c>
      <c r="AI78" s="73" t="str">
        <v/>
      </c>
      <c r="AJ78" s="73" t="str">
        <v/>
      </c>
      <c r="AK78" s="73" t="str">
        <v/>
      </c>
      <c r="AL78" s="80" t="str">
        <v/>
      </c>
      <c r="AM78" s="61"/>
      <c r="AN78" s="81"/>
      <c r="AO78" s="70"/>
      <c r="AP78" s="70" t="str">
        <v/>
      </c>
      <c r="AQ78" s="70" t="str">
        <v/>
      </c>
      <c r="AR78" s="70" t="str">
        <v/>
      </c>
      <c r="AS78" s="82" t="str">
        <v/>
      </c>
      <c r="AT78" s="61"/>
      <c r="AU78" s="71" t="str">
        <v/>
      </c>
      <c r="AV78" s="72" t="str">
        <v/>
      </c>
      <c r="AW78" s="61"/>
    </row>
    <row r="79" spans="1:49">
      <c r="A79" s="48"/>
      <c r="B79" s="49"/>
      <c r="C79" s="50"/>
      <c r="D79" s="50"/>
      <c r="E79" s="51"/>
      <c r="F79" s="73" t="str">
        <v/>
      </c>
      <c r="G79" s="73" t="str">
        <v/>
      </c>
      <c r="H79" s="74" t="str">
        <v/>
      </c>
      <c r="I79" s="75" t="str">
        <v/>
      </c>
      <c r="J79" s="73" t="str">
        <v/>
      </c>
      <c r="K79" s="73" t="str">
        <v/>
      </c>
      <c r="L79" s="73" t="str">
        <v/>
      </c>
      <c r="M79" s="55"/>
      <c r="N79" s="56"/>
      <c r="O79" s="56"/>
      <c r="P79" s="57"/>
      <c r="Q79" s="76" t="str">
        <v/>
      </c>
      <c r="R79" s="76" t="str">
        <v/>
      </c>
      <c r="S79" s="76" t="str">
        <v/>
      </c>
      <c r="T79" s="77" t="str">
        <v/>
      </c>
      <c r="U79" s="73" t="str">
        <v/>
      </c>
      <c r="V79" s="73" t="str">
        <v/>
      </c>
      <c r="W79" s="73" t="str">
        <v/>
      </c>
      <c r="X79" s="78" t="str">
        <v/>
      </c>
      <c r="Y79" s="61"/>
      <c r="Z79" s="91"/>
      <c r="AA79" s="92"/>
      <c r="AB79" s="92" t="str">
        <v/>
      </c>
      <c r="AC79" s="89" t="str">
        <v/>
      </c>
      <c r="AD79" s="90"/>
      <c r="AE79" s="74" t="str">
        <v/>
      </c>
      <c r="AF79" s="76" t="str">
        <v/>
      </c>
      <c r="AG79" s="76" t="str">
        <v/>
      </c>
      <c r="AH79" s="79" t="str">
        <v/>
      </c>
      <c r="AI79" s="73" t="str">
        <v/>
      </c>
      <c r="AJ79" s="73" t="str">
        <v/>
      </c>
      <c r="AK79" s="73" t="str">
        <v/>
      </c>
      <c r="AL79" s="80" t="str">
        <v/>
      </c>
      <c r="AM79" s="61"/>
      <c r="AN79" s="81"/>
      <c r="AO79" s="70"/>
      <c r="AP79" s="70" t="str">
        <v/>
      </c>
      <c r="AQ79" s="70" t="str">
        <v/>
      </c>
      <c r="AR79" s="70" t="str">
        <v/>
      </c>
      <c r="AS79" s="82" t="str">
        <v/>
      </c>
      <c r="AT79" s="61"/>
      <c r="AU79" s="71" t="str">
        <v/>
      </c>
      <c r="AV79" s="72" t="str">
        <v/>
      </c>
      <c r="AW79" s="61"/>
    </row>
    <row r="80" spans="1:49">
      <c r="A80" s="48"/>
      <c r="B80" s="49"/>
      <c r="C80" s="50"/>
      <c r="D80" s="50"/>
      <c r="E80" s="51"/>
      <c r="F80" s="73" t="str">
        <v/>
      </c>
      <c r="G80" s="73" t="str">
        <v/>
      </c>
      <c r="H80" s="74" t="str">
        <v/>
      </c>
      <c r="I80" s="75" t="str">
        <v/>
      </c>
      <c r="J80" s="73" t="str">
        <v/>
      </c>
      <c r="K80" s="73" t="str">
        <v/>
      </c>
      <c r="L80" s="73" t="str">
        <v/>
      </c>
      <c r="M80" s="55"/>
      <c r="N80" s="56"/>
      <c r="O80" s="56"/>
      <c r="P80" s="57"/>
      <c r="Q80" s="76" t="str">
        <v/>
      </c>
      <c r="R80" s="76" t="str">
        <v/>
      </c>
      <c r="S80" s="76" t="str">
        <v/>
      </c>
      <c r="T80" s="77" t="str">
        <v/>
      </c>
      <c r="U80" s="73" t="str">
        <v/>
      </c>
      <c r="V80" s="73" t="str">
        <v/>
      </c>
      <c r="W80" s="73" t="str">
        <v/>
      </c>
      <c r="X80" s="78" t="str">
        <v/>
      </c>
      <c r="Y80" s="61"/>
      <c r="Z80" s="91"/>
      <c r="AA80" s="92"/>
      <c r="AB80" s="92" t="str">
        <v/>
      </c>
      <c r="AC80" s="89" t="str">
        <v/>
      </c>
      <c r="AD80" s="90"/>
      <c r="AE80" s="74" t="str">
        <v/>
      </c>
      <c r="AF80" s="76" t="str">
        <v/>
      </c>
      <c r="AG80" s="76" t="str">
        <v/>
      </c>
      <c r="AH80" s="79" t="str">
        <v/>
      </c>
      <c r="AI80" s="73" t="str">
        <v/>
      </c>
      <c r="AJ80" s="73" t="str">
        <v/>
      </c>
      <c r="AK80" s="73" t="str">
        <v/>
      </c>
      <c r="AL80" s="80" t="str">
        <v/>
      </c>
      <c r="AM80" s="61"/>
      <c r="AN80" s="81"/>
      <c r="AO80" s="70"/>
      <c r="AP80" s="70" t="str">
        <v/>
      </c>
      <c r="AQ80" s="70" t="str">
        <v/>
      </c>
      <c r="AR80" s="70" t="str">
        <v/>
      </c>
      <c r="AS80" s="82" t="str">
        <v/>
      </c>
      <c r="AT80" s="61"/>
      <c r="AU80" s="71" t="str">
        <v/>
      </c>
      <c r="AV80" s="72" t="str">
        <v/>
      </c>
      <c r="AW80" s="61"/>
    </row>
    <row r="81" spans="1:49">
      <c r="A81" s="48"/>
      <c r="B81" s="49"/>
      <c r="C81" s="50"/>
      <c r="D81" s="50"/>
      <c r="E81" s="51"/>
      <c r="F81" s="73" t="str">
        <v/>
      </c>
      <c r="G81" s="73" t="str">
        <v/>
      </c>
      <c r="H81" s="74" t="str">
        <v/>
      </c>
      <c r="I81" s="75" t="str">
        <v/>
      </c>
      <c r="J81" s="73" t="str">
        <v/>
      </c>
      <c r="K81" s="73" t="str">
        <v/>
      </c>
      <c r="L81" s="73" t="str">
        <v/>
      </c>
      <c r="M81" s="55"/>
      <c r="N81" s="56"/>
      <c r="O81" s="56"/>
      <c r="P81" s="57"/>
      <c r="Q81" s="76" t="str">
        <v/>
      </c>
      <c r="R81" s="76" t="str">
        <v/>
      </c>
      <c r="S81" s="76" t="str">
        <v/>
      </c>
      <c r="T81" s="77" t="str">
        <v/>
      </c>
      <c r="U81" s="73" t="str">
        <v/>
      </c>
      <c r="V81" s="73" t="str">
        <v/>
      </c>
      <c r="W81" s="73" t="str">
        <v/>
      </c>
      <c r="X81" s="78" t="str">
        <v/>
      </c>
      <c r="Y81" s="61"/>
      <c r="Z81" s="91"/>
      <c r="AA81" s="92"/>
      <c r="AB81" s="92" t="str">
        <v/>
      </c>
      <c r="AC81" s="89" t="str">
        <v/>
      </c>
      <c r="AD81" s="90"/>
      <c r="AE81" s="74" t="str">
        <v/>
      </c>
      <c r="AF81" s="76" t="str">
        <v/>
      </c>
      <c r="AG81" s="76" t="str">
        <v/>
      </c>
      <c r="AH81" s="79" t="str">
        <v/>
      </c>
      <c r="AI81" s="73" t="str">
        <v/>
      </c>
      <c r="AJ81" s="73" t="str">
        <v/>
      </c>
      <c r="AK81" s="73" t="str">
        <v/>
      </c>
      <c r="AL81" s="80" t="str">
        <v/>
      </c>
      <c r="AM81" s="61"/>
      <c r="AN81" s="81"/>
      <c r="AO81" s="70"/>
      <c r="AP81" s="70" t="str">
        <v/>
      </c>
      <c r="AQ81" s="70" t="str">
        <v/>
      </c>
      <c r="AR81" s="70" t="str">
        <v/>
      </c>
      <c r="AS81" s="82" t="str">
        <v/>
      </c>
      <c r="AT81" s="61"/>
      <c r="AU81" s="71" t="str">
        <v/>
      </c>
      <c r="AV81" s="72" t="str">
        <v/>
      </c>
      <c r="AW81" s="61"/>
    </row>
    <row r="82" spans="1:49">
      <c r="A82" s="48"/>
      <c r="B82" s="49"/>
      <c r="C82" s="50"/>
      <c r="D82" s="50"/>
      <c r="E82" s="51"/>
      <c r="F82" s="73" t="str">
        <v/>
      </c>
      <c r="G82" s="73" t="str">
        <v/>
      </c>
      <c r="H82" s="74" t="str">
        <v/>
      </c>
      <c r="I82" s="75" t="str">
        <v/>
      </c>
      <c r="J82" s="73" t="str">
        <v/>
      </c>
      <c r="K82" s="73" t="str">
        <v/>
      </c>
      <c r="L82" s="73" t="str">
        <v/>
      </c>
      <c r="M82" s="55"/>
      <c r="N82" s="56"/>
      <c r="O82" s="56"/>
      <c r="P82" s="57"/>
      <c r="Q82" s="76" t="str">
        <v/>
      </c>
      <c r="R82" s="76" t="str">
        <v/>
      </c>
      <c r="S82" s="76" t="str">
        <v/>
      </c>
      <c r="T82" s="77" t="str">
        <v/>
      </c>
      <c r="U82" s="73" t="str">
        <v/>
      </c>
      <c r="V82" s="73" t="str">
        <v/>
      </c>
      <c r="W82" s="73" t="str">
        <v/>
      </c>
      <c r="X82" s="78" t="str">
        <v/>
      </c>
      <c r="Y82" s="61"/>
      <c r="Z82" s="91"/>
      <c r="AA82" s="92"/>
      <c r="AB82" s="92" t="str">
        <v/>
      </c>
      <c r="AC82" s="89" t="str">
        <v/>
      </c>
      <c r="AD82" s="90"/>
      <c r="AE82" s="74" t="str">
        <v/>
      </c>
      <c r="AF82" s="76" t="str">
        <v/>
      </c>
      <c r="AG82" s="76" t="str">
        <v/>
      </c>
      <c r="AH82" s="79" t="str">
        <v/>
      </c>
      <c r="AI82" s="73" t="str">
        <v/>
      </c>
      <c r="AJ82" s="73" t="str">
        <v/>
      </c>
      <c r="AK82" s="73" t="str">
        <v/>
      </c>
      <c r="AL82" s="80" t="str">
        <v/>
      </c>
      <c r="AM82" s="61"/>
      <c r="AN82" s="81"/>
      <c r="AO82" s="70"/>
      <c r="AP82" s="70" t="str">
        <v/>
      </c>
      <c r="AQ82" s="70" t="str">
        <v/>
      </c>
      <c r="AR82" s="70" t="str">
        <v/>
      </c>
      <c r="AS82" s="82" t="str">
        <v/>
      </c>
      <c r="AT82" s="61"/>
      <c r="AU82" s="71" t="str">
        <v/>
      </c>
      <c r="AV82" s="72" t="str">
        <v/>
      </c>
      <c r="AW82" s="61"/>
    </row>
    <row r="83" spans="1:49">
      <c r="A83" s="48"/>
      <c r="B83" s="49"/>
      <c r="C83" s="50"/>
      <c r="D83" s="50"/>
      <c r="E83" s="51"/>
      <c r="F83" s="73" t="str">
        <v/>
      </c>
      <c r="G83" s="73" t="str">
        <v/>
      </c>
      <c r="H83" s="74" t="str">
        <v/>
      </c>
      <c r="I83" s="75" t="str">
        <v/>
      </c>
      <c r="J83" s="73" t="str">
        <v/>
      </c>
      <c r="K83" s="73" t="str">
        <v/>
      </c>
      <c r="L83" s="73" t="str">
        <v/>
      </c>
      <c r="M83" s="55"/>
      <c r="N83" s="56"/>
      <c r="O83" s="56"/>
      <c r="P83" s="57"/>
      <c r="Q83" s="76" t="str">
        <v/>
      </c>
      <c r="R83" s="76" t="str">
        <v/>
      </c>
      <c r="S83" s="76" t="str">
        <v/>
      </c>
      <c r="T83" s="77" t="str">
        <v/>
      </c>
      <c r="U83" s="73" t="str">
        <v/>
      </c>
      <c r="V83" s="73" t="str">
        <v/>
      </c>
      <c r="W83" s="73" t="str">
        <v/>
      </c>
      <c r="X83" s="78" t="str">
        <v/>
      </c>
      <c r="Y83" s="61"/>
      <c r="Z83" s="91"/>
      <c r="AA83" s="92"/>
      <c r="AB83" s="92" t="str">
        <v/>
      </c>
      <c r="AC83" s="89" t="str">
        <v/>
      </c>
      <c r="AD83" s="90"/>
      <c r="AE83" s="74" t="str">
        <v/>
      </c>
      <c r="AF83" s="76" t="str">
        <v/>
      </c>
      <c r="AG83" s="76" t="str">
        <v/>
      </c>
      <c r="AH83" s="79" t="str">
        <v/>
      </c>
      <c r="AI83" s="73" t="str">
        <v/>
      </c>
      <c r="AJ83" s="73" t="str">
        <v/>
      </c>
      <c r="AK83" s="73" t="str">
        <v/>
      </c>
      <c r="AL83" s="80" t="str">
        <v/>
      </c>
      <c r="AM83" s="61"/>
      <c r="AN83" s="81"/>
      <c r="AO83" s="70"/>
      <c r="AP83" s="70" t="str">
        <v/>
      </c>
      <c r="AQ83" s="70" t="str">
        <v/>
      </c>
      <c r="AR83" s="70" t="str">
        <v/>
      </c>
      <c r="AS83" s="82" t="str">
        <v/>
      </c>
      <c r="AT83" s="61"/>
      <c r="AU83" s="71" t="str">
        <v/>
      </c>
      <c r="AV83" s="72" t="str">
        <v/>
      </c>
      <c r="AW83" s="61"/>
    </row>
    <row r="84" spans="1:49">
      <c r="A84" s="48"/>
      <c r="B84" s="49"/>
      <c r="C84" s="50"/>
      <c r="D84" s="50"/>
      <c r="E84" s="51"/>
      <c r="F84" s="73" t="str">
        <v/>
      </c>
      <c r="G84" s="73" t="str">
        <v/>
      </c>
      <c r="H84" s="74" t="str">
        <v/>
      </c>
      <c r="I84" s="75" t="str">
        <v/>
      </c>
      <c r="J84" s="73" t="str">
        <v/>
      </c>
      <c r="K84" s="73" t="str">
        <v/>
      </c>
      <c r="L84" s="73" t="str">
        <v/>
      </c>
      <c r="M84" s="55"/>
      <c r="N84" s="56"/>
      <c r="O84" s="56"/>
      <c r="P84" s="57"/>
      <c r="Q84" s="76" t="str">
        <v/>
      </c>
      <c r="R84" s="76" t="str">
        <v/>
      </c>
      <c r="S84" s="76" t="str">
        <v/>
      </c>
      <c r="T84" s="77" t="str">
        <v/>
      </c>
      <c r="U84" s="73" t="str">
        <v/>
      </c>
      <c r="V84" s="73" t="str">
        <v/>
      </c>
      <c r="W84" s="73" t="str">
        <v/>
      </c>
      <c r="X84" s="78" t="str">
        <v/>
      </c>
      <c r="Y84" s="61"/>
      <c r="Z84" s="91"/>
      <c r="AA84" s="92"/>
      <c r="AB84" s="92" t="str">
        <v/>
      </c>
      <c r="AC84" s="89" t="str">
        <v/>
      </c>
      <c r="AD84" s="90"/>
      <c r="AE84" s="74" t="str">
        <v/>
      </c>
      <c r="AF84" s="76" t="str">
        <v/>
      </c>
      <c r="AG84" s="76" t="str">
        <v/>
      </c>
      <c r="AH84" s="79" t="str">
        <v/>
      </c>
      <c r="AI84" s="73" t="str">
        <v/>
      </c>
      <c r="AJ84" s="73" t="str">
        <v/>
      </c>
      <c r="AK84" s="73" t="str">
        <v/>
      </c>
      <c r="AL84" s="80" t="str">
        <v/>
      </c>
      <c r="AM84" s="61"/>
      <c r="AN84" s="81"/>
      <c r="AO84" s="70"/>
      <c r="AP84" s="70" t="str">
        <v/>
      </c>
      <c r="AQ84" s="70" t="str">
        <v/>
      </c>
      <c r="AR84" s="70" t="str">
        <v/>
      </c>
      <c r="AS84" s="82" t="str">
        <v/>
      </c>
      <c r="AT84" s="61"/>
      <c r="AU84" s="71" t="str">
        <v/>
      </c>
      <c r="AV84" s="72" t="str">
        <v/>
      </c>
      <c r="AW84" s="61"/>
    </row>
    <row r="85" spans="1:49">
      <c r="A85" s="48"/>
      <c r="B85" s="49"/>
      <c r="C85" s="50"/>
      <c r="D85" s="50"/>
      <c r="E85" s="51"/>
      <c r="F85" s="73" t="str">
        <v/>
      </c>
      <c r="G85" s="73" t="str">
        <v/>
      </c>
      <c r="H85" s="74" t="str">
        <v/>
      </c>
      <c r="I85" s="75" t="str">
        <v/>
      </c>
      <c r="J85" s="73" t="str">
        <v/>
      </c>
      <c r="K85" s="73" t="str">
        <v/>
      </c>
      <c r="L85" s="73" t="str">
        <v/>
      </c>
      <c r="M85" s="55"/>
      <c r="N85" s="56"/>
      <c r="O85" s="56"/>
      <c r="P85" s="57"/>
      <c r="Q85" s="76" t="str">
        <v/>
      </c>
      <c r="R85" s="76" t="str">
        <v/>
      </c>
      <c r="S85" s="76" t="str">
        <v/>
      </c>
      <c r="T85" s="77" t="str">
        <v/>
      </c>
      <c r="U85" s="73" t="str">
        <v/>
      </c>
      <c r="V85" s="73" t="str">
        <v/>
      </c>
      <c r="W85" s="73" t="str">
        <v/>
      </c>
      <c r="X85" s="78" t="str">
        <v/>
      </c>
      <c r="Y85" s="61"/>
      <c r="Z85" s="91"/>
      <c r="AA85" s="92"/>
      <c r="AB85" s="92" t="str">
        <v/>
      </c>
      <c r="AC85" s="89" t="str">
        <v/>
      </c>
      <c r="AD85" s="90"/>
      <c r="AE85" s="74" t="str">
        <v/>
      </c>
      <c r="AF85" s="76" t="str">
        <v/>
      </c>
      <c r="AG85" s="76" t="str">
        <v/>
      </c>
      <c r="AH85" s="79" t="str">
        <v/>
      </c>
      <c r="AI85" s="73" t="str">
        <v/>
      </c>
      <c r="AJ85" s="73" t="str">
        <v/>
      </c>
      <c r="AK85" s="73" t="str">
        <v/>
      </c>
      <c r="AL85" s="80" t="str">
        <v/>
      </c>
      <c r="AM85" s="61"/>
      <c r="AN85" s="81"/>
      <c r="AO85" s="70"/>
      <c r="AP85" s="70" t="str">
        <v/>
      </c>
      <c r="AQ85" s="70" t="str">
        <v/>
      </c>
      <c r="AR85" s="70" t="str">
        <v/>
      </c>
      <c r="AS85" s="82" t="str">
        <v/>
      </c>
      <c r="AT85" s="61"/>
      <c r="AU85" s="71" t="str">
        <v/>
      </c>
      <c r="AV85" s="72" t="str">
        <v/>
      </c>
      <c r="AW85" s="61"/>
    </row>
    <row r="86" spans="1:49">
      <c r="A86" s="48"/>
      <c r="B86" s="49"/>
      <c r="C86" s="50"/>
      <c r="D86" s="50"/>
      <c r="E86" s="51"/>
      <c r="F86" s="73" t="str">
        <v/>
      </c>
      <c r="G86" s="73" t="str">
        <v/>
      </c>
      <c r="H86" s="74" t="str">
        <v/>
      </c>
      <c r="I86" s="75" t="str">
        <v/>
      </c>
      <c r="J86" s="73" t="str">
        <v/>
      </c>
      <c r="K86" s="73" t="str">
        <v/>
      </c>
      <c r="L86" s="73" t="str">
        <v/>
      </c>
      <c r="M86" s="55"/>
      <c r="N86" s="56"/>
      <c r="O86" s="56"/>
      <c r="P86" s="57"/>
      <c r="Q86" s="76" t="str">
        <v/>
      </c>
      <c r="R86" s="76" t="str">
        <v/>
      </c>
      <c r="S86" s="76" t="str">
        <v/>
      </c>
      <c r="T86" s="77" t="str">
        <v/>
      </c>
      <c r="U86" s="73" t="str">
        <v/>
      </c>
      <c r="V86" s="73" t="str">
        <v/>
      </c>
      <c r="W86" s="73" t="str">
        <v/>
      </c>
      <c r="X86" s="78" t="str">
        <v/>
      </c>
      <c r="Y86" s="61"/>
      <c r="Z86" s="91"/>
      <c r="AA86" s="92"/>
      <c r="AB86" s="92" t="str">
        <v/>
      </c>
      <c r="AC86" s="89" t="str">
        <v/>
      </c>
      <c r="AD86" s="90"/>
      <c r="AE86" s="74" t="str">
        <v/>
      </c>
      <c r="AF86" s="76" t="str">
        <v/>
      </c>
      <c r="AG86" s="76" t="str">
        <v/>
      </c>
      <c r="AH86" s="79" t="str">
        <v/>
      </c>
      <c r="AI86" s="73" t="str">
        <v/>
      </c>
      <c r="AJ86" s="73" t="str">
        <v/>
      </c>
      <c r="AK86" s="73" t="str">
        <v/>
      </c>
      <c r="AL86" s="80" t="str">
        <v/>
      </c>
      <c r="AM86" s="61"/>
      <c r="AN86" s="81"/>
      <c r="AO86" s="70"/>
      <c r="AP86" s="70" t="str">
        <v/>
      </c>
      <c r="AQ86" s="70" t="str">
        <v/>
      </c>
      <c r="AR86" s="70" t="str">
        <v/>
      </c>
      <c r="AS86" s="82" t="str">
        <v/>
      </c>
      <c r="AT86" s="61"/>
      <c r="AU86" s="71" t="str">
        <v/>
      </c>
      <c r="AV86" s="72" t="str">
        <v/>
      </c>
      <c r="AW86" s="61"/>
    </row>
    <row r="87" spans="1:49">
      <c r="A87" s="48"/>
      <c r="B87" s="49"/>
      <c r="C87" s="50"/>
      <c r="D87" s="50"/>
      <c r="E87" s="51"/>
      <c r="F87" s="73" t="str">
        <v/>
      </c>
      <c r="G87" s="73" t="str">
        <v/>
      </c>
      <c r="H87" s="74" t="str">
        <v/>
      </c>
      <c r="I87" s="75" t="str">
        <v/>
      </c>
      <c r="J87" s="73" t="str">
        <v/>
      </c>
      <c r="K87" s="73" t="str">
        <v/>
      </c>
      <c r="L87" s="73" t="str">
        <v/>
      </c>
      <c r="M87" s="55"/>
      <c r="N87" s="56"/>
      <c r="O87" s="56"/>
      <c r="P87" s="57"/>
      <c r="Q87" s="76" t="str">
        <v/>
      </c>
      <c r="R87" s="76" t="str">
        <v/>
      </c>
      <c r="S87" s="76" t="str">
        <v/>
      </c>
      <c r="T87" s="77" t="str">
        <v/>
      </c>
      <c r="U87" s="73" t="str">
        <v/>
      </c>
      <c r="V87" s="73" t="str">
        <v/>
      </c>
      <c r="W87" s="73" t="str">
        <v/>
      </c>
      <c r="X87" s="78" t="str">
        <v/>
      </c>
      <c r="Y87" s="61"/>
      <c r="Z87" s="91"/>
      <c r="AA87" s="92"/>
      <c r="AB87" s="92" t="str">
        <v/>
      </c>
      <c r="AC87" s="89" t="str">
        <v/>
      </c>
      <c r="AD87" s="90"/>
      <c r="AE87" s="74" t="str">
        <v/>
      </c>
      <c r="AF87" s="76" t="str">
        <v/>
      </c>
      <c r="AG87" s="76" t="str">
        <v/>
      </c>
      <c r="AH87" s="79" t="str">
        <v/>
      </c>
      <c r="AI87" s="73" t="str">
        <v/>
      </c>
      <c r="AJ87" s="73" t="str">
        <v/>
      </c>
      <c r="AK87" s="73" t="str">
        <v/>
      </c>
      <c r="AL87" s="80" t="str">
        <v/>
      </c>
      <c r="AM87" s="61"/>
      <c r="AN87" s="81"/>
      <c r="AO87" s="70"/>
      <c r="AP87" s="70" t="str">
        <v/>
      </c>
      <c r="AQ87" s="70" t="str">
        <v/>
      </c>
      <c r="AR87" s="70" t="str">
        <v/>
      </c>
      <c r="AS87" s="82" t="str">
        <v/>
      </c>
      <c r="AT87" s="61"/>
      <c r="AU87" s="71" t="str">
        <v/>
      </c>
      <c r="AV87" s="72" t="str">
        <v/>
      </c>
      <c r="AW87" s="61"/>
    </row>
    <row r="88" spans="1:49">
      <c r="A88" s="48"/>
      <c r="B88" s="49"/>
      <c r="C88" s="50"/>
      <c r="D88" s="50"/>
      <c r="E88" s="51"/>
      <c r="F88" s="73" t="str">
        <v/>
      </c>
      <c r="G88" s="73" t="str">
        <v/>
      </c>
      <c r="H88" s="74" t="str">
        <v/>
      </c>
      <c r="I88" s="75" t="str">
        <v/>
      </c>
      <c r="J88" s="73" t="str">
        <v/>
      </c>
      <c r="K88" s="73" t="str">
        <v/>
      </c>
      <c r="L88" s="73" t="str">
        <v/>
      </c>
      <c r="M88" s="55"/>
      <c r="N88" s="56"/>
      <c r="O88" s="56"/>
      <c r="P88" s="57"/>
      <c r="Q88" s="76" t="str">
        <v/>
      </c>
      <c r="R88" s="76" t="str">
        <v/>
      </c>
      <c r="S88" s="76" t="str">
        <v/>
      </c>
      <c r="T88" s="77" t="str">
        <v/>
      </c>
      <c r="U88" s="73" t="str">
        <v/>
      </c>
      <c r="V88" s="73" t="str">
        <v/>
      </c>
      <c r="W88" s="73" t="str">
        <v/>
      </c>
      <c r="X88" s="78" t="str">
        <v/>
      </c>
      <c r="Y88" s="61"/>
      <c r="Z88" s="91"/>
      <c r="AA88" s="92"/>
      <c r="AB88" s="92" t="str">
        <v/>
      </c>
      <c r="AC88" s="89" t="str">
        <v/>
      </c>
      <c r="AD88" s="90"/>
      <c r="AE88" s="74" t="str">
        <v/>
      </c>
      <c r="AF88" s="76" t="str">
        <v/>
      </c>
      <c r="AG88" s="76" t="str">
        <v/>
      </c>
      <c r="AH88" s="79" t="str">
        <v/>
      </c>
      <c r="AI88" s="73" t="str">
        <v/>
      </c>
      <c r="AJ88" s="73" t="str">
        <v/>
      </c>
      <c r="AK88" s="73" t="str">
        <v/>
      </c>
      <c r="AL88" s="80" t="str">
        <v/>
      </c>
      <c r="AM88" s="61"/>
      <c r="AN88" s="81"/>
      <c r="AO88" s="70"/>
      <c r="AP88" s="70" t="str">
        <v/>
      </c>
      <c r="AQ88" s="70" t="str">
        <v/>
      </c>
      <c r="AR88" s="70" t="str">
        <v/>
      </c>
      <c r="AS88" s="82" t="str">
        <v/>
      </c>
      <c r="AT88" s="61"/>
      <c r="AU88" s="71" t="str">
        <v/>
      </c>
      <c r="AV88" s="72" t="str">
        <v/>
      </c>
      <c r="AW88" s="61"/>
    </row>
    <row r="89" spans="1:49">
      <c r="A89" s="48"/>
      <c r="B89" s="49"/>
      <c r="C89" s="50"/>
      <c r="D89" s="50"/>
      <c r="E89" s="51"/>
      <c r="F89" s="73" t="str">
        <v/>
      </c>
      <c r="G89" s="73" t="str">
        <v/>
      </c>
      <c r="H89" s="74" t="str">
        <v/>
      </c>
      <c r="I89" s="75" t="str">
        <v/>
      </c>
      <c r="J89" s="73" t="str">
        <v/>
      </c>
      <c r="K89" s="73" t="str">
        <v/>
      </c>
      <c r="L89" s="73" t="str">
        <v/>
      </c>
      <c r="M89" s="55"/>
      <c r="N89" s="56"/>
      <c r="O89" s="56"/>
      <c r="P89" s="57"/>
      <c r="Q89" s="76" t="str">
        <v/>
      </c>
      <c r="R89" s="76" t="str">
        <v/>
      </c>
      <c r="S89" s="76" t="str">
        <v/>
      </c>
      <c r="T89" s="77" t="str">
        <v/>
      </c>
      <c r="U89" s="73" t="str">
        <v/>
      </c>
      <c r="V89" s="73" t="str">
        <v/>
      </c>
      <c r="W89" s="73" t="str">
        <v/>
      </c>
      <c r="X89" s="78" t="str">
        <v/>
      </c>
      <c r="Y89" s="61"/>
      <c r="Z89" s="91"/>
      <c r="AA89" s="92"/>
      <c r="AB89" s="92" t="str">
        <v/>
      </c>
      <c r="AC89" s="89" t="str">
        <v/>
      </c>
      <c r="AD89" s="90"/>
      <c r="AE89" s="74" t="str">
        <v/>
      </c>
      <c r="AF89" s="76" t="str">
        <v/>
      </c>
      <c r="AG89" s="76" t="str">
        <v/>
      </c>
      <c r="AH89" s="79" t="str">
        <v/>
      </c>
      <c r="AI89" s="73" t="str">
        <v/>
      </c>
      <c r="AJ89" s="73" t="str">
        <v/>
      </c>
      <c r="AK89" s="73" t="str">
        <v/>
      </c>
      <c r="AL89" s="80" t="str">
        <v/>
      </c>
      <c r="AM89" s="61"/>
      <c r="AN89" s="81"/>
      <c r="AO89" s="70"/>
      <c r="AP89" s="70" t="str">
        <v/>
      </c>
      <c r="AQ89" s="70" t="str">
        <v/>
      </c>
      <c r="AR89" s="70" t="str">
        <v/>
      </c>
      <c r="AS89" s="82" t="str">
        <v/>
      </c>
      <c r="AT89" s="61"/>
      <c r="AU89" s="71" t="str">
        <v/>
      </c>
      <c r="AV89" s="72" t="str">
        <v/>
      </c>
      <c r="AW89" s="61"/>
    </row>
    <row r="90" spans="1:49">
      <c r="A90" s="48"/>
      <c r="B90" s="49"/>
      <c r="C90" s="50"/>
      <c r="D90" s="50"/>
      <c r="E90" s="51"/>
      <c r="F90" s="73" t="str">
        <v/>
      </c>
      <c r="G90" s="73" t="str">
        <v/>
      </c>
      <c r="H90" s="74" t="str">
        <v/>
      </c>
      <c r="I90" s="75" t="str">
        <v/>
      </c>
      <c r="J90" s="73" t="str">
        <v/>
      </c>
      <c r="K90" s="73" t="str">
        <v/>
      </c>
      <c r="L90" s="73" t="str">
        <v/>
      </c>
      <c r="M90" s="55"/>
      <c r="N90" s="56"/>
      <c r="O90" s="56"/>
      <c r="P90" s="57"/>
      <c r="Q90" s="76" t="str">
        <v/>
      </c>
      <c r="R90" s="76" t="str">
        <v/>
      </c>
      <c r="S90" s="76" t="str">
        <v/>
      </c>
      <c r="T90" s="77" t="str">
        <v/>
      </c>
      <c r="U90" s="73" t="str">
        <v/>
      </c>
      <c r="V90" s="73" t="str">
        <v/>
      </c>
      <c r="W90" s="73" t="str">
        <v/>
      </c>
      <c r="X90" s="78" t="str">
        <v/>
      </c>
      <c r="Y90" s="61"/>
      <c r="Z90" s="91"/>
      <c r="AA90" s="92"/>
      <c r="AB90" s="92" t="str">
        <v/>
      </c>
      <c r="AC90" s="89" t="str">
        <v/>
      </c>
      <c r="AD90" s="90"/>
      <c r="AE90" s="74" t="str">
        <v/>
      </c>
      <c r="AF90" s="76" t="str">
        <v/>
      </c>
      <c r="AG90" s="76" t="str">
        <v/>
      </c>
      <c r="AH90" s="79" t="str">
        <v/>
      </c>
      <c r="AI90" s="73" t="str">
        <v/>
      </c>
      <c r="AJ90" s="73" t="str">
        <v/>
      </c>
      <c r="AK90" s="73" t="str">
        <v/>
      </c>
      <c r="AL90" s="80" t="str">
        <v/>
      </c>
      <c r="AM90" s="61"/>
      <c r="AN90" s="81"/>
      <c r="AO90" s="70"/>
      <c r="AP90" s="70" t="str">
        <v/>
      </c>
      <c r="AQ90" s="70" t="str">
        <v/>
      </c>
      <c r="AR90" s="70" t="str">
        <v/>
      </c>
      <c r="AS90" s="82" t="str">
        <v/>
      </c>
      <c r="AT90" s="61"/>
      <c r="AU90" s="71" t="str">
        <v/>
      </c>
      <c r="AV90" s="72" t="str">
        <v/>
      </c>
      <c r="AW90" s="61"/>
    </row>
    <row r="91" spans="1:49">
      <c r="A91" s="48"/>
      <c r="B91" s="49"/>
      <c r="C91" s="50"/>
      <c r="D91" s="50"/>
      <c r="E91" s="51"/>
      <c r="F91" s="73" t="str">
        <v/>
      </c>
      <c r="G91" s="73" t="str">
        <v/>
      </c>
      <c r="H91" s="74" t="str">
        <v/>
      </c>
      <c r="I91" s="75" t="str">
        <v/>
      </c>
      <c r="J91" s="73" t="str">
        <v/>
      </c>
      <c r="K91" s="73" t="str">
        <v/>
      </c>
      <c r="L91" s="73" t="str">
        <v/>
      </c>
      <c r="M91" s="55"/>
      <c r="N91" s="56"/>
      <c r="O91" s="56"/>
      <c r="P91" s="57"/>
      <c r="Q91" s="76" t="str">
        <v/>
      </c>
      <c r="R91" s="76" t="str">
        <v/>
      </c>
      <c r="S91" s="76" t="str">
        <v/>
      </c>
      <c r="T91" s="77" t="str">
        <v/>
      </c>
      <c r="U91" s="73" t="str">
        <v/>
      </c>
      <c r="V91" s="73" t="str">
        <v/>
      </c>
      <c r="W91" s="73" t="str">
        <v/>
      </c>
      <c r="X91" s="78" t="str">
        <v/>
      </c>
      <c r="Y91" s="61"/>
      <c r="Z91" s="91"/>
      <c r="AA91" s="92"/>
      <c r="AB91" s="92" t="str">
        <v/>
      </c>
      <c r="AC91" s="89" t="str">
        <v/>
      </c>
      <c r="AD91" s="90"/>
      <c r="AE91" s="74" t="str">
        <v/>
      </c>
      <c r="AF91" s="76" t="str">
        <v/>
      </c>
      <c r="AG91" s="76" t="str">
        <v/>
      </c>
      <c r="AH91" s="79" t="str">
        <v/>
      </c>
      <c r="AI91" s="73" t="str">
        <v/>
      </c>
      <c r="AJ91" s="73" t="str">
        <v/>
      </c>
      <c r="AK91" s="73" t="str">
        <v/>
      </c>
      <c r="AL91" s="80" t="str">
        <v/>
      </c>
      <c r="AM91" s="61"/>
      <c r="AN91" s="81"/>
      <c r="AO91" s="70"/>
      <c r="AP91" s="70" t="str">
        <v/>
      </c>
      <c r="AQ91" s="70" t="str">
        <v/>
      </c>
      <c r="AR91" s="70" t="str">
        <v/>
      </c>
      <c r="AS91" s="82" t="str">
        <v/>
      </c>
      <c r="AT91" s="61"/>
      <c r="AU91" s="71" t="str">
        <v/>
      </c>
      <c r="AV91" s="72" t="str">
        <v/>
      </c>
      <c r="AW91" s="61"/>
    </row>
    <row r="92" spans="1:49">
      <c r="A92" s="48"/>
      <c r="B92" s="49"/>
      <c r="C92" s="50"/>
      <c r="D92" s="50"/>
      <c r="E92" s="51"/>
      <c r="F92" s="73" t="str">
        <v/>
      </c>
      <c r="G92" s="73" t="str">
        <v/>
      </c>
      <c r="H92" s="74" t="str">
        <v/>
      </c>
      <c r="I92" s="75" t="str">
        <v/>
      </c>
      <c r="J92" s="73" t="str">
        <v/>
      </c>
      <c r="K92" s="73" t="str">
        <v/>
      </c>
      <c r="L92" s="73" t="str">
        <v/>
      </c>
      <c r="M92" s="55"/>
      <c r="N92" s="56"/>
      <c r="O92" s="56"/>
      <c r="P92" s="57"/>
      <c r="Q92" s="76" t="str">
        <v/>
      </c>
      <c r="R92" s="76" t="str">
        <v/>
      </c>
      <c r="S92" s="76" t="str">
        <v/>
      </c>
      <c r="T92" s="77" t="str">
        <v/>
      </c>
      <c r="U92" s="73" t="str">
        <v/>
      </c>
      <c r="V92" s="73" t="str">
        <v/>
      </c>
      <c r="W92" s="73" t="str">
        <v/>
      </c>
      <c r="X92" s="78" t="str">
        <v/>
      </c>
      <c r="Y92" s="61"/>
      <c r="Z92" s="91"/>
      <c r="AA92" s="92"/>
      <c r="AB92" s="92" t="str">
        <v/>
      </c>
      <c r="AC92" s="89" t="str">
        <v/>
      </c>
      <c r="AD92" s="90"/>
      <c r="AE92" s="74" t="str">
        <v/>
      </c>
      <c r="AF92" s="76" t="str">
        <v/>
      </c>
      <c r="AG92" s="76" t="str">
        <v/>
      </c>
      <c r="AH92" s="79" t="str">
        <v/>
      </c>
      <c r="AI92" s="73" t="str">
        <v/>
      </c>
      <c r="AJ92" s="73" t="str">
        <v/>
      </c>
      <c r="AK92" s="73" t="str">
        <v/>
      </c>
      <c r="AL92" s="80" t="str">
        <v/>
      </c>
      <c r="AM92" s="61"/>
      <c r="AN92" s="81"/>
      <c r="AO92" s="70"/>
      <c r="AP92" s="70" t="str">
        <v/>
      </c>
      <c r="AQ92" s="70" t="str">
        <v/>
      </c>
      <c r="AR92" s="70" t="str">
        <v/>
      </c>
      <c r="AS92" s="82" t="str">
        <v/>
      </c>
      <c r="AT92" s="61"/>
      <c r="AU92" s="71" t="str">
        <v/>
      </c>
      <c r="AV92" s="72" t="str">
        <v/>
      </c>
      <c r="AW92" s="61"/>
    </row>
    <row r="93" spans="1:49">
      <c r="A93" s="48"/>
      <c r="B93" s="49"/>
      <c r="C93" s="50"/>
      <c r="D93" s="50"/>
      <c r="E93" s="51"/>
      <c r="F93" s="73" t="str">
        <v/>
      </c>
      <c r="G93" s="73" t="str">
        <v/>
      </c>
      <c r="H93" s="74" t="str">
        <v/>
      </c>
      <c r="I93" s="75" t="str">
        <v/>
      </c>
      <c r="J93" s="73" t="str">
        <v/>
      </c>
      <c r="K93" s="73" t="str">
        <v/>
      </c>
      <c r="L93" s="73" t="str">
        <v/>
      </c>
      <c r="M93" s="55"/>
      <c r="N93" s="56"/>
      <c r="O93" s="56"/>
      <c r="P93" s="57"/>
      <c r="Q93" s="76" t="str">
        <v/>
      </c>
      <c r="R93" s="76" t="str">
        <v/>
      </c>
      <c r="S93" s="76" t="str">
        <v/>
      </c>
      <c r="T93" s="77" t="str">
        <v/>
      </c>
      <c r="U93" s="73" t="str">
        <v/>
      </c>
      <c r="V93" s="73" t="str">
        <v/>
      </c>
      <c r="W93" s="73" t="str">
        <v/>
      </c>
      <c r="X93" s="78" t="str">
        <v/>
      </c>
      <c r="Y93" s="61"/>
      <c r="Z93" s="91"/>
      <c r="AA93" s="92"/>
      <c r="AB93" s="92" t="str">
        <v/>
      </c>
      <c r="AC93" s="89" t="str">
        <v/>
      </c>
      <c r="AD93" s="90"/>
      <c r="AE93" s="74" t="str">
        <v/>
      </c>
      <c r="AF93" s="76" t="str">
        <v/>
      </c>
      <c r="AG93" s="76" t="str">
        <v/>
      </c>
      <c r="AH93" s="79" t="str">
        <v/>
      </c>
      <c r="AI93" s="73" t="str">
        <v/>
      </c>
      <c r="AJ93" s="73" t="str">
        <v/>
      </c>
      <c r="AK93" s="73" t="str">
        <v/>
      </c>
      <c r="AL93" s="80" t="str">
        <v/>
      </c>
      <c r="AM93" s="61"/>
      <c r="AN93" s="81"/>
      <c r="AO93" s="70"/>
      <c r="AP93" s="70" t="str">
        <v/>
      </c>
      <c r="AQ93" s="70" t="str">
        <v/>
      </c>
      <c r="AR93" s="70" t="str">
        <v/>
      </c>
      <c r="AS93" s="82" t="str">
        <v/>
      </c>
      <c r="AT93" s="61"/>
      <c r="AU93" s="71" t="str">
        <v/>
      </c>
      <c r="AV93" s="72" t="str">
        <v/>
      </c>
      <c r="AW93" s="61"/>
    </row>
    <row r="94" spans="1:49">
      <c r="A94" s="48"/>
      <c r="B94" s="49"/>
      <c r="C94" s="50"/>
      <c r="D94" s="50"/>
      <c r="E94" s="51"/>
      <c r="F94" s="73" t="str">
        <v/>
      </c>
      <c r="G94" s="73" t="str">
        <v/>
      </c>
      <c r="H94" s="74" t="str">
        <v/>
      </c>
      <c r="I94" s="75" t="str">
        <v/>
      </c>
      <c r="J94" s="73" t="str">
        <v/>
      </c>
      <c r="K94" s="73" t="str">
        <v/>
      </c>
      <c r="L94" s="73" t="str">
        <v/>
      </c>
      <c r="M94" s="55"/>
      <c r="N94" s="56"/>
      <c r="O94" s="56"/>
      <c r="P94" s="57"/>
      <c r="Q94" s="76" t="str">
        <v/>
      </c>
      <c r="R94" s="76" t="str">
        <v/>
      </c>
      <c r="S94" s="76" t="str">
        <v/>
      </c>
      <c r="T94" s="77" t="str">
        <v/>
      </c>
      <c r="U94" s="73" t="str">
        <v/>
      </c>
      <c r="V94" s="73" t="str">
        <v/>
      </c>
      <c r="W94" s="73" t="str">
        <v/>
      </c>
      <c r="X94" s="78" t="str">
        <v/>
      </c>
      <c r="Y94" s="61"/>
      <c r="Z94" s="91"/>
      <c r="AA94" s="92"/>
      <c r="AB94" s="92" t="str">
        <v/>
      </c>
      <c r="AC94" s="89" t="str">
        <v/>
      </c>
      <c r="AD94" s="90"/>
      <c r="AE94" s="74" t="str">
        <v/>
      </c>
      <c r="AF94" s="76" t="str">
        <v/>
      </c>
      <c r="AG94" s="76" t="str">
        <v/>
      </c>
      <c r="AH94" s="79" t="str">
        <v/>
      </c>
      <c r="AI94" s="73" t="str">
        <v/>
      </c>
      <c r="AJ94" s="73" t="str">
        <v/>
      </c>
      <c r="AK94" s="73" t="str">
        <v/>
      </c>
      <c r="AL94" s="80" t="str">
        <v/>
      </c>
      <c r="AM94" s="61"/>
      <c r="AN94" s="81"/>
      <c r="AO94" s="70"/>
      <c r="AP94" s="70" t="str">
        <v/>
      </c>
      <c r="AQ94" s="70" t="str">
        <v/>
      </c>
      <c r="AR94" s="70" t="str">
        <v/>
      </c>
      <c r="AS94" s="82" t="str">
        <v/>
      </c>
      <c r="AT94" s="61"/>
      <c r="AU94" s="71" t="str">
        <v/>
      </c>
      <c r="AV94" s="72" t="str">
        <v/>
      </c>
      <c r="AW94" s="61"/>
    </row>
    <row r="95" spans="1:49">
      <c r="A95" s="48"/>
      <c r="B95" s="49"/>
      <c r="C95" s="50"/>
      <c r="D95" s="50"/>
      <c r="E95" s="51"/>
      <c r="F95" s="73" t="str">
        <v/>
      </c>
      <c r="G95" s="73" t="str">
        <v/>
      </c>
      <c r="H95" s="74" t="str">
        <v/>
      </c>
      <c r="I95" s="75" t="str">
        <v/>
      </c>
      <c r="J95" s="73" t="str">
        <v/>
      </c>
      <c r="K95" s="73" t="str">
        <v/>
      </c>
      <c r="L95" s="73" t="str">
        <v/>
      </c>
      <c r="M95" s="55"/>
      <c r="N95" s="56"/>
      <c r="O95" s="56"/>
      <c r="P95" s="57"/>
      <c r="Q95" s="76" t="str">
        <v/>
      </c>
      <c r="R95" s="76" t="str">
        <v/>
      </c>
      <c r="S95" s="76" t="str">
        <v/>
      </c>
      <c r="T95" s="77" t="str">
        <v/>
      </c>
      <c r="U95" s="73" t="str">
        <v/>
      </c>
      <c r="V95" s="73" t="str">
        <v/>
      </c>
      <c r="W95" s="73" t="str">
        <v/>
      </c>
      <c r="X95" s="78" t="str">
        <v/>
      </c>
      <c r="Y95" s="61"/>
      <c r="Z95" s="91"/>
      <c r="AA95" s="92"/>
      <c r="AB95" s="92" t="str">
        <v/>
      </c>
      <c r="AC95" s="89" t="str">
        <v/>
      </c>
      <c r="AD95" s="90"/>
      <c r="AE95" s="74" t="str">
        <v/>
      </c>
      <c r="AF95" s="76" t="str">
        <v/>
      </c>
      <c r="AG95" s="76" t="str">
        <v/>
      </c>
      <c r="AH95" s="79" t="str">
        <v/>
      </c>
      <c r="AI95" s="73" t="str">
        <v/>
      </c>
      <c r="AJ95" s="73" t="str">
        <v/>
      </c>
      <c r="AK95" s="73" t="str">
        <v/>
      </c>
      <c r="AL95" s="80" t="str">
        <v/>
      </c>
      <c r="AM95" s="61"/>
      <c r="AN95" s="81"/>
      <c r="AO95" s="70"/>
      <c r="AP95" s="70" t="str">
        <v/>
      </c>
      <c r="AQ95" s="70" t="str">
        <v/>
      </c>
      <c r="AR95" s="70" t="str">
        <v/>
      </c>
      <c r="AS95" s="82" t="str">
        <v/>
      </c>
      <c r="AT95" s="61"/>
      <c r="AU95" s="71" t="str">
        <v/>
      </c>
      <c r="AV95" s="72" t="str">
        <v/>
      </c>
      <c r="AW95" s="61"/>
    </row>
    <row r="96" spans="1:49">
      <c r="A96" s="48"/>
      <c r="B96" s="49"/>
      <c r="C96" s="50"/>
      <c r="D96" s="50"/>
      <c r="E96" s="51"/>
      <c r="F96" s="73" t="str">
        <v/>
      </c>
      <c r="G96" s="73" t="str">
        <v/>
      </c>
      <c r="H96" s="74" t="str">
        <v/>
      </c>
      <c r="I96" s="75" t="str">
        <v/>
      </c>
      <c r="J96" s="73" t="str">
        <v/>
      </c>
      <c r="K96" s="73" t="str">
        <v/>
      </c>
      <c r="L96" s="73" t="str">
        <v/>
      </c>
      <c r="M96" s="55"/>
      <c r="N96" s="56"/>
      <c r="O96" s="56"/>
      <c r="P96" s="57"/>
      <c r="Q96" s="76" t="str">
        <v/>
      </c>
      <c r="R96" s="76" t="str">
        <v/>
      </c>
      <c r="S96" s="76" t="str">
        <v/>
      </c>
      <c r="T96" s="77" t="str">
        <v/>
      </c>
      <c r="U96" s="73" t="str">
        <v/>
      </c>
      <c r="V96" s="73" t="str">
        <v/>
      </c>
      <c r="W96" s="73" t="str">
        <v/>
      </c>
      <c r="X96" s="78" t="str">
        <v/>
      </c>
      <c r="Y96" s="61"/>
      <c r="Z96" s="91"/>
      <c r="AA96" s="92"/>
      <c r="AB96" s="92" t="str">
        <v/>
      </c>
      <c r="AC96" s="89" t="str">
        <v/>
      </c>
      <c r="AD96" s="90"/>
      <c r="AE96" s="74" t="str">
        <v/>
      </c>
      <c r="AF96" s="76" t="str">
        <v/>
      </c>
      <c r="AG96" s="76" t="str">
        <v/>
      </c>
      <c r="AH96" s="79" t="str">
        <v/>
      </c>
      <c r="AI96" s="73" t="str">
        <v/>
      </c>
      <c r="AJ96" s="73" t="str">
        <v/>
      </c>
      <c r="AK96" s="73" t="str">
        <v/>
      </c>
      <c r="AL96" s="80" t="str">
        <v/>
      </c>
      <c r="AM96" s="61"/>
      <c r="AN96" s="81"/>
      <c r="AO96" s="70"/>
      <c r="AP96" s="70" t="str">
        <v/>
      </c>
      <c r="AQ96" s="70" t="str">
        <v/>
      </c>
      <c r="AR96" s="70" t="str">
        <v/>
      </c>
      <c r="AS96" s="82" t="str">
        <v/>
      </c>
      <c r="AT96" s="61"/>
      <c r="AU96" s="71" t="str">
        <v/>
      </c>
      <c r="AV96" s="72" t="str">
        <v/>
      </c>
      <c r="AW96" s="61"/>
    </row>
    <row r="97" spans="1:49">
      <c r="A97" s="48"/>
      <c r="B97" s="49"/>
      <c r="C97" s="50"/>
      <c r="D97" s="50"/>
      <c r="E97" s="51"/>
      <c r="F97" s="73" t="str">
        <v/>
      </c>
      <c r="G97" s="73" t="str">
        <v/>
      </c>
      <c r="H97" s="74" t="str">
        <v/>
      </c>
      <c r="I97" s="75" t="str">
        <v/>
      </c>
      <c r="J97" s="73" t="str">
        <v/>
      </c>
      <c r="K97" s="73" t="str">
        <v/>
      </c>
      <c r="L97" s="73" t="str">
        <v/>
      </c>
      <c r="M97" s="55"/>
      <c r="N97" s="56"/>
      <c r="O97" s="56"/>
      <c r="P97" s="57"/>
      <c r="Q97" s="76" t="str">
        <v/>
      </c>
      <c r="R97" s="76" t="str">
        <v/>
      </c>
      <c r="S97" s="76" t="str">
        <v/>
      </c>
      <c r="T97" s="77" t="str">
        <v/>
      </c>
      <c r="U97" s="73" t="str">
        <v/>
      </c>
      <c r="V97" s="73" t="str">
        <v/>
      </c>
      <c r="W97" s="73" t="str">
        <v/>
      </c>
      <c r="X97" s="78" t="str">
        <v/>
      </c>
      <c r="Y97" s="61"/>
      <c r="Z97" s="91"/>
      <c r="AA97" s="92"/>
      <c r="AB97" s="92" t="str">
        <v/>
      </c>
      <c r="AC97" s="89" t="str">
        <v/>
      </c>
      <c r="AD97" s="90"/>
      <c r="AE97" s="74" t="str">
        <v/>
      </c>
      <c r="AF97" s="76" t="str">
        <v/>
      </c>
      <c r="AG97" s="76" t="str">
        <v/>
      </c>
      <c r="AH97" s="79" t="str">
        <v/>
      </c>
      <c r="AI97" s="73" t="str">
        <v/>
      </c>
      <c r="AJ97" s="73" t="str">
        <v/>
      </c>
      <c r="AK97" s="73" t="str">
        <v/>
      </c>
      <c r="AL97" s="80" t="str">
        <v/>
      </c>
      <c r="AM97" s="61"/>
      <c r="AN97" s="81"/>
      <c r="AO97" s="70"/>
      <c r="AP97" s="70" t="str">
        <v/>
      </c>
      <c r="AQ97" s="70" t="str">
        <v/>
      </c>
      <c r="AR97" s="70" t="str">
        <v/>
      </c>
      <c r="AS97" s="82" t="str">
        <v/>
      </c>
      <c r="AT97" s="61"/>
      <c r="AU97" s="71" t="str">
        <v/>
      </c>
      <c r="AV97" s="72" t="str">
        <v/>
      </c>
      <c r="AW97" s="61"/>
    </row>
    <row r="98" spans="1:49">
      <c r="A98" s="48"/>
      <c r="B98" s="49"/>
      <c r="C98" s="50"/>
      <c r="D98" s="50"/>
      <c r="E98" s="51"/>
      <c r="F98" s="73" t="str">
        <v/>
      </c>
      <c r="G98" s="73" t="str">
        <v/>
      </c>
      <c r="H98" s="74" t="str">
        <v/>
      </c>
      <c r="I98" s="75" t="str">
        <v/>
      </c>
      <c r="J98" s="73" t="str">
        <v/>
      </c>
      <c r="K98" s="73" t="str">
        <v/>
      </c>
      <c r="L98" s="73" t="str">
        <v/>
      </c>
      <c r="M98" s="55"/>
      <c r="N98" s="56"/>
      <c r="O98" s="56"/>
      <c r="P98" s="57"/>
      <c r="Q98" s="76" t="str">
        <v/>
      </c>
      <c r="R98" s="76" t="str">
        <v/>
      </c>
      <c r="S98" s="76" t="str">
        <v/>
      </c>
      <c r="T98" s="77" t="str">
        <v/>
      </c>
      <c r="U98" s="73" t="str">
        <v/>
      </c>
      <c r="V98" s="73" t="str">
        <v/>
      </c>
      <c r="W98" s="73" t="str">
        <v/>
      </c>
      <c r="X98" s="78" t="str">
        <v/>
      </c>
      <c r="Y98" s="61"/>
      <c r="Z98" s="91"/>
      <c r="AA98" s="92"/>
      <c r="AB98" s="92" t="str">
        <v/>
      </c>
      <c r="AC98" s="89" t="str">
        <v/>
      </c>
      <c r="AD98" s="90"/>
      <c r="AE98" s="74" t="str">
        <v/>
      </c>
      <c r="AF98" s="76" t="str">
        <v/>
      </c>
      <c r="AG98" s="76" t="str">
        <v/>
      </c>
      <c r="AH98" s="79" t="str">
        <v/>
      </c>
      <c r="AI98" s="73" t="str">
        <v/>
      </c>
      <c r="AJ98" s="73" t="str">
        <v/>
      </c>
      <c r="AK98" s="73" t="str">
        <v/>
      </c>
      <c r="AL98" s="80" t="str">
        <v/>
      </c>
      <c r="AM98" s="61"/>
      <c r="AN98" s="81"/>
      <c r="AO98" s="70"/>
      <c r="AP98" s="70" t="str">
        <v/>
      </c>
      <c r="AQ98" s="70" t="str">
        <v/>
      </c>
      <c r="AR98" s="70" t="str">
        <v/>
      </c>
      <c r="AS98" s="82" t="str">
        <v/>
      </c>
      <c r="AT98" s="61"/>
      <c r="AU98" s="71" t="str">
        <v/>
      </c>
      <c r="AV98" s="72" t="str">
        <v/>
      </c>
      <c r="AW98" s="61"/>
    </row>
    <row r="99" spans="1:49">
      <c r="A99" s="48"/>
      <c r="B99" s="49"/>
      <c r="C99" s="50"/>
      <c r="D99" s="50"/>
      <c r="E99" s="51"/>
      <c r="F99" s="73" t="str">
        <v/>
      </c>
      <c r="G99" s="73" t="str">
        <v/>
      </c>
      <c r="H99" s="74" t="str">
        <v/>
      </c>
      <c r="I99" s="75" t="str">
        <v/>
      </c>
      <c r="J99" s="73" t="str">
        <v/>
      </c>
      <c r="K99" s="73" t="str">
        <v/>
      </c>
      <c r="L99" s="73" t="str">
        <v/>
      </c>
      <c r="M99" s="55"/>
      <c r="N99" s="56"/>
      <c r="O99" s="56"/>
      <c r="P99" s="57"/>
      <c r="Q99" s="76" t="str">
        <v/>
      </c>
      <c r="R99" s="76" t="str">
        <v/>
      </c>
      <c r="S99" s="76" t="str">
        <v/>
      </c>
      <c r="T99" s="77" t="str">
        <v/>
      </c>
      <c r="U99" s="73" t="str">
        <v/>
      </c>
      <c r="V99" s="73" t="str">
        <v/>
      </c>
      <c r="W99" s="73" t="str">
        <v/>
      </c>
      <c r="X99" s="78" t="str">
        <v/>
      </c>
      <c r="Y99" s="61"/>
      <c r="Z99" s="91"/>
      <c r="AA99" s="92"/>
      <c r="AB99" s="92" t="str">
        <v/>
      </c>
      <c r="AC99" s="89" t="str">
        <v/>
      </c>
      <c r="AD99" s="90"/>
      <c r="AE99" s="74" t="str">
        <v/>
      </c>
      <c r="AF99" s="76" t="str">
        <v/>
      </c>
      <c r="AG99" s="76" t="str">
        <v/>
      </c>
      <c r="AH99" s="79" t="str">
        <v/>
      </c>
      <c r="AI99" s="73" t="str">
        <v/>
      </c>
      <c r="AJ99" s="73" t="str">
        <v/>
      </c>
      <c r="AK99" s="73" t="str">
        <v/>
      </c>
      <c r="AL99" s="80" t="str">
        <v/>
      </c>
      <c r="AM99" s="61"/>
      <c r="AN99" s="81"/>
      <c r="AO99" s="70"/>
      <c r="AP99" s="70" t="str">
        <v/>
      </c>
      <c r="AQ99" s="70" t="str">
        <v/>
      </c>
      <c r="AR99" s="70" t="str">
        <v/>
      </c>
      <c r="AS99" s="82" t="str">
        <v/>
      </c>
      <c r="AT99" s="61"/>
      <c r="AU99" s="71" t="str">
        <v/>
      </c>
      <c r="AV99" s="72" t="str">
        <v/>
      </c>
      <c r="AW99" s="61"/>
    </row>
    <row r="100" spans="1:49">
      <c r="A100" s="48"/>
      <c r="B100" s="49"/>
      <c r="C100" s="50"/>
      <c r="D100" s="50"/>
      <c r="E100" s="51"/>
      <c r="F100" s="73" t="str">
        <v/>
      </c>
      <c r="G100" s="73" t="str">
        <v/>
      </c>
      <c r="H100" s="74" t="str">
        <v/>
      </c>
      <c r="I100" s="75" t="str">
        <v/>
      </c>
      <c r="J100" s="73" t="str">
        <v/>
      </c>
      <c r="K100" s="73" t="str">
        <v/>
      </c>
      <c r="L100" s="73" t="str">
        <v/>
      </c>
      <c r="M100" s="55"/>
      <c r="N100" s="56"/>
      <c r="O100" s="56"/>
      <c r="P100" s="57"/>
      <c r="Q100" s="76" t="str">
        <v/>
      </c>
      <c r="R100" s="76" t="str">
        <v/>
      </c>
      <c r="S100" s="76" t="str">
        <v/>
      </c>
      <c r="T100" s="77" t="str">
        <v/>
      </c>
      <c r="U100" s="73" t="str">
        <v/>
      </c>
      <c r="V100" s="73" t="str">
        <v/>
      </c>
      <c r="W100" s="73" t="str">
        <v/>
      </c>
      <c r="X100" s="78" t="str">
        <v/>
      </c>
      <c r="Y100" s="61"/>
      <c r="Z100" s="91"/>
      <c r="AA100" s="92"/>
      <c r="AB100" s="92" t="str">
        <v/>
      </c>
      <c r="AC100" s="89" t="str">
        <v/>
      </c>
      <c r="AD100" s="90"/>
      <c r="AE100" s="74" t="str">
        <v/>
      </c>
      <c r="AF100" s="76" t="str">
        <v/>
      </c>
      <c r="AG100" s="76" t="str">
        <v/>
      </c>
      <c r="AH100" s="79" t="str">
        <v/>
      </c>
      <c r="AI100" s="73" t="str">
        <v/>
      </c>
      <c r="AJ100" s="73" t="str">
        <v/>
      </c>
      <c r="AK100" s="73" t="str">
        <v/>
      </c>
      <c r="AL100" s="80" t="str">
        <v/>
      </c>
      <c r="AM100" s="61"/>
      <c r="AN100" s="81"/>
      <c r="AO100" s="70"/>
      <c r="AP100" s="70" t="str">
        <v/>
      </c>
      <c r="AQ100" s="70" t="str">
        <v/>
      </c>
      <c r="AR100" s="70" t="str">
        <v/>
      </c>
      <c r="AS100" s="82" t="str">
        <v/>
      </c>
      <c r="AT100" s="61"/>
      <c r="AU100" s="71" t="str">
        <v/>
      </c>
      <c r="AV100" s="72" t="str">
        <v/>
      </c>
      <c r="AW100" s="61"/>
    </row>
  </sheetData>
  <dataValidations count="2">
    <dataValidation type="list" allowBlank="1" showErrorMessage="1" sqref="M3:P100" xr:uid="{00000000-0002-0000-0000-000001000000}">
      <formula1>"0,2,0,15,0,10,0,05,0,-0,05,-0,10,-0,15,-0,20"</formula1>
    </dataValidation>
    <dataValidation type="list" allowBlank="1" showErrorMessage="1" sqref="B3:B100" xr:uid="{573A25DB-A30D-40CF-9864-6F0B5E4AABE4}">
      <formula1>"hombre,mujer"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0000000}">
          <x14:formula1>
            <xm:f>Alimentacion_calc!$A$3:$A$100</xm:f>
          </x14:formula1>
          <xm:sqref>AN3:AN100</xm:sqref>
        </x14:dataValidation>
        <x14:dataValidation type="list" allowBlank="1" showErrorMessage="1" xr:uid="{00000000-0002-0000-0000-000002000000}">
          <x14:formula1>
            <xm:f>Alimentacion_calc!$B$3:$B$100</xm:f>
          </x14:formula1>
          <xm:sqref>AO3:AO100</xm:sqref>
        </x14:dataValidation>
        <x14:dataValidation type="list" allowBlank="1" showErrorMessage="1" xr:uid="{00000000-0002-0000-0000-000004000000}">
          <x14:formula1>
            <xm:f>Actividad_calc!$A$3:$A$30</xm:f>
          </x14:formula1>
          <xm:sqref>AA3:AA100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D7E6B"/>
    <outlinePr summaryBelow="0" summaryRight="0"/>
  </sheetPr>
  <dimension ref="A1:F1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28.7109375" customWidth="1"/>
  </cols>
  <sheetData>
    <row r="1" spans="1:6">
      <c r="A1" s="93" t="s">
        <v>71</v>
      </c>
      <c r="B1" s="93" t="s">
        <v>72</v>
      </c>
      <c r="C1" s="93" t="s">
        <v>73</v>
      </c>
      <c r="D1" s="93" t="s">
        <v>74</v>
      </c>
      <c r="E1" s="93" t="s">
        <v>75</v>
      </c>
      <c r="F1" s="93" t="s">
        <v>76</v>
      </c>
    </row>
    <row r="2" spans="1:6">
      <c r="A2" s="93" t="s">
        <v>77</v>
      </c>
      <c r="B2" s="93" t="s">
        <v>78</v>
      </c>
      <c r="C2" s="94">
        <v>6</v>
      </c>
      <c r="D2" s="94">
        <v>4</v>
      </c>
      <c r="E2" s="94">
        <v>90</v>
      </c>
      <c r="F2" s="94">
        <v>15</v>
      </c>
    </row>
    <row r="3" spans="1:6">
      <c r="A3" s="93" t="s">
        <v>79</v>
      </c>
      <c r="B3" s="93" t="s">
        <v>78</v>
      </c>
      <c r="C3" s="94">
        <v>5.5</v>
      </c>
      <c r="D3" s="94">
        <v>4</v>
      </c>
      <c r="E3" s="94">
        <v>90</v>
      </c>
      <c r="F3" s="94">
        <v>15</v>
      </c>
    </row>
    <row r="4" spans="1:6">
      <c r="A4" s="93" t="s">
        <v>80</v>
      </c>
      <c r="B4" s="93" t="s">
        <v>78</v>
      </c>
      <c r="C4" s="94">
        <v>5.5</v>
      </c>
      <c r="D4" s="94">
        <v>4</v>
      </c>
      <c r="E4" s="94">
        <v>90</v>
      </c>
      <c r="F4" s="94">
        <v>15</v>
      </c>
    </row>
    <row r="5" spans="1:6">
      <c r="A5" s="93" t="s">
        <v>81</v>
      </c>
      <c r="B5" s="93" t="s">
        <v>78</v>
      </c>
      <c r="C5" s="94">
        <v>4</v>
      </c>
      <c r="D5" s="94">
        <v>4</v>
      </c>
      <c r="E5" s="94">
        <v>90</v>
      </c>
      <c r="F5" s="94">
        <v>15</v>
      </c>
    </row>
    <row r="6" spans="1:6">
      <c r="A6" s="93" t="s">
        <v>82</v>
      </c>
      <c r="B6" s="93" t="s">
        <v>78</v>
      </c>
      <c r="C6" s="94">
        <v>6.5</v>
      </c>
      <c r="D6" s="94">
        <v>4</v>
      </c>
      <c r="E6" s="94">
        <v>90</v>
      </c>
      <c r="F6" s="94">
        <v>15</v>
      </c>
    </row>
    <row r="7" spans="1:6">
      <c r="A7" s="93" t="s">
        <v>83</v>
      </c>
      <c r="B7" s="93" t="s">
        <v>78</v>
      </c>
      <c r="C7" s="94">
        <v>7</v>
      </c>
      <c r="D7" s="94">
        <v>4</v>
      </c>
      <c r="E7" s="94">
        <v>90</v>
      </c>
      <c r="F7" s="94">
        <v>15</v>
      </c>
    </row>
    <row r="8" spans="1:6">
      <c r="A8" s="93" t="s">
        <v>84</v>
      </c>
      <c r="B8" s="93" t="s">
        <v>78</v>
      </c>
      <c r="C8" s="94">
        <v>5</v>
      </c>
      <c r="D8" s="94">
        <v>4</v>
      </c>
      <c r="E8" s="94">
        <v>90</v>
      </c>
      <c r="F8" s="94">
        <v>15</v>
      </c>
    </row>
    <row r="9" spans="1:6">
      <c r="A9" s="93" t="s">
        <v>85</v>
      </c>
      <c r="B9" s="93" t="s">
        <v>78</v>
      </c>
      <c r="C9" s="94">
        <v>6</v>
      </c>
      <c r="D9" s="94">
        <v>4</v>
      </c>
      <c r="E9" s="94">
        <v>90</v>
      </c>
      <c r="F9" s="94">
        <v>15</v>
      </c>
    </row>
    <row r="10" spans="1:6">
      <c r="A10" s="93" t="s">
        <v>86</v>
      </c>
      <c r="B10" s="93" t="s">
        <v>78</v>
      </c>
      <c r="C10" s="94">
        <v>5.5</v>
      </c>
      <c r="D10" s="94">
        <v>4</v>
      </c>
      <c r="E10" s="94">
        <v>90</v>
      </c>
      <c r="F10" s="94">
        <v>15</v>
      </c>
    </row>
    <row r="11" spans="1:6">
      <c r="A11" s="93" t="s">
        <v>87</v>
      </c>
      <c r="B11" s="93" t="s">
        <v>78</v>
      </c>
      <c r="C11" s="94">
        <v>4</v>
      </c>
      <c r="D11" s="94">
        <v>4</v>
      </c>
      <c r="E11" s="94">
        <v>90</v>
      </c>
      <c r="F11" s="94">
        <v>15</v>
      </c>
    </row>
    <row r="12" spans="1:6">
      <c r="A12" s="93" t="s">
        <v>88</v>
      </c>
      <c r="B12" s="93" t="s">
        <v>78</v>
      </c>
      <c r="C12" s="94">
        <v>6</v>
      </c>
      <c r="D12" s="94">
        <v>4</v>
      </c>
      <c r="E12" s="94">
        <v>90</v>
      </c>
      <c r="F12" s="94">
        <v>15</v>
      </c>
    </row>
    <row r="13" spans="1:6">
      <c r="A13" s="93" t="s">
        <v>89</v>
      </c>
      <c r="B13" s="93" t="s">
        <v>78</v>
      </c>
      <c r="C13" s="94">
        <v>4</v>
      </c>
      <c r="D13" s="94">
        <v>4</v>
      </c>
      <c r="E13" s="94">
        <v>90</v>
      </c>
      <c r="F13" s="94">
        <v>15</v>
      </c>
    </row>
    <row r="14" spans="1:6">
      <c r="A14" s="93" t="s">
        <v>90</v>
      </c>
      <c r="B14" s="93" t="s">
        <v>78</v>
      </c>
      <c r="C14" s="94">
        <v>3.5</v>
      </c>
      <c r="D14" s="94">
        <v>4</v>
      </c>
      <c r="E14" s="94">
        <v>90</v>
      </c>
      <c r="F14" s="94">
        <v>15</v>
      </c>
    </row>
    <row r="15" spans="1:6">
      <c r="A15" s="93" t="s">
        <v>91</v>
      </c>
      <c r="B15" s="93" t="s">
        <v>78</v>
      </c>
      <c r="C15" s="94">
        <v>3.5</v>
      </c>
      <c r="D15" s="94">
        <v>4</v>
      </c>
      <c r="E15" s="94">
        <v>90</v>
      </c>
      <c r="F15" s="94">
        <v>15</v>
      </c>
    </row>
    <row r="16" spans="1:6">
      <c r="A16" s="93" t="s">
        <v>92</v>
      </c>
      <c r="B16" s="93" t="s">
        <v>78</v>
      </c>
      <c r="C16" s="94">
        <v>3.5</v>
      </c>
      <c r="D16" s="94">
        <v>4</v>
      </c>
      <c r="E16" s="94">
        <v>90</v>
      </c>
      <c r="F16" s="94">
        <v>15</v>
      </c>
    </row>
    <row r="17" spans="1:6">
      <c r="A17" s="93" t="s">
        <v>93</v>
      </c>
      <c r="B17" s="93" t="s">
        <v>78</v>
      </c>
      <c r="C17" s="94">
        <v>6.5</v>
      </c>
      <c r="D17" s="94">
        <v>4</v>
      </c>
      <c r="E17" s="94">
        <v>90</v>
      </c>
      <c r="F17" s="94">
        <v>15</v>
      </c>
    </row>
    <row r="18" spans="1:6">
      <c r="A18" s="93" t="s">
        <v>94</v>
      </c>
      <c r="B18" s="93" t="s">
        <v>78</v>
      </c>
      <c r="C18" s="94">
        <v>6</v>
      </c>
      <c r="D18" s="94">
        <v>4</v>
      </c>
      <c r="E18" s="94">
        <v>90</v>
      </c>
      <c r="F18" s="94">
        <v>15</v>
      </c>
    </row>
    <row r="19" spans="1:6">
      <c r="A19" s="93" t="s">
        <v>95</v>
      </c>
      <c r="B19" s="93" t="s">
        <v>78</v>
      </c>
      <c r="C19" s="94">
        <v>7</v>
      </c>
      <c r="D19" s="94">
        <v>4</v>
      </c>
      <c r="E19" s="94">
        <v>90</v>
      </c>
      <c r="F19" s="94">
        <v>15</v>
      </c>
    </row>
    <row r="20" spans="1:6">
      <c r="A20" s="93" t="s">
        <v>96</v>
      </c>
      <c r="B20" s="93" t="s">
        <v>78</v>
      </c>
      <c r="C20" s="94">
        <v>6.5</v>
      </c>
      <c r="D20" s="94">
        <v>4</v>
      </c>
      <c r="E20" s="94">
        <v>90</v>
      </c>
      <c r="F20" s="94">
        <v>15</v>
      </c>
    </row>
    <row r="21" spans="1:6">
      <c r="A21" s="93" t="s">
        <v>97</v>
      </c>
      <c r="B21" s="93" t="s">
        <v>78</v>
      </c>
      <c r="C21" s="94">
        <v>6</v>
      </c>
      <c r="D21" s="94">
        <v>4</v>
      </c>
      <c r="E21" s="94">
        <v>90</v>
      </c>
      <c r="F21" s="94">
        <v>15</v>
      </c>
    </row>
    <row r="22" spans="1:6">
      <c r="A22" s="93" t="s">
        <v>98</v>
      </c>
      <c r="B22" s="93" t="s">
        <v>78</v>
      </c>
      <c r="C22" s="94">
        <v>6</v>
      </c>
      <c r="D22" s="94">
        <v>4</v>
      </c>
      <c r="E22" s="94">
        <v>90</v>
      </c>
      <c r="F22" s="94">
        <v>15</v>
      </c>
    </row>
    <row r="23" spans="1:6">
      <c r="A23" s="93" t="s">
        <v>99</v>
      </c>
      <c r="B23" s="93" t="s">
        <v>78</v>
      </c>
      <c r="C23" s="94">
        <v>5.5</v>
      </c>
      <c r="D23" s="94">
        <v>4</v>
      </c>
      <c r="E23" s="94">
        <v>90</v>
      </c>
      <c r="F23" s="94">
        <v>15</v>
      </c>
    </row>
    <row r="24" spans="1:6">
      <c r="A24" s="93" t="s">
        <v>100</v>
      </c>
      <c r="B24" s="93" t="s">
        <v>78</v>
      </c>
      <c r="C24" s="94">
        <v>3.5</v>
      </c>
      <c r="D24" s="94">
        <v>4</v>
      </c>
      <c r="E24" s="94">
        <v>90</v>
      </c>
      <c r="F24" s="94">
        <v>15</v>
      </c>
    </row>
    <row r="25" spans="1:6">
      <c r="A25" s="93" t="s">
        <v>101</v>
      </c>
      <c r="B25" s="93" t="s">
        <v>78</v>
      </c>
      <c r="C25" s="94">
        <v>5.5</v>
      </c>
      <c r="D25" s="94">
        <v>4</v>
      </c>
      <c r="E25" s="94">
        <v>90</v>
      </c>
      <c r="F25" s="94">
        <v>15</v>
      </c>
    </row>
    <row r="26" spans="1:6">
      <c r="A26" s="93" t="s">
        <v>102</v>
      </c>
      <c r="B26" s="93" t="s">
        <v>103</v>
      </c>
      <c r="C26" s="94">
        <v>3.5</v>
      </c>
      <c r="D26" s="95"/>
      <c r="E26" s="95"/>
      <c r="F26" s="95"/>
    </row>
    <row r="27" spans="1:6">
      <c r="A27" s="93" t="s">
        <v>104</v>
      </c>
      <c r="B27" s="93" t="s">
        <v>103</v>
      </c>
      <c r="C27" s="94">
        <v>3.5</v>
      </c>
      <c r="D27" s="95"/>
      <c r="E27" s="95"/>
      <c r="F27" s="95"/>
    </row>
    <row r="28" spans="1:6">
      <c r="A28" s="93" t="s">
        <v>105</v>
      </c>
      <c r="B28" s="93" t="s">
        <v>78</v>
      </c>
      <c r="C28" s="94">
        <v>3</v>
      </c>
      <c r="D28" s="94">
        <v>4</v>
      </c>
      <c r="E28" s="94">
        <v>90</v>
      </c>
      <c r="F28" s="94">
        <v>15</v>
      </c>
    </row>
    <row r="29" spans="1:6">
      <c r="A29" s="93" t="s">
        <v>106</v>
      </c>
      <c r="B29" s="93" t="s">
        <v>78</v>
      </c>
      <c r="C29" s="94">
        <v>4</v>
      </c>
      <c r="D29" s="94">
        <v>4</v>
      </c>
      <c r="E29" s="94">
        <v>90</v>
      </c>
      <c r="F29" s="94">
        <v>15</v>
      </c>
    </row>
    <row r="30" spans="1:6">
      <c r="A30" s="93" t="s">
        <v>107</v>
      </c>
      <c r="B30" s="93" t="s">
        <v>78</v>
      </c>
      <c r="C30" s="94">
        <v>4</v>
      </c>
      <c r="D30" s="94">
        <v>4</v>
      </c>
      <c r="E30" s="94">
        <v>90</v>
      </c>
      <c r="F30" s="94">
        <v>15</v>
      </c>
    </row>
    <row r="31" spans="1:6">
      <c r="A31" s="93" t="s">
        <v>108</v>
      </c>
      <c r="B31" s="93" t="s">
        <v>78</v>
      </c>
      <c r="C31" s="94">
        <v>8.5</v>
      </c>
      <c r="D31" s="94">
        <v>4</v>
      </c>
      <c r="E31" s="94">
        <v>90</v>
      </c>
      <c r="F31" s="94">
        <v>15</v>
      </c>
    </row>
    <row r="32" spans="1:6">
      <c r="A32" s="93" t="s">
        <v>109</v>
      </c>
      <c r="B32" s="93" t="s">
        <v>78</v>
      </c>
      <c r="C32" s="94">
        <v>9</v>
      </c>
      <c r="D32" s="94">
        <v>4</v>
      </c>
      <c r="E32" s="94">
        <v>90</v>
      </c>
      <c r="F32" s="94">
        <v>15</v>
      </c>
    </row>
    <row r="33" spans="1:6">
      <c r="A33" s="93" t="s">
        <v>110</v>
      </c>
      <c r="B33" s="93" t="s">
        <v>78</v>
      </c>
      <c r="C33" s="94">
        <v>9</v>
      </c>
      <c r="D33" s="94">
        <v>4</v>
      </c>
      <c r="E33" s="94">
        <v>90</v>
      </c>
      <c r="F33" s="94">
        <v>15</v>
      </c>
    </row>
    <row r="34" spans="1:6">
      <c r="A34" s="93" t="s">
        <v>111</v>
      </c>
      <c r="B34" s="93" t="s">
        <v>78</v>
      </c>
      <c r="C34" s="94">
        <v>8</v>
      </c>
      <c r="D34" s="94">
        <v>4</v>
      </c>
      <c r="E34" s="94">
        <v>90</v>
      </c>
      <c r="F34" s="94">
        <v>15</v>
      </c>
    </row>
    <row r="35" spans="1:6">
      <c r="A35" s="93" t="s">
        <v>112</v>
      </c>
      <c r="B35" s="93" t="s">
        <v>103</v>
      </c>
      <c r="C35" s="94">
        <v>3.5</v>
      </c>
      <c r="D35" s="95"/>
      <c r="E35" s="95"/>
      <c r="F35" s="95"/>
    </row>
    <row r="36" spans="1:6">
      <c r="A36" s="93" t="s">
        <v>113</v>
      </c>
      <c r="B36" s="93" t="s">
        <v>103</v>
      </c>
      <c r="C36" s="94">
        <v>9.8000000000000007</v>
      </c>
      <c r="D36" s="95"/>
      <c r="E36" s="95"/>
      <c r="F36" s="95"/>
    </row>
    <row r="37" spans="1:6">
      <c r="A37" s="93" t="s">
        <v>114</v>
      </c>
      <c r="B37" s="93" t="s">
        <v>103</v>
      </c>
      <c r="C37" s="94">
        <v>11</v>
      </c>
      <c r="D37" s="95"/>
      <c r="E37" s="95"/>
      <c r="F37" s="95"/>
    </row>
    <row r="38" spans="1:6">
      <c r="A38" s="93" t="s">
        <v>115</v>
      </c>
      <c r="B38" s="93" t="s">
        <v>103</v>
      </c>
      <c r="C38" s="94">
        <v>12</v>
      </c>
      <c r="D38" s="95"/>
      <c r="E38" s="95"/>
      <c r="F38" s="95"/>
    </row>
    <row r="39" spans="1:6">
      <c r="A39" s="93" t="s">
        <v>116</v>
      </c>
      <c r="B39" s="93" t="s">
        <v>103</v>
      </c>
      <c r="C39" s="94">
        <v>8</v>
      </c>
      <c r="D39" s="95"/>
      <c r="E39" s="95"/>
      <c r="F39" s="95"/>
    </row>
    <row r="40" spans="1:6">
      <c r="A40" s="93" t="s">
        <v>117</v>
      </c>
      <c r="B40" s="93" t="s">
        <v>103</v>
      </c>
      <c r="C40" s="94">
        <v>9</v>
      </c>
      <c r="D40" s="95"/>
      <c r="E40" s="95"/>
      <c r="F40" s="95"/>
    </row>
    <row r="41" spans="1:6">
      <c r="A41" s="93" t="s">
        <v>118</v>
      </c>
      <c r="B41" s="93" t="s">
        <v>103</v>
      </c>
      <c r="C41" s="94">
        <v>8</v>
      </c>
      <c r="D41" s="95"/>
      <c r="E41" s="95"/>
      <c r="F41" s="95"/>
    </row>
    <row r="42" spans="1:6">
      <c r="A42" s="93" t="s">
        <v>119</v>
      </c>
      <c r="B42" s="93" t="s">
        <v>103</v>
      </c>
      <c r="C42" s="94">
        <v>10</v>
      </c>
      <c r="D42" s="95"/>
      <c r="E42" s="95"/>
      <c r="F42" s="95"/>
    </row>
    <row r="43" spans="1:6">
      <c r="A43" s="93" t="s">
        <v>120</v>
      </c>
      <c r="B43" s="93" t="s">
        <v>103</v>
      </c>
      <c r="C43" s="94">
        <v>8.5</v>
      </c>
      <c r="D43" s="95"/>
      <c r="E43" s="95"/>
      <c r="F43" s="95"/>
    </row>
    <row r="44" spans="1:6">
      <c r="A44" s="93" t="s">
        <v>121</v>
      </c>
      <c r="B44" s="93" t="s">
        <v>103</v>
      </c>
      <c r="C44" s="94">
        <v>6.5</v>
      </c>
      <c r="D44" s="95"/>
      <c r="E44" s="95"/>
      <c r="F44" s="95"/>
    </row>
    <row r="45" spans="1:6">
      <c r="A45" s="93" t="s">
        <v>122</v>
      </c>
      <c r="B45" s="93" t="s">
        <v>103</v>
      </c>
      <c r="C45" s="94">
        <v>8.8000000000000007</v>
      </c>
      <c r="D45" s="95"/>
      <c r="E45" s="95"/>
      <c r="F45" s="95"/>
    </row>
    <row r="46" spans="1:6">
      <c r="A46" s="93" t="s">
        <v>123</v>
      </c>
      <c r="B46" s="93" t="s">
        <v>103</v>
      </c>
      <c r="C46" s="94">
        <v>6.5</v>
      </c>
      <c r="D46" s="95"/>
      <c r="E46" s="95"/>
      <c r="F46" s="95"/>
    </row>
    <row r="47" spans="1:6">
      <c r="A47" s="93" t="s">
        <v>124</v>
      </c>
      <c r="B47" s="93" t="s">
        <v>103</v>
      </c>
      <c r="C47" s="94">
        <v>7.5</v>
      </c>
      <c r="D47" s="95"/>
      <c r="E47" s="95"/>
      <c r="F47" s="95"/>
    </row>
    <row r="48" spans="1:6">
      <c r="A48" s="93" t="s">
        <v>125</v>
      </c>
      <c r="B48" s="93" t="s">
        <v>103</v>
      </c>
      <c r="C48" s="94">
        <v>8.5</v>
      </c>
      <c r="D48" s="95"/>
      <c r="E48" s="95"/>
      <c r="F48" s="95"/>
    </row>
    <row r="49" spans="1:6">
      <c r="A49" s="93" t="s">
        <v>126</v>
      </c>
      <c r="B49" s="93" t="s">
        <v>103</v>
      </c>
      <c r="C49" s="94">
        <v>11</v>
      </c>
      <c r="D49" s="95"/>
      <c r="E49" s="95"/>
      <c r="F49" s="95"/>
    </row>
    <row r="50" spans="1:6">
      <c r="A50" s="93" t="s">
        <v>127</v>
      </c>
      <c r="B50" s="93" t="s">
        <v>103</v>
      </c>
      <c r="C50" s="94">
        <v>9.5</v>
      </c>
      <c r="D50" s="95"/>
      <c r="E50" s="95"/>
      <c r="F50" s="95"/>
    </row>
    <row r="51" spans="1:6">
      <c r="A51" s="93" t="s">
        <v>128</v>
      </c>
      <c r="B51" s="93" t="s">
        <v>103</v>
      </c>
      <c r="C51" s="94">
        <v>2.2999999999999998</v>
      </c>
      <c r="D51" s="95"/>
      <c r="E51" s="95"/>
      <c r="F51" s="95"/>
    </row>
    <row r="52" spans="1:6">
      <c r="A52" s="93" t="s">
        <v>129</v>
      </c>
      <c r="B52" s="93" t="s">
        <v>103</v>
      </c>
      <c r="C52" s="94">
        <v>2.5</v>
      </c>
      <c r="D52" s="95"/>
      <c r="E52" s="95"/>
      <c r="F52" s="95"/>
    </row>
    <row r="53" spans="1:6">
      <c r="A53" s="93" t="s">
        <v>130</v>
      </c>
      <c r="B53" s="93" t="s">
        <v>103</v>
      </c>
      <c r="C53" s="94">
        <v>2</v>
      </c>
      <c r="D53" s="95"/>
      <c r="E53" s="95"/>
      <c r="F53" s="95"/>
    </row>
    <row r="54" spans="1:6">
      <c r="A54" s="93" t="s">
        <v>131</v>
      </c>
      <c r="B54" s="93" t="s">
        <v>103</v>
      </c>
      <c r="C54" s="94">
        <v>1.5</v>
      </c>
      <c r="D54" s="95"/>
      <c r="E54" s="95"/>
      <c r="F54" s="95"/>
    </row>
    <row r="55" spans="1:6">
      <c r="A55" s="96"/>
      <c r="B55" s="96"/>
      <c r="C55" s="97"/>
      <c r="D55" s="97"/>
      <c r="E55" s="97"/>
      <c r="F55" s="97"/>
    </row>
    <row r="56" spans="1:6">
      <c r="A56" s="96"/>
      <c r="B56" s="96"/>
      <c r="C56" s="97"/>
      <c r="D56" s="97"/>
      <c r="E56" s="97"/>
      <c r="F56" s="97"/>
    </row>
    <row r="57" spans="1:6">
      <c r="A57" s="96"/>
      <c r="B57" s="96"/>
      <c r="C57" s="97"/>
      <c r="D57" s="97"/>
      <c r="E57" s="97"/>
      <c r="F57" s="97"/>
    </row>
    <row r="58" spans="1:6">
      <c r="A58" s="96"/>
      <c r="B58" s="96"/>
      <c r="C58" s="97"/>
      <c r="D58" s="97"/>
      <c r="E58" s="97"/>
      <c r="F58" s="97"/>
    </row>
    <row r="59" spans="1:6">
      <c r="A59" s="96"/>
      <c r="B59" s="96"/>
      <c r="C59" s="97"/>
      <c r="D59" s="97"/>
      <c r="E59" s="97"/>
      <c r="F59" s="97"/>
    </row>
    <row r="60" spans="1:6">
      <c r="A60" s="96"/>
      <c r="B60" s="96"/>
      <c r="C60" s="97"/>
      <c r="D60" s="97"/>
      <c r="E60" s="97"/>
      <c r="F60" s="97"/>
    </row>
    <row r="61" spans="1:6">
      <c r="A61" s="96"/>
      <c r="B61" s="96"/>
      <c r="C61" s="97"/>
      <c r="D61" s="97"/>
      <c r="E61" s="97"/>
      <c r="F61" s="97"/>
    </row>
    <row r="62" spans="1:6">
      <c r="A62" s="96"/>
      <c r="B62" s="96"/>
      <c r="C62" s="97"/>
      <c r="D62" s="97"/>
      <c r="E62" s="97"/>
      <c r="F62" s="97"/>
    </row>
    <row r="63" spans="1:6">
      <c r="A63" s="96"/>
      <c r="B63" s="96"/>
      <c r="C63" s="97"/>
      <c r="D63" s="97"/>
      <c r="E63" s="97"/>
      <c r="F63" s="97"/>
    </row>
    <row r="64" spans="1:6">
      <c r="A64" s="96"/>
      <c r="B64" s="96"/>
      <c r="C64" s="97"/>
      <c r="D64" s="97"/>
      <c r="E64" s="97"/>
      <c r="F64" s="97"/>
    </row>
    <row r="65" spans="1:6">
      <c r="A65" s="96"/>
      <c r="B65" s="96"/>
      <c r="C65" s="97"/>
      <c r="D65" s="97"/>
      <c r="E65" s="97"/>
      <c r="F65" s="97"/>
    </row>
    <row r="66" spans="1:6">
      <c r="A66" s="96"/>
      <c r="B66" s="96"/>
      <c r="C66" s="97"/>
      <c r="D66" s="97"/>
      <c r="E66" s="97"/>
      <c r="F66" s="97"/>
    </row>
    <row r="67" spans="1:6">
      <c r="A67" s="96"/>
      <c r="B67" s="96"/>
      <c r="C67" s="97"/>
      <c r="D67" s="97"/>
      <c r="E67" s="97"/>
      <c r="F67" s="97"/>
    </row>
    <row r="68" spans="1:6">
      <c r="A68" s="96"/>
      <c r="B68" s="96"/>
      <c r="C68" s="97"/>
      <c r="D68" s="97"/>
      <c r="E68" s="97"/>
      <c r="F68" s="97"/>
    </row>
    <row r="69" spans="1:6">
      <c r="A69" s="96"/>
      <c r="B69" s="96"/>
      <c r="C69" s="97"/>
      <c r="D69" s="97"/>
      <c r="E69" s="97"/>
      <c r="F69" s="97"/>
    </row>
    <row r="70" spans="1:6">
      <c r="A70" s="96"/>
      <c r="B70" s="96"/>
      <c r="C70" s="97"/>
      <c r="D70" s="97"/>
      <c r="E70" s="97"/>
      <c r="F70" s="97"/>
    </row>
    <row r="71" spans="1:6">
      <c r="A71" s="96"/>
      <c r="B71" s="96"/>
      <c r="C71" s="97"/>
      <c r="D71" s="97"/>
      <c r="E71" s="97"/>
      <c r="F71" s="97"/>
    </row>
    <row r="72" spans="1:6">
      <c r="A72" s="96"/>
      <c r="B72" s="96"/>
      <c r="C72" s="97"/>
      <c r="D72" s="97"/>
      <c r="E72" s="97"/>
      <c r="F72" s="97"/>
    </row>
    <row r="73" spans="1:6">
      <c r="A73" s="96"/>
      <c r="B73" s="96"/>
      <c r="C73" s="97"/>
      <c r="D73" s="97"/>
      <c r="E73" s="97"/>
      <c r="F73" s="97"/>
    </row>
    <row r="74" spans="1:6">
      <c r="A74" s="96"/>
      <c r="B74" s="96"/>
      <c r="C74" s="97"/>
      <c r="D74" s="97"/>
      <c r="E74" s="97"/>
      <c r="F74" s="97"/>
    </row>
    <row r="75" spans="1:6">
      <c r="A75" s="96"/>
      <c r="B75" s="96"/>
      <c r="C75" s="97"/>
      <c r="D75" s="97"/>
      <c r="E75" s="97"/>
      <c r="F75" s="97"/>
    </row>
    <row r="76" spans="1:6">
      <c r="A76" s="96"/>
      <c r="B76" s="96"/>
      <c r="C76" s="97"/>
      <c r="D76" s="97"/>
      <c r="E76" s="97"/>
      <c r="F76" s="97"/>
    </row>
    <row r="77" spans="1:6">
      <c r="A77" s="96"/>
      <c r="B77" s="96"/>
      <c r="C77" s="97"/>
      <c r="D77" s="97"/>
      <c r="E77" s="97"/>
      <c r="F77" s="97"/>
    </row>
    <row r="78" spans="1:6">
      <c r="A78" s="96"/>
      <c r="B78" s="96"/>
      <c r="C78" s="97"/>
      <c r="D78" s="97"/>
      <c r="E78" s="97"/>
      <c r="F78" s="97"/>
    </row>
    <row r="79" spans="1:6">
      <c r="A79" s="96"/>
      <c r="B79" s="96"/>
      <c r="C79" s="97"/>
      <c r="D79" s="97"/>
      <c r="E79" s="97"/>
      <c r="F79" s="97"/>
    </row>
    <row r="80" spans="1:6">
      <c r="A80" s="96"/>
      <c r="B80" s="96"/>
      <c r="C80" s="97"/>
      <c r="D80" s="97"/>
      <c r="E80" s="97"/>
      <c r="F80" s="97"/>
    </row>
    <row r="81" spans="1:6">
      <c r="A81" s="96"/>
      <c r="B81" s="96"/>
      <c r="C81" s="97"/>
      <c r="D81" s="97"/>
      <c r="E81" s="97"/>
      <c r="F81" s="97"/>
    </row>
    <row r="82" spans="1:6">
      <c r="A82" s="96"/>
      <c r="B82" s="96"/>
      <c r="C82" s="97"/>
      <c r="D82" s="97"/>
      <c r="E82" s="97"/>
      <c r="F82" s="97"/>
    </row>
    <row r="83" spans="1:6">
      <c r="A83" s="96"/>
      <c r="B83" s="96"/>
      <c r="C83" s="97"/>
      <c r="D83" s="97"/>
      <c r="E83" s="97"/>
      <c r="F83" s="97"/>
    </row>
    <row r="84" spans="1:6">
      <c r="A84" s="96"/>
      <c r="B84" s="96"/>
      <c r="C84" s="97"/>
      <c r="D84" s="97"/>
      <c r="E84" s="97"/>
      <c r="F84" s="97"/>
    </row>
    <row r="85" spans="1:6">
      <c r="A85" s="96"/>
      <c r="B85" s="96"/>
      <c r="C85" s="97"/>
      <c r="D85" s="97"/>
      <c r="E85" s="97"/>
      <c r="F85" s="97"/>
    </row>
    <row r="86" spans="1:6">
      <c r="A86" s="96"/>
      <c r="B86" s="96"/>
      <c r="C86" s="97"/>
      <c r="D86" s="97"/>
      <c r="E86" s="97"/>
      <c r="F86" s="97"/>
    </row>
    <row r="87" spans="1:6">
      <c r="A87" s="96"/>
      <c r="B87" s="96"/>
      <c r="C87" s="97"/>
      <c r="D87" s="97"/>
      <c r="E87" s="97"/>
      <c r="F87" s="97"/>
    </row>
    <row r="88" spans="1:6">
      <c r="A88" s="96"/>
      <c r="B88" s="96"/>
      <c r="C88" s="97"/>
      <c r="D88" s="97"/>
      <c r="E88" s="97"/>
      <c r="F88" s="97"/>
    </row>
    <row r="89" spans="1:6">
      <c r="A89" s="96"/>
      <c r="B89" s="96"/>
      <c r="C89" s="97"/>
      <c r="D89" s="97"/>
      <c r="E89" s="97"/>
      <c r="F89" s="97"/>
    </row>
    <row r="90" spans="1:6">
      <c r="A90" s="96"/>
      <c r="B90" s="96"/>
      <c r="C90" s="97"/>
      <c r="D90" s="97"/>
      <c r="E90" s="97"/>
      <c r="F90" s="97"/>
    </row>
    <row r="91" spans="1:6">
      <c r="A91" s="96"/>
      <c r="B91" s="96"/>
      <c r="C91" s="97"/>
      <c r="D91" s="97"/>
      <c r="E91" s="97"/>
      <c r="F91" s="97"/>
    </row>
    <row r="92" spans="1:6">
      <c r="A92" s="96"/>
      <c r="B92" s="96"/>
      <c r="C92" s="97"/>
      <c r="D92" s="97"/>
      <c r="E92" s="97"/>
      <c r="F92" s="97"/>
    </row>
    <row r="93" spans="1:6">
      <c r="A93" s="96"/>
      <c r="B93" s="96"/>
      <c r="C93" s="97"/>
      <c r="D93" s="97"/>
      <c r="E93" s="97"/>
      <c r="F93" s="97"/>
    </row>
    <row r="94" spans="1:6">
      <c r="A94" s="96"/>
      <c r="B94" s="96"/>
      <c r="C94" s="97"/>
      <c r="D94" s="97"/>
      <c r="E94" s="97"/>
      <c r="F94" s="97"/>
    </row>
    <row r="95" spans="1:6">
      <c r="A95" s="96"/>
      <c r="B95" s="96"/>
      <c r="C95" s="97"/>
      <c r="D95" s="97"/>
      <c r="E95" s="97"/>
      <c r="F95" s="97"/>
    </row>
    <row r="96" spans="1:6">
      <c r="A96" s="96"/>
      <c r="B96" s="96"/>
      <c r="C96" s="97"/>
      <c r="D96" s="97"/>
      <c r="E96" s="97"/>
      <c r="F96" s="97"/>
    </row>
    <row r="97" spans="1:6">
      <c r="A97" s="96"/>
      <c r="B97" s="96"/>
      <c r="C97" s="97"/>
      <c r="D97" s="97"/>
      <c r="E97" s="97"/>
      <c r="F97" s="97"/>
    </row>
    <row r="98" spans="1:6">
      <c r="A98" s="96"/>
      <c r="B98" s="96"/>
      <c r="C98" s="97"/>
      <c r="D98" s="97"/>
      <c r="E98" s="97"/>
      <c r="F98" s="97"/>
    </row>
    <row r="99" spans="1:6">
      <c r="A99" s="96"/>
      <c r="B99" s="96"/>
      <c r="C99" s="97"/>
      <c r="D99" s="97"/>
      <c r="E99" s="97"/>
      <c r="F99" s="97"/>
    </row>
    <row r="100" spans="1:6">
      <c r="A100" s="96"/>
      <c r="B100" s="96"/>
      <c r="C100" s="97"/>
      <c r="D100" s="97"/>
      <c r="E100" s="97"/>
      <c r="F100" s="97"/>
    </row>
  </sheetData>
  <autoFilter ref="A1:F100" xr:uid="{00000000-0009-0000-0000-000001000000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D7E6B"/>
    <outlinePr summaryBelow="0" summaryRight="0"/>
  </sheetPr>
  <dimension ref="A1:BE100"/>
  <sheetViews>
    <sheetView workbookViewId="0">
      <pane xSplit="1" ySplit="2" topLeftCell="AD3" activePane="bottomRight" state="frozen"/>
      <selection pane="topRight" activeCell="B1" sqref="B1"/>
      <selection pane="bottomLeft" activeCell="A3" sqref="A3"/>
      <selection pane="bottomRight" activeCell="A9" sqref="A9"/>
    </sheetView>
  </sheetViews>
  <sheetFormatPr defaultColWidth="14.42578125" defaultRowHeight="15" customHeight="1"/>
  <cols>
    <col min="5" max="5" width="3" customWidth="1"/>
    <col min="7" max="10" width="7.28515625" customWidth="1"/>
    <col min="12" max="15" width="7.28515625" customWidth="1"/>
    <col min="17" max="20" width="7.28515625" customWidth="1"/>
    <col min="21" max="21" width="14.42578125" customWidth="1"/>
    <col min="22" max="25" width="7.28515625" customWidth="1"/>
    <col min="26" max="26" width="14.42578125" customWidth="1"/>
    <col min="27" max="30" width="7.28515625" customWidth="1"/>
    <col min="31" max="31" width="14.42578125" customWidth="1"/>
    <col min="32" max="35" width="7.28515625" customWidth="1"/>
    <col min="36" max="36" width="14.42578125" customWidth="1"/>
    <col min="37" max="40" width="7.28515625" customWidth="1"/>
    <col min="41" max="41" width="14.42578125" customWidth="1"/>
    <col min="42" max="45" width="7.28515625" customWidth="1"/>
    <col min="46" max="46" width="14.42578125" customWidth="1"/>
    <col min="47" max="50" width="7.28515625" customWidth="1"/>
    <col min="51" max="51" width="14.42578125" customWidth="1"/>
    <col min="52" max="55" width="7.28515625" customWidth="1"/>
    <col min="56" max="57" width="14.42578125" customWidth="1"/>
  </cols>
  <sheetData>
    <row r="1" spans="1:57">
      <c r="A1" s="98"/>
      <c r="B1" s="99">
        <v>4</v>
      </c>
      <c r="C1" s="100">
        <v>4</v>
      </c>
      <c r="D1" s="101">
        <v>9</v>
      </c>
      <c r="E1" s="102"/>
      <c r="F1" s="103" t="s">
        <v>132</v>
      </c>
      <c r="G1" s="104"/>
      <c r="H1" s="104"/>
      <c r="I1" s="105"/>
      <c r="J1" s="104"/>
      <c r="K1" s="103" t="s">
        <v>133</v>
      </c>
      <c r="L1" s="104"/>
      <c r="M1" s="104"/>
      <c r="N1" s="105"/>
      <c r="O1" s="104"/>
      <c r="P1" s="103" t="s">
        <v>134</v>
      </c>
      <c r="Q1" s="104"/>
      <c r="R1" s="104"/>
      <c r="S1" s="105"/>
      <c r="T1" s="104"/>
      <c r="U1" s="106" t="s">
        <v>135</v>
      </c>
      <c r="V1" s="107"/>
      <c r="W1" s="107"/>
      <c r="X1" s="108"/>
      <c r="Y1" s="107"/>
      <c r="Z1" s="106" t="s">
        <v>136</v>
      </c>
      <c r="AA1" s="107"/>
      <c r="AB1" s="107"/>
      <c r="AC1" s="109"/>
      <c r="AD1" s="107"/>
      <c r="AE1" s="106" t="s">
        <v>137</v>
      </c>
      <c r="AF1" s="107"/>
      <c r="AG1" s="107"/>
      <c r="AH1" s="109"/>
      <c r="AI1" s="107"/>
      <c r="AJ1" s="106" t="s">
        <v>138</v>
      </c>
      <c r="AK1" s="107"/>
      <c r="AL1" s="107"/>
      <c r="AM1" s="109"/>
      <c r="AN1" s="107"/>
      <c r="AO1" s="106" t="s">
        <v>139</v>
      </c>
      <c r="AP1" s="107"/>
      <c r="AQ1" s="107"/>
      <c r="AR1" s="109"/>
      <c r="AS1" s="107"/>
      <c r="AT1" s="106" t="s">
        <v>140</v>
      </c>
      <c r="AU1" s="107"/>
      <c r="AV1" s="107"/>
      <c r="AW1" s="109"/>
      <c r="AX1" s="107"/>
      <c r="AY1" s="106" t="s">
        <v>141</v>
      </c>
      <c r="AZ1" s="107"/>
      <c r="BA1" s="107"/>
      <c r="BB1" s="109"/>
      <c r="BC1" s="110"/>
      <c r="BD1" s="111"/>
      <c r="BE1" s="112">
        <v>80</v>
      </c>
    </row>
    <row r="2" spans="1:57">
      <c r="A2" s="113" t="s">
        <v>142</v>
      </c>
      <c r="B2" s="103" t="s">
        <v>143</v>
      </c>
      <c r="C2" s="114" t="s">
        <v>144</v>
      </c>
      <c r="D2" s="115" t="s">
        <v>145</v>
      </c>
      <c r="E2" s="116"/>
      <c r="F2" s="103" t="s">
        <v>146</v>
      </c>
      <c r="G2" s="114" t="s">
        <v>147</v>
      </c>
      <c r="H2" s="114" t="s">
        <v>148</v>
      </c>
      <c r="I2" s="115" t="s">
        <v>149</v>
      </c>
      <c r="J2" s="114" t="s">
        <v>150</v>
      </c>
      <c r="K2" s="103" t="s">
        <v>151</v>
      </c>
      <c r="L2" s="114" t="s">
        <v>152</v>
      </c>
      <c r="M2" s="114" t="s">
        <v>153</v>
      </c>
      <c r="N2" s="115" t="s">
        <v>154</v>
      </c>
      <c r="O2" s="114" t="s">
        <v>155</v>
      </c>
      <c r="P2" s="103" t="s">
        <v>156</v>
      </c>
      <c r="Q2" s="114" t="s">
        <v>157</v>
      </c>
      <c r="R2" s="114" t="s">
        <v>158</v>
      </c>
      <c r="S2" s="115" t="s">
        <v>159</v>
      </c>
      <c r="T2" s="114" t="s">
        <v>160</v>
      </c>
      <c r="U2" s="106" t="s">
        <v>161</v>
      </c>
      <c r="V2" s="114" t="s">
        <v>162</v>
      </c>
      <c r="W2" s="117" t="s">
        <v>163</v>
      </c>
      <c r="X2" s="118" t="s">
        <v>164</v>
      </c>
      <c r="Y2" s="117" t="s">
        <v>165</v>
      </c>
      <c r="Z2" s="106" t="s">
        <v>166</v>
      </c>
      <c r="AA2" s="117" t="s">
        <v>167</v>
      </c>
      <c r="AB2" s="117" t="s">
        <v>168</v>
      </c>
      <c r="AC2" s="119" t="s">
        <v>169</v>
      </c>
      <c r="AD2" s="117" t="s">
        <v>170</v>
      </c>
      <c r="AE2" s="106" t="s">
        <v>171</v>
      </c>
      <c r="AF2" s="117" t="s">
        <v>172</v>
      </c>
      <c r="AG2" s="117" t="s">
        <v>173</v>
      </c>
      <c r="AH2" s="119" t="s">
        <v>174</v>
      </c>
      <c r="AI2" s="117" t="s">
        <v>175</v>
      </c>
      <c r="AJ2" s="106" t="s">
        <v>176</v>
      </c>
      <c r="AK2" s="117" t="s">
        <v>177</v>
      </c>
      <c r="AL2" s="117" t="s">
        <v>178</v>
      </c>
      <c r="AM2" s="119" t="s">
        <v>179</v>
      </c>
      <c r="AN2" s="117" t="s">
        <v>180</v>
      </c>
      <c r="AO2" s="106" t="s">
        <v>181</v>
      </c>
      <c r="AP2" s="117" t="s">
        <v>182</v>
      </c>
      <c r="AQ2" s="117" t="s">
        <v>183</v>
      </c>
      <c r="AR2" s="119" t="s">
        <v>184</v>
      </c>
      <c r="AS2" s="117" t="s">
        <v>185</v>
      </c>
      <c r="AT2" s="106" t="s">
        <v>186</v>
      </c>
      <c r="AU2" s="117" t="s">
        <v>187</v>
      </c>
      <c r="AV2" s="117" t="s">
        <v>188</v>
      </c>
      <c r="AW2" s="119" t="s">
        <v>189</v>
      </c>
      <c r="AX2" s="117" t="s">
        <v>190</v>
      </c>
      <c r="AY2" s="106" t="s">
        <v>191</v>
      </c>
      <c r="AZ2" s="117" t="s">
        <v>192</v>
      </c>
      <c r="BA2" s="117" t="s">
        <v>188</v>
      </c>
      <c r="BB2" s="119" t="s">
        <v>193</v>
      </c>
      <c r="BC2" s="117" t="s">
        <v>194</v>
      </c>
      <c r="BD2" s="120" t="s">
        <v>195</v>
      </c>
      <c r="BE2" s="117"/>
    </row>
    <row r="3" spans="1:57">
      <c r="A3" s="83" t="s">
        <v>534</v>
      </c>
      <c r="B3" s="121">
        <v>0.3</v>
      </c>
      <c r="C3" s="122">
        <v>0.25</v>
      </c>
      <c r="D3" s="123">
        <v>0.45</v>
      </c>
      <c r="E3" s="124"/>
      <c r="F3" s="125"/>
      <c r="G3" s="126"/>
      <c r="H3" s="126"/>
      <c r="I3" s="127"/>
      <c r="J3" s="128" cm="1">
        <f t="array" ref="J3:J100">IF(ISBLANK($A3:$A100),"", _xlfn.LET(
 _xlpm.unidad,_xlfn.XLOOKUP(F3:F100, Actividad_data!$A$2:$A$100, Actividad_data!$B$2:$B$100,""),
 _xlpm.met, _xlfn.XLOOKUP(F3:F100, Actividad_data!$A$2:$A$100, Actividad_data!$C$2:$C$100,""),
 _xlpm.tiempo_rep, _xlfn.XLOOKUP(F3:F100, Actividad_data!$A$2:$A$100, Actividad_data!$D$2:$D$100,""),
 _xlpm.tiempo_descanso, _xlfn.XLOOKUP(F3:F100, Actividad_data!$A$2:$A$100, Actividad_data!$E$2:$E$100,""),
 _xlpm.tiempo_transicion, _xlfn.XLOOKUP(F3:F100, Actividad_data!$A$2:$A$100, Actividad_data!$F$2:$F$100,""),
 _xlpm.min_trabajo, G3:G100 * H3:H100 * _xlfn.XLOOKUP(F3:F100, Actividad_data!$A$2:$A$100, Actividad_data!$D$2:$D$100, "") / 60,
 _xlpm.min_transic, G3:G100 * _xlfn.XLOOKUP(F3:F100, Actividad_data!$A$2:$A$100, Actividad_data!$F$2:$F$100, "") / 60,
 _xlpm.min_descan, (G3:G100 - 1) * _xlfn.XLOOKUP(F3:F100,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G3:G100
   )
))</f>
        <v>0</v>
      </c>
      <c r="K3" s="125"/>
      <c r="L3" s="126"/>
      <c r="M3" s="126"/>
      <c r="N3" s="127"/>
      <c r="O3" s="128" cm="1">
        <f t="array" ref="O3:O100">IF(ISBLANK($A3:$A100),"", _xlfn.LET(
 _xlpm.unidad,_xlfn.XLOOKUP(K3:K100, Actividad_data!$A$2:$A$100, Actividad_data!$B$2:$B$100,""),
 _xlpm.met, _xlfn.XLOOKUP(K3:K100, Actividad_data!$A$2:$A$100, Actividad_data!$C$2:$C$100,""),
 _xlpm.tiempo_rep, _xlfn.XLOOKUP(K3:K100, Actividad_data!$A$2:$A$100, Actividad_data!$D$2:$D$100,""),
 _xlpm.tiempo_descanso, _xlfn.XLOOKUP(K3:K100, Actividad_data!$A$2:$A$100, Actividad_data!$E$2:$E$100,""),
 _xlpm.tiempo_transicion, _xlfn.XLOOKUP(K3:K100, Actividad_data!$A$2:$A$100, Actividad_data!$F$2:$F$100,""),
 _xlpm.min_trabajo, L3:L100 * M3:M100 * _xlfn.XLOOKUP(K3:K100, Actividad_data!$A$2:$A$100, Actividad_data!$D$2:$D$100, "") / 60,
 _xlpm.min_transic, L3:L100 * _xlfn.XLOOKUP(K3:K100, Actividad_data!$A$2:$A$100, Actividad_data!$F$2:$F$100, "") / 60,
 _xlpm.min_descan, (L3:L100 - 1) * _xlfn.XLOOKUP(K3:K100,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L3:L100
   )
))</f>
        <v>0</v>
      </c>
      <c r="P3" s="125"/>
      <c r="Q3" s="126"/>
      <c r="R3" s="126"/>
      <c r="S3" s="127"/>
      <c r="T3" s="128" cm="1">
        <f t="array" ref="T3:T100">IF(ISBLANK($A3:$A100),"", _xlfn.LET(
 _xlpm.unidad,_xlfn.XLOOKUP(P3:P100, Actividad_data!$A$2:$A$100, Actividad_data!$B$2:$B$100,""),
 _xlpm.met, _xlfn.XLOOKUP(P3:P100, Actividad_data!$A$2:$A$100, Actividad_data!$C$2:$C$100,""),
 _xlpm.tiempo_rep, _xlfn.XLOOKUP(P3:P100, Actividad_data!$A$2:$A$100, Actividad_data!$D$2:$D$100,""),
 _xlpm.tiempo_descanso, _xlfn.XLOOKUP(P3:P100, Actividad_data!$A$2:$A$100, Actividad_data!$E$2:$E$100,""),
 _xlpm.tiempo_transicion, _xlfn.XLOOKUP(P3:P100, Actividad_data!$A$2:$A$100, Actividad_data!$F$2:$F$100,""),
 _xlpm.min_trabajo, Q3:Q100 * R3:R100 * _xlfn.XLOOKUP(P3:P100, Actividad_data!$A$2:$A$100, Actividad_data!$D$2:$D$100, "") / 60,
 _xlpm.min_transic, Q3:Q100 * _xlfn.XLOOKUP(P3:P100, Actividad_data!$A$2:$A$100, Actividad_data!$F$2:$F$100, "") / 60,
 _xlpm.min_descan, (Q3:Q100 - 1) * _xlfn.XLOOKUP(P3:P100,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Q3:Q100
   )
))</f>
        <v>0</v>
      </c>
      <c r="U3" s="129"/>
      <c r="V3" s="130"/>
      <c r="W3" s="130"/>
      <c r="X3" s="131"/>
      <c r="Y3" s="128">
        <f t="array" ref="Y3:Y100">IF(ISBLANK($A3:$A100),"", _xlfn.LET(
 _xlpm.unidad,_xlfn.XLOOKUP(U3:U100, Actividad_data!$A$2:$A$100, Actividad_data!$B$2:$B$100,""),
 _xlpm.met, _xlfn.XLOOKUP(U3:U100, Actividad_data!$A$2:$A$100, Actividad_data!$C$2:$C$100,""),
 _xlpm.tiempo_rep, _xlfn.XLOOKUP(U3:U100, Actividad_data!$A$2:$A$100, Actividad_data!$D$2:$D$100,""),
 _xlpm.tiempo_descanso, _xlfn.XLOOKUP(U3:U100, Actividad_data!$A$2:$A$100, Actividad_data!$E$2:$E$100,""),
 _xlpm.tiempo_transicion, _xlfn.XLOOKUP(U3:U100, Actividad_data!$A$2:$A$100, Actividad_data!$F$2:$F$100,""),
 _xlpm.min_trabajo, V3:V100 * W3:W100 * _xlfn.XLOOKUP(U3:U100, Actividad_data!$A$2:$A$100, Actividad_data!$D$2:$D$100, "") / 60,
 _xlpm.min_transic, V3:V100 * _xlfn.XLOOKUP(U3:U100, Actividad_data!$A$2:$A$100, Actividad_data!$F$2:$F$100, "") / 60,
 _xlpm.min_descan, (V3:V100 - 1) * _xlfn.XLOOKUP(U3:U100,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V3:V100
   )
))</f>
        <v>0</v>
      </c>
      <c r="Z3" s="129"/>
      <c r="AA3" s="130"/>
      <c r="AB3" s="130"/>
      <c r="AC3" s="131"/>
      <c r="AD3" s="128" cm="1">
        <f t="array" ref="AD3:AD100">IF(ISBLANK($A3:$A100),"", _xlfn.LET(
 _xlpm.unidad,_xlfn.XLOOKUP(Z3:Z100, Actividad_data!$A$2:$A$100, Actividad_data!$B$2:$B$100,""),
 _xlpm.met, _xlfn.XLOOKUP(Z3:Z100, Actividad_data!$A$2:$A$100, Actividad_data!$C$2:$C$100,""),
 _xlpm.tiempo_rep, _xlfn.XLOOKUP(Z3:Z100, Actividad_data!$A$2:$A$100, Actividad_data!$D$2:$D$100,""),
 _xlpm.tiempo_descanso, _xlfn.XLOOKUP(Z3:Z100, Actividad_data!$A$2:$A$100, Actividad_data!$E$2:$E$100,""),
 _xlpm.tiempo_transicion, _xlfn.XLOOKUP(Z3:Z100, Actividad_data!$A$2:$A$100, Actividad_data!$F$2:$F$100,""),
 _xlpm.min_trabajo, AA3:AA100 * AB3:AB100 * _xlfn.XLOOKUP(Z3:Z100, Actividad_data!$A$2:$A$100, Actividad_data!$D$2:$D$100, "") / 60,
 _xlpm.min_transic, AA3:AA100 * _xlfn.XLOOKUP(Z3:Z100, Actividad_data!$A$2:$A$100, Actividad_data!$F$2:$F$100, "") / 60,
 _xlpm.min_descan, (AA3:AA100 - 1) * _xlfn.XLOOKUP(Z3:Z100,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AA3:AA100
   )
))</f>
        <v>0</v>
      </c>
      <c r="AE3" s="129"/>
      <c r="AF3" s="130"/>
      <c r="AG3" s="130"/>
      <c r="AH3" s="131"/>
      <c r="AI3" s="128" cm="1">
        <f t="array" ref="AI3:AI100">IF(ISBLANK($A3:$A100),"", _xlfn.LET(
 _xlpm.unidad,_xlfn.XLOOKUP(AE3:AE100, Actividad_data!$A$2:$A$100, Actividad_data!$B$2:$B$100,""),
 _xlpm.met, _xlfn.XLOOKUP(AE3:AE100, Actividad_data!$A$2:$A$100, Actividad_data!$C$2:$C$100,""),
 _xlpm.tiempo_rep, _xlfn.XLOOKUP(AE3:AE100, Actividad_data!$A$2:$A$100, Actividad_data!$D$2:$D$100,""),
 _xlpm.tiempo_descanso, _xlfn.XLOOKUP(AE3:AE100, Actividad_data!$A$2:$A$100, Actividad_data!$E$2:$E$100,""),
 _xlpm.tiempo_transicion, _xlfn.XLOOKUP(AE3:AE100, Actividad_data!$A$2:$A$100, Actividad_data!$F$2:$F$100,""),
 _xlpm.min_trabajo, AF3:AF100 * AG3:AG100 * _xlfn.XLOOKUP(AE3:AE100, Actividad_data!$A$2:$A$100, Actividad_data!$D$2:$D$100, "") / 60,
 _xlpm.min_transic, AF3:AF100 * _xlfn.XLOOKUP(AE3:AE100, Actividad_data!$A$2:$A$100, Actividad_data!$F$2:$F$100, "") / 60,
 _xlpm.min_descan, (AF3:AF100 - 1) * _xlfn.XLOOKUP(AE3:AE100,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AF3:AF100
   )
))</f>
        <v>0</v>
      </c>
      <c r="AJ3" s="129"/>
      <c r="AK3" s="130"/>
      <c r="AL3" s="130"/>
      <c r="AM3" s="131"/>
      <c r="AN3" s="128" cm="1">
        <f t="array" ref="AN3:AN100">IF(ISBLANK($A3:$A100),"", _xlfn.LET(
 _xlpm.unidad,_xlfn.XLOOKUP(AJ3:AJ100, Actividad_data!$A$2:$A$100, Actividad_data!$B$2:$B$100,""),
 _xlpm.met, _xlfn.XLOOKUP(AJ3:AJ100, Actividad_data!$A$2:$A$100, Actividad_data!$C$2:$C$100,""),
 _xlpm.tiempo_rep, _xlfn.XLOOKUP(AJ3:AJ100, Actividad_data!$A$2:$A$100, Actividad_data!$D$2:$D$100,""),
 _xlpm.tiempo_descanso, _xlfn.XLOOKUP(AJ3:AJ100, Actividad_data!$A$2:$A$100, Actividad_data!$E$2:$E$100,""),
 _xlpm.tiempo_transicion, _xlfn.XLOOKUP(AJ3:AJ100, Actividad_data!$A$2:$A$100, Actividad_data!$F$2:$F$100,""),
 _xlpm.min_trabajo, AK3:AK100 * AL3:AL100 * _xlfn.XLOOKUP(AJ3:AJ100, Actividad_data!$A$2:$A$100, Actividad_data!$D$2:$D$100, "") / 60,
 _xlpm.min_transic, AK3:AK100 * _xlfn.XLOOKUP(AJ3:AJ100, Actividad_data!$A$2:$A$100, Actividad_data!$F$2:$F$100, "") / 60,
 _xlpm.min_descan, (AK3:AK100 - 1) * _xlfn.XLOOKUP(AJ3:AJ100,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AK3:AK100
   )
))</f>
        <v>0</v>
      </c>
      <c r="AO3" s="129"/>
      <c r="AP3" s="130"/>
      <c r="AQ3" s="130"/>
      <c r="AR3" s="131"/>
      <c r="AS3" s="128" cm="1">
        <f t="array" ref="AS3:AS100">IF(ISBLANK($A3:$A100),"", _xlfn.LET(
 _xlpm.unidad,_xlfn.XLOOKUP(AO3:AO100, Actividad_data!$A$2:$A$100, Actividad_data!$B$2:$B$100,""),
 _xlpm.met, _xlfn.XLOOKUP(AO3:AO100, Actividad_data!$A$2:$A$100, Actividad_data!$C$2:$C$100,""),
 _xlpm.tiempo_rep, _xlfn.XLOOKUP(AO3:AO100, Actividad_data!$A$2:$A$100, Actividad_data!$D$2:$D$100,""),
 _xlpm.tiempo_descanso, _xlfn.XLOOKUP(AO3:AO100, Actividad_data!$A$2:$A$100, Actividad_data!$E$2:$E$100,""),
 _xlpm.tiempo_transicion, _xlfn.XLOOKUP(AO3:AO100, Actividad_data!$A$2:$A$100, Actividad_data!$F$2:$F$100,""),
 _xlpm.min_trabajo, AP3:AP100 * AQ3:AQ100 * _xlfn.XLOOKUP(AO3:AO100, Actividad_data!$A$2:$A$100, Actividad_data!$D$2:$D$100, "") / 60,
 _xlpm.min_transic, AP3:AP100 * _xlfn.XLOOKUP(AO3:AO100, Actividad_data!$A$2:$A$100, Actividad_data!$F$2:$F$100, "") / 60,
 _xlpm.min_descan, (AP3:AP100 - 1) * _xlfn.XLOOKUP(AO3:AO100,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AP3:AP100
   )
))</f>
        <v>0</v>
      </c>
      <c r="AT3" s="129"/>
      <c r="AU3" s="130"/>
      <c r="AV3" s="130"/>
      <c r="AW3" s="131"/>
      <c r="AX3" s="128" cm="1">
        <f t="array" ref="AX3:AX100">IF(ISBLANK($A3:$A100),"", _xlfn.LET(
 _xlpm.unidad,_xlfn.XLOOKUP(AT3:AT100, Actividad_data!$A$2:$A$100, Actividad_data!$B$2:$B$100,""),
 _xlpm.met, _xlfn.XLOOKUP(AT3:AT100, Actividad_data!$A$2:$A$100, Actividad_data!$C$2:$C$100,""),
 _xlpm.tiempo_rep, _xlfn.XLOOKUP(AT3:AT100, Actividad_data!$A$2:$A$100, Actividad_data!$D$2:$D$100,""),
 _xlpm.tiempo_descanso, _xlfn.XLOOKUP(AT3:AT100, Actividad_data!$A$2:$A$100, Actividad_data!$E$2:$E$100,""),
 _xlpm.tiempo_transicion, _xlfn.XLOOKUP(AT3:AT100, Actividad_data!$A$2:$A$100, Actividad_data!$F$2:$F$100,""),
 _xlpm.min_trabajo, AU3:AU100 * AV3:AV100 * _xlfn.XLOOKUP(AT3:AT100, Actividad_data!$A$2:$A$100, Actividad_data!$D$2:$D$100, "") / 60,
 _xlpm.min_transic, AU3:AU100 * _xlfn.XLOOKUP(AT3:AT100, Actividad_data!$A$2:$A$100, Actividad_data!$F$2:$F$100, "") / 60,
 _xlpm.min_descan, (AU3:AU100 - 1) * _xlfn.XLOOKUP(AT3:AT100,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AU3:AU100
   )
))</f>
        <v>0</v>
      </c>
      <c r="AY3" s="129"/>
      <c r="AZ3" s="130"/>
      <c r="BA3" s="130"/>
      <c r="BB3" s="131"/>
      <c r="BC3" s="128" cm="1">
        <f t="array" ref="BC3:BC100">IF(ISBLANK($A3:$A100),"", _xlfn.LET(
 _xlpm.unidad,_xlfn.XLOOKUP(AY3:AY100, Actividad_data!$A$2:$A$100, Actividad_data!$B$2:$B$100,""),
 _xlpm.met, _xlfn.XLOOKUP(AY3:AY100, Actividad_data!$A$2:$A$100, Actividad_data!$C$2:$C$100,""),
 _xlpm.tiempo_rep, _xlfn.XLOOKUP(AY3:AY100, Actividad_data!$A$2:$A$100, Actividad_data!$D$2:$D$100,""),
 _xlpm.tiempo_descanso, _xlfn.XLOOKUP(AY3:AY100, Actividad_data!$A$2:$A$100, Actividad_data!$E$2:$E$100,""),
 _xlpm.tiempo_transicion, _xlfn.XLOOKUP(AY3:AY100, Actividad_data!$A$2:$A$100, Actividad_data!$F$2:$F$100,""),
 _xlpm.min_trabajo, AZ3:AZ100 * BA3:BA100 * _xlfn.XLOOKUP(AY3:AY100, Actividad_data!$A$2:$A$100, Actividad_data!$D$2:$D$100, "") / 60,
 _xlpm.min_transic, AZ3:AZ100 * _xlfn.XLOOKUP(AY3:AY100, Actividad_data!$A$2:$A$100, Actividad_data!$F$2:$F$100, "") / 60,
 _xlpm.min_descan, (AZ3:AZ100 - 1) * _xlfn.XLOOKUP(AY3:AY100, Actividad_data!$A$2:$A$100, Actividad_data!$E$2:$E$100, "") / 60,
 _xlpm.min_total, _xlpm.min_trabajo + _xlpm.min_transic + _xlpm.min_descan,
 _xlpm.kcals_kg_trabajo, _xlpm.met / 60 * _xlpm.min_trabajo,
 _xlpm.kcals_kg_transic, 2 / 60 * _xlpm.min_transic,
 _xlpm.kcals_kg_descan, 1.5 / 60 * _xlpm.min_descan,
 IF(_xlpm.unidad = "rep",
    _xlpm.kcals_kg_trabajo + _xlpm.kcals_kg_transic + _xlpm.kcals_kg_descan,
    _xlpm.met / 60 * AZ3:AZ100
   )
))</f>
        <v>0</v>
      </c>
      <c r="BD3" s="132" cm="1">
        <f t="array" ref="BD3:BD100">IF(ISBLANK($A3:$A100),"", J3:J100 + O3:O100 + T3:T100 + Y3:Y100 + AD3:AD100 + AI3:AI100 + AN3:AN100 + AS3:AS100 + AX3:AX100 + BC3:BC100)</f>
        <v>0</v>
      </c>
      <c r="BE3" s="133"/>
    </row>
    <row r="4" spans="1:57">
      <c r="A4" s="83" t="s">
        <v>535</v>
      </c>
      <c r="B4" s="121">
        <v>0.3</v>
      </c>
      <c r="C4" s="122">
        <v>0.25</v>
      </c>
      <c r="D4" s="123">
        <v>0.45</v>
      </c>
      <c r="E4" s="124"/>
      <c r="F4" s="134" t="s">
        <v>130</v>
      </c>
      <c r="G4" s="135">
        <v>6</v>
      </c>
      <c r="H4" s="126"/>
      <c r="I4" s="127"/>
      <c r="J4" s="136">
        <v>0.2</v>
      </c>
      <c r="K4" s="134" t="s">
        <v>128</v>
      </c>
      <c r="L4" s="135">
        <v>8</v>
      </c>
      <c r="M4" s="126"/>
      <c r="N4" s="127"/>
      <c r="O4" s="137">
        <v>0.30666666666666664</v>
      </c>
      <c r="P4" s="125"/>
      <c r="Q4" s="126"/>
      <c r="R4" s="126"/>
      <c r="S4" s="127"/>
      <c r="T4" s="137">
        <v>0</v>
      </c>
      <c r="U4" s="129"/>
      <c r="V4" s="130"/>
      <c r="W4" s="130"/>
      <c r="X4" s="131"/>
      <c r="Y4" s="138">
        <v>0</v>
      </c>
      <c r="Z4" s="129"/>
      <c r="AA4" s="130"/>
      <c r="AB4" s="130"/>
      <c r="AC4" s="131"/>
      <c r="AD4" s="138">
        <v>0</v>
      </c>
      <c r="AE4" s="129"/>
      <c r="AF4" s="130"/>
      <c r="AG4" s="130"/>
      <c r="AH4" s="131"/>
      <c r="AI4" s="138">
        <v>0</v>
      </c>
      <c r="AJ4" s="129"/>
      <c r="AK4" s="130"/>
      <c r="AL4" s="130"/>
      <c r="AM4" s="131"/>
      <c r="AN4" s="138">
        <v>0</v>
      </c>
      <c r="AO4" s="129"/>
      <c r="AP4" s="130"/>
      <c r="AQ4" s="130"/>
      <c r="AR4" s="131"/>
      <c r="AS4" s="138">
        <v>0</v>
      </c>
      <c r="AT4" s="129"/>
      <c r="AU4" s="130"/>
      <c r="AV4" s="130"/>
      <c r="AW4" s="131"/>
      <c r="AX4" s="138">
        <v>0</v>
      </c>
      <c r="AY4" s="129"/>
      <c r="AZ4" s="130"/>
      <c r="BA4" s="130"/>
      <c r="BB4" s="131"/>
      <c r="BC4" s="138">
        <v>0</v>
      </c>
      <c r="BD4" s="139">
        <v>0.5066666666666666</v>
      </c>
      <c r="BE4" s="133"/>
    </row>
    <row r="5" spans="1:57">
      <c r="A5" s="83" t="s">
        <v>536</v>
      </c>
      <c r="B5" s="121">
        <v>0.35</v>
      </c>
      <c r="C5" s="122">
        <v>0.4</v>
      </c>
      <c r="D5" s="123">
        <v>0.25</v>
      </c>
      <c r="E5" s="124"/>
      <c r="F5" s="134" t="s">
        <v>112</v>
      </c>
      <c r="G5" s="135">
        <v>80</v>
      </c>
      <c r="H5" s="135"/>
      <c r="I5" s="127"/>
      <c r="J5" s="136">
        <v>4.666666666666667</v>
      </c>
      <c r="K5" s="125"/>
      <c r="L5" s="126"/>
      <c r="M5" s="126"/>
      <c r="N5" s="127"/>
      <c r="O5" s="137">
        <v>0</v>
      </c>
      <c r="P5" s="125"/>
      <c r="Q5" s="126"/>
      <c r="R5" s="126"/>
      <c r="S5" s="127"/>
      <c r="T5" s="137">
        <v>0</v>
      </c>
      <c r="U5" s="129"/>
      <c r="V5" s="130"/>
      <c r="W5" s="130"/>
      <c r="X5" s="131"/>
      <c r="Y5" s="138">
        <v>0</v>
      </c>
      <c r="Z5" s="129"/>
      <c r="AA5" s="130"/>
      <c r="AB5" s="130"/>
      <c r="AC5" s="131"/>
      <c r="AD5" s="138">
        <v>0</v>
      </c>
      <c r="AE5" s="129"/>
      <c r="AF5" s="130"/>
      <c r="AG5" s="130"/>
      <c r="AH5" s="131"/>
      <c r="AI5" s="138">
        <v>0</v>
      </c>
      <c r="AJ5" s="129"/>
      <c r="AK5" s="130"/>
      <c r="AL5" s="130"/>
      <c r="AM5" s="131"/>
      <c r="AN5" s="138">
        <v>0</v>
      </c>
      <c r="AO5" s="129"/>
      <c r="AP5" s="130"/>
      <c r="AQ5" s="130"/>
      <c r="AR5" s="131"/>
      <c r="AS5" s="138">
        <v>0</v>
      </c>
      <c r="AT5" s="129"/>
      <c r="AU5" s="130"/>
      <c r="AV5" s="130"/>
      <c r="AW5" s="131"/>
      <c r="AX5" s="138">
        <v>0</v>
      </c>
      <c r="AY5" s="129"/>
      <c r="AZ5" s="130"/>
      <c r="BA5" s="130"/>
      <c r="BB5" s="131"/>
      <c r="BC5" s="138">
        <v>0</v>
      </c>
      <c r="BD5" s="139">
        <v>4.666666666666667</v>
      </c>
      <c r="BE5" s="133"/>
    </row>
    <row r="6" spans="1:57">
      <c r="A6" s="83" t="s">
        <v>537</v>
      </c>
      <c r="B6" s="121">
        <v>0.35</v>
      </c>
      <c r="C6" s="122">
        <v>0.4</v>
      </c>
      <c r="D6" s="123">
        <v>0.25</v>
      </c>
      <c r="E6" s="124"/>
      <c r="F6" s="134" t="s">
        <v>79</v>
      </c>
      <c r="G6" s="135">
        <v>4</v>
      </c>
      <c r="H6" s="135">
        <v>8</v>
      </c>
      <c r="I6" s="140">
        <v>30</v>
      </c>
      <c r="J6" s="136">
        <v>0.34138888888888885</v>
      </c>
      <c r="K6" s="134" t="s">
        <v>85</v>
      </c>
      <c r="L6" s="135">
        <v>4</v>
      </c>
      <c r="M6" s="135">
        <v>10</v>
      </c>
      <c r="N6" s="140">
        <v>30</v>
      </c>
      <c r="O6" s="136">
        <v>0.41249999999999998</v>
      </c>
      <c r="P6" s="134" t="s">
        <v>88</v>
      </c>
      <c r="Q6" s="135">
        <v>3</v>
      </c>
      <c r="R6" s="135">
        <v>9</v>
      </c>
      <c r="S6" s="140">
        <v>20</v>
      </c>
      <c r="T6" s="136">
        <v>0.28000000000000003</v>
      </c>
      <c r="U6" s="141" t="s">
        <v>93</v>
      </c>
      <c r="V6" s="142">
        <v>4</v>
      </c>
      <c r="W6" s="142">
        <v>8</v>
      </c>
      <c r="X6" s="143">
        <v>40</v>
      </c>
      <c r="Y6" s="136">
        <v>0.37694444444444447</v>
      </c>
      <c r="Z6" s="141" t="s">
        <v>96</v>
      </c>
      <c r="AA6" s="144">
        <v>3</v>
      </c>
      <c r="AB6" s="144">
        <v>10</v>
      </c>
      <c r="AC6" s="143">
        <v>40</v>
      </c>
      <c r="AD6" s="136">
        <v>0.31666666666666665</v>
      </c>
      <c r="AE6" s="141" t="s">
        <v>100</v>
      </c>
      <c r="AF6" s="144">
        <v>3</v>
      </c>
      <c r="AG6" s="144">
        <v>12</v>
      </c>
      <c r="AH6" s="145">
        <v>30</v>
      </c>
      <c r="AI6" s="136">
        <v>0.24</v>
      </c>
      <c r="AJ6" s="141" t="s">
        <v>102</v>
      </c>
      <c r="AK6" s="144">
        <v>3</v>
      </c>
      <c r="AL6" s="142"/>
      <c r="AM6" s="145"/>
      <c r="AN6" s="136">
        <v>0.17499999999999999</v>
      </c>
      <c r="AO6" s="141" t="s">
        <v>105</v>
      </c>
      <c r="AP6" s="144">
        <v>3</v>
      </c>
      <c r="AQ6" s="144">
        <v>16</v>
      </c>
      <c r="AR6" s="143">
        <v>0</v>
      </c>
      <c r="AS6" s="136">
        <v>0.26</v>
      </c>
      <c r="AT6" s="141" t="s">
        <v>130</v>
      </c>
      <c r="AU6" s="144">
        <v>6</v>
      </c>
      <c r="AV6" s="142"/>
      <c r="AW6" s="145"/>
      <c r="AX6" s="136">
        <v>0.2</v>
      </c>
      <c r="AY6" s="141" t="s">
        <v>128</v>
      </c>
      <c r="AZ6" s="142">
        <v>4</v>
      </c>
      <c r="BA6" s="142"/>
      <c r="BB6" s="145"/>
      <c r="BC6" s="136">
        <v>0.15333333333333332</v>
      </c>
      <c r="BD6" s="139">
        <v>2.7558333333333334</v>
      </c>
      <c r="BE6" s="112">
        <f t="shared" ref="BE6:BE7" si="0">ROUND(BD6 * $BE$1,0)</f>
        <v>220</v>
      </c>
    </row>
    <row r="7" spans="1:57">
      <c r="A7" s="83" t="s">
        <v>538</v>
      </c>
      <c r="B7" s="121">
        <v>0.35</v>
      </c>
      <c r="C7" s="122">
        <v>0.4</v>
      </c>
      <c r="D7" s="123">
        <v>0.25</v>
      </c>
      <c r="E7" s="124"/>
      <c r="F7" s="134" t="s">
        <v>80</v>
      </c>
      <c r="G7" s="135">
        <v>4</v>
      </c>
      <c r="H7" s="135">
        <v>8</v>
      </c>
      <c r="I7" s="140">
        <v>30</v>
      </c>
      <c r="J7" s="137">
        <v>0.34138888888888885</v>
      </c>
      <c r="K7" s="134" t="s">
        <v>86</v>
      </c>
      <c r="L7" s="135">
        <v>3</v>
      </c>
      <c r="M7" s="135">
        <v>10</v>
      </c>
      <c r="N7" s="140">
        <v>20</v>
      </c>
      <c r="O7" s="137">
        <v>0.28333333333333333</v>
      </c>
      <c r="P7" s="141" t="s">
        <v>88</v>
      </c>
      <c r="Q7" s="144">
        <v>3</v>
      </c>
      <c r="R7" s="144">
        <v>9</v>
      </c>
      <c r="S7" s="143">
        <v>20</v>
      </c>
      <c r="T7" s="137">
        <v>0.28000000000000003</v>
      </c>
      <c r="U7" s="141" t="s">
        <v>89</v>
      </c>
      <c r="V7" s="144">
        <v>3</v>
      </c>
      <c r="W7" s="144">
        <v>13</v>
      </c>
      <c r="X7" s="143">
        <v>8</v>
      </c>
      <c r="Y7" s="137">
        <v>0.27333333333333332</v>
      </c>
      <c r="Z7" s="141" t="s">
        <v>90</v>
      </c>
      <c r="AA7" s="144">
        <v>3</v>
      </c>
      <c r="AB7" s="144">
        <v>11</v>
      </c>
      <c r="AC7" s="143">
        <v>15</v>
      </c>
      <c r="AD7" s="137">
        <v>0.22833333333333336</v>
      </c>
      <c r="AE7" s="141" t="s">
        <v>92</v>
      </c>
      <c r="AF7" s="144">
        <v>3</v>
      </c>
      <c r="AG7" s="144">
        <v>11</v>
      </c>
      <c r="AH7" s="143">
        <v>15</v>
      </c>
      <c r="AI7" s="137">
        <v>0.22833333333333336</v>
      </c>
      <c r="AJ7" s="141" t="s">
        <v>104</v>
      </c>
      <c r="AK7" s="144">
        <v>4</v>
      </c>
      <c r="AL7" s="130"/>
      <c r="AM7" s="131"/>
      <c r="AN7" s="137">
        <v>0.23333333333333334</v>
      </c>
      <c r="AO7" s="141" t="s">
        <v>107</v>
      </c>
      <c r="AP7" s="144">
        <v>3</v>
      </c>
      <c r="AQ7" s="144">
        <v>20</v>
      </c>
      <c r="AR7" s="143">
        <v>5</v>
      </c>
      <c r="AS7" s="137">
        <v>0.3666666666666667</v>
      </c>
      <c r="AT7" s="141" t="s">
        <v>130</v>
      </c>
      <c r="AU7" s="144">
        <v>6</v>
      </c>
      <c r="AV7" s="130"/>
      <c r="AW7" s="131"/>
      <c r="AX7" s="137">
        <v>0.2</v>
      </c>
      <c r="AY7" s="141" t="s">
        <v>128</v>
      </c>
      <c r="AZ7" s="144">
        <v>4</v>
      </c>
      <c r="BA7" s="130"/>
      <c r="BB7" s="131"/>
      <c r="BC7" s="137">
        <v>0.15333333333333332</v>
      </c>
      <c r="BD7" s="146">
        <v>2.5880555555555556</v>
      </c>
      <c r="BE7" s="112">
        <f t="shared" si="0"/>
        <v>207</v>
      </c>
    </row>
    <row r="8" spans="1:57">
      <c r="A8" s="83" t="s">
        <v>539</v>
      </c>
      <c r="B8" s="121">
        <v>0.35</v>
      </c>
      <c r="C8" s="122">
        <v>0.4</v>
      </c>
      <c r="D8" s="123">
        <v>0.25</v>
      </c>
      <c r="E8" s="124"/>
      <c r="F8" s="134" t="s">
        <v>94</v>
      </c>
      <c r="G8" s="135">
        <v>4</v>
      </c>
      <c r="H8" s="135">
        <v>10</v>
      </c>
      <c r="I8" s="140">
        <v>20</v>
      </c>
      <c r="J8" s="137">
        <v>0.41249999999999998</v>
      </c>
      <c r="K8" s="134" t="s">
        <v>95</v>
      </c>
      <c r="L8" s="135">
        <v>4</v>
      </c>
      <c r="M8" s="135">
        <v>7</v>
      </c>
      <c r="N8" s="140">
        <v>50</v>
      </c>
      <c r="O8" s="137">
        <v>0.36361111111111111</v>
      </c>
      <c r="P8" s="134" t="s">
        <v>97</v>
      </c>
      <c r="Q8" s="135">
        <v>3</v>
      </c>
      <c r="R8" s="135">
        <v>11</v>
      </c>
      <c r="S8" s="140">
        <v>12</v>
      </c>
      <c r="T8" s="137">
        <v>0.32000000000000006</v>
      </c>
      <c r="U8" s="141" t="s">
        <v>99</v>
      </c>
      <c r="V8" s="144">
        <v>3</v>
      </c>
      <c r="W8" s="144">
        <v>10</v>
      </c>
      <c r="X8" s="140">
        <v>40</v>
      </c>
      <c r="Y8" s="138">
        <v>0.28333333333333333</v>
      </c>
      <c r="Z8" s="141" t="s">
        <v>98</v>
      </c>
      <c r="AA8" s="144">
        <v>3</v>
      </c>
      <c r="AB8" s="144">
        <v>11</v>
      </c>
      <c r="AC8" s="140">
        <v>80</v>
      </c>
      <c r="AD8" s="138">
        <v>0.32000000000000006</v>
      </c>
      <c r="AE8" s="141" t="s">
        <v>100</v>
      </c>
      <c r="AF8" s="144">
        <v>3</v>
      </c>
      <c r="AG8" s="144">
        <v>13</v>
      </c>
      <c r="AH8" s="140">
        <v>30</v>
      </c>
      <c r="AI8" s="138">
        <v>0.25166666666666671</v>
      </c>
      <c r="AJ8" s="141" t="s">
        <v>102</v>
      </c>
      <c r="AK8" s="144">
        <v>3</v>
      </c>
      <c r="AL8" s="130"/>
      <c r="AM8" s="131"/>
      <c r="AN8" s="138">
        <v>0.17499999999999999</v>
      </c>
      <c r="AO8" s="141" t="s">
        <v>106</v>
      </c>
      <c r="AP8" s="144">
        <v>3</v>
      </c>
      <c r="AQ8" s="144">
        <v>12</v>
      </c>
      <c r="AR8" s="143">
        <v>0</v>
      </c>
      <c r="AS8" s="138">
        <v>0.26</v>
      </c>
      <c r="AT8" s="141" t="s">
        <v>130</v>
      </c>
      <c r="AU8" s="144">
        <v>6</v>
      </c>
      <c r="AV8" s="130"/>
      <c r="AW8" s="131"/>
      <c r="AX8" s="138">
        <v>0.2</v>
      </c>
      <c r="AY8" s="141" t="s">
        <v>128</v>
      </c>
      <c r="AZ8" s="144">
        <v>4</v>
      </c>
      <c r="BA8" s="130"/>
      <c r="BB8" s="131"/>
      <c r="BC8" s="138">
        <v>0.15333333333333332</v>
      </c>
      <c r="BD8" s="146">
        <v>2.7394444444444446</v>
      </c>
      <c r="BE8" s="133"/>
    </row>
    <row r="9" spans="1:57">
      <c r="A9" s="48"/>
      <c r="B9" s="147"/>
      <c r="C9" s="148"/>
      <c r="D9" s="149"/>
      <c r="E9" s="124"/>
      <c r="F9" s="125"/>
      <c r="G9" s="126"/>
      <c r="H9" s="126"/>
      <c r="I9" s="127"/>
      <c r="J9" s="137" t="str">
        <v/>
      </c>
      <c r="K9" s="125"/>
      <c r="L9" s="126"/>
      <c r="M9" s="126"/>
      <c r="N9" s="127"/>
      <c r="O9" s="137" t="str">
        <v/>
      </c>
      <c r="P9" s="125"/>
      <c r="Q9" s="126"/>
      <c r="R9" s="126"/>
      <c r="S9" s="127"/>
      <c r="T9" s="137" t="str">
        <v/>
      </c>
      <c r="U9" s="129"/>
      <c r="V9" s="130"/>
      <c r="W9" s="130"/>
      <c r="X9" s="131"/>
      <c r="Y9" s="138" t="str">
        <v/>
      </c>
      <c r="Z9" s="129"/>
      <c r="AA9" s="130"/>
      <c r="AB9" s="130"/>
      <c r="AC9" s="131"/>
      <c r="AD9" s="138" t="str">
        <v/>
      </c>
      <c r="AE9" s="129"/>
      <c r="AF9" s="130"/>
      <c r="AG9" s="130"/>
      <c r="AH9" s="131"/>
      <c r="AI9" s="138" t="str">
        <v/>
      </c>
      <c r="AJ9" s="129"/>
      <c r="AK9" s="130"/>
      <c r="AL9" s="130"/>
      <c r="AM9" s="131"/>
      <c r="AN9" s="138" t="str">
        <v/>
      </c>
      <c r="AO9" s="129"/>
      <c r="AP9" s="130"/>
      <c r="AQ9" s="130"/>
      <c r="AR9" s="131"/>
      <c r="AS9" s="138" t="str">
        <v/>
      </c>
      <c r="AT9" s="129"/>
      <c r="AU9" s="130"/>
      <c r="AV9" s="130"/>
      <c r="AW9" s="131"/>
      <c r="AX9" s="138" t="str">
        <v/>
      </c>
      <c r="AY9" s="129"/>
      <c r="AZ9" s="130"/>
      <c r="BA9" s="130"/>
      <c r="BB9" s="131"/>
      <c r="BC9" s="138" t="str">
        <v/>
      </c>
      <c r="BD9" s="146" t="str">
        <v/>
      </c>
      <c r="BE9" s="133"/>
    </row>
    <row r="10" spans="1:57">
      <c r="A10" s="48"/>
      <c r="B10" s="147"/>
      <c r="C10" s="148"/>
      <c r="D10" s="149"/>
      <c r="E10" s="124"/>
      <c r="F10" s="125"/>
      <c r="G10" s="126"/>
      <c r="H10" s="126"/>
      <c r="I10" s="127"/>
      <c r="J10" s="137" t="str">
        <v/>
      </c>
      <c r="K10" s="125"/>
      <c r="L10" s="126"/>
      <c r="M10" s="126"/>
      <c r="N10" s="127"/>
      <c r="O10" s="137" t="str">
        <v/>
      </c>
      <c r="P10" s="125"/>
      <c r="Q10" s="126"/>
      <c r="R10" s="126"/>
      <c r="S10" s="127"/>
      <c r="T10" s="137" t="str">
        <v/>
      </c>
      <c r="U10" s="129"/>
      <c r="V10" s="130"/>
      <c r="W10" s="130"/>
      <c r="X10" s="131"/>
      <c r="Y10" s="138" t="str">
        <v/>
      </c>
      <c r="Z10" s="129"/>
      <c r="AA10" s="130"/>
      <c r="AB10" s="130"/>
      <c r="AC10" s="131"/>
      <c r="AD10" s="138" t="str">
        <v/>
      </c>
      <c r="AE10" s="129"/>
      <c r="AF10" s="130"/>
      <c r="AG10" s="130"/>
      <c r="AH10" s="131"/>
      <c r="AI10" s="138" t="str">
        <v/>
      </c>
      <c r="AJ10" s="129"/>
      <c r="AK10" s="130"/>
      <c r="AL10" s="130"/>
      <c r="AM10" s="131"/>
      <c r="AN10" s="138" t="str">
        <v/>
      </c>
      <c r="AO10" s="129"/>
      <c r="AP10" s="130"/>
      <c r="AQ10" s="130"/>
      <c r="AR10" s="131"/>
      <c r="AS10" s="138" t="str">
        <v/>
      </c>
      <c r="AT10" s="129"/>
      <c r="AU10" s="130"/>
      <c r="AV10" s="130"/>
      <c r="AW10" s="131"/>
      <c r="AX10" s="138" t="str">
        <v/>
      </c>
      <c r="AY10" s="129"/>
      <c r="AZ10" s="130"/>
      <c r="BA10" s="130"/>
      <c r="BB10" s="131"/>
      <c r="BC10" s="138" t="str">
        <v/>
      </c>
      <c r="BD10" s="146" t="str">
        <v/>
      </c>
      <c r="BE10" s="133"/>
    </row>
    <row r="11" spans="1:57">
      <c r="A11" s="48"/>
      <c r="B11" s="147"/>
      <c r="C11" s="148"/>
      <c r="D11" s="149"/>
      <c r="E11" s="124"/>
      <c r="F11" s="125"/>
      <c r="G11" s="126"/>
      <c r="H11" s="126"/>
      <c r="I11" s="127"/>
      <c r="J11" s="137" t="str">
        <v/>
      </c>
      <c r="K11" s="125"/>
      <c r="L11" s="126"/>
      <c r="M11" s="126"/>
      <c r="N11" s="127"/>
      <c r="O11" s="137" t="str">
        <v/>
      </c>
      <c r="P11" s="125"/>
      <c r="Q11" s="126"/>
      <c r="R11" s="126"/>
      <c r="S11" s="127"/>
      <c r="T11" s="137" t="str">
        <v/>
      </c>
      <c r="U11" s="129"/>
      <c r="V11" s="130"/>
      <c r="W11" s="130"/>
      <c r="X11" s="131"/>
      <c r="Y11" s="138" t="str">
        <v/>
      </c>
      <c r="Z11" s="129"/>
      <c r="AA11" s="130"/>
      <c r="AB11" s="130"/>
      <c r="AC11" s="131"/>
      <c r="AD11" s="138" t="str">
        <v/>
      </c>
      <c r="AE11" s="129"/>
      <c r="AF11" s="130"/>
      <c r="AG11" s="130"/>
      <c r="AH11" s="131"/>
      <c r="AI11" s="138" t="str">
        <v/>
      </c>
      <c r="AJ11" s="129"/>
      <c r="AK11" s="130"/>
      <c r="AL11" s="130"/>
      <c r="AM11" s="131"/>
      <c r="AN11" s="138" t="str">
        <v/>
      </c>
      <c r="AO11" s="129"/>
      <c r="AP11" s="130"/>
      <c r="AQ11" s="130"/>
      <c r="AR11" s="131"/>
      <c r="AS11" s="138" t="str">
        <v/>
      </c>
      <c r="AT11" s="129"/>
      <c r="AU11" s="130"/>
      <c r="AV11" s="130"/>
      <c r="AW11" s="131"/>
      <c r="AX11" s="138" t="str">
        <v/>
      </c>
      <c r="AY11" s="129"/>
      <c r="AZ11" s="130"/>
      <c r="BA11" s="130"/>
      <c r="BB11" s="131"/>
      <c r="BC11" s="138" t="str">
        <v/>
      </c>
      <c r="BD11" s="146" t="str">
        <v/>
      </c>
      <c r="BE11" s="133"/>
    </row>
    <row r="12" spans="1:57">
      <c r="A12" s="48"/>
      <c r="B12" s="147"/>
      <c r="C12" s="148"/>
      <c r="D12" s="149"/>
      <c r="E12" s="124"/>
      <c r="F12" s="125"/>
      <c r="G12" s="126"/>
      <c r="H12" s="126"/>
      <c r="I12" s="127"/>
      <c r="J12" s="137" t="str">
        <v/>
      </c>
      <c r="K12" s="125"/>
      <c r="L12" s="126"/>
      <c r="M12" s="126"/>
      <c r="N12" s="127"/>
      <c r="O12" s="137" t="str">
        <v/>
      </c>
      <c r="P12" s="125"/>
      <c r="Q12" s="126"/>
      <c r="R12" s="126"/>
      <c r="S12" s="127"/>
      <c r="T12" s="137" t="str">
        <v/>
      </c>
      <c r="U12" s="129"/>
      <c r="V12" s="130"/>
      <c r="W12" s="130"/>
      <c r="X12" s="131"/>
      <c r="Y12" s="138" t="str">
        <v/>
      </c>
      <c r="Z12" s="129"/>
      <c r="AA12" s="130"/>
      <c r="AB12" s="130"/>
      <c r="AC12" s="131"/>
      <c r="AD12" s="138" t="str">
        <v/>
      </c>
      <c r="AE12" s="129"/>
      <c r="AF12" s="130"/>
      <c r="AG12" s="130"/>
      <c r="AH12" s="131"/>
      <c r="AI12" s="138" t="str">
        <v/>
      </c>
      <c r="AJ12" s="129"/>
      <c r="AK12" s="130"/>
      <c r="AL12" s="130"/>
      <c r="AM12" s="131"/>
      <c r="AN12" s="138" t="str">
        <v/>
      </c>
      <c r="AO12" s="129"/>
      <c r="AP12" s="130"/>
      <c r="AQ12" s="130"/>
      <c r="AR12" s="131"/>
      <c r="AS12" s="138" t="str">
        <v/>
      </c>
      <c r="AT12" s="129"/>
      <c r="AU12" s="130"/>
      <c r="AV12" s="130"/>
      <c r="AW12" s="131"/>
      <c r="AX12" s="138" t="str">
        <v/>
      </c>
      <c r="AY12" s="129"/>
      <c r="AZ12" s="130"/>
      <c r="BA12" s="130"/>
      <c r="BB12" s="131"/>
      <c r="BC12" s="138" t="str">
        <v/>
      </c>
      <c r="BD12" s="146" t="str">
        <v/>
      </c>
      <c r="BE12" s="133"/>
    </row>
    <row r="13" spans="1:57">
      <c r="A13" s="48"/>
      <c r="B13" s="147"/>
      <c r="C13" s="122"/>
      <c r="D13" s="149"/>
      <c r="E13" s="124"/>
      <c r="F13" s="125"/>
      <c r="G13" s="126"/>
      <c r="H13" s="126"/>
      <c r="I13" s="127"/>
      <c r="J13" s="137" t="str">
        <v/>
      </c>
      <c r="K13" s="125"/>
      <c r="L13" s="126"/>
      <c r="M13" s="126"/>
      <c r="N13" s="127"/>
      <c r="O13" s="137" t="str">
        <v/>
      </c>
      <c r="P13" s="125"/>
      <c r="Q13" s="126"/>
      <c r="R13" s="126"/>
      <c r="S13" s="127"/>
      <c r="T13" s="137" t="str">
        <v/>
      </c>
      <c r="U13" s="129"/>
      <c r="V13" s="130"/>
      <c r="W13" s="130"/>
      <c r="X13" s="131"/>
      <c r="Y13" s="138" t="str">
        <v/>
      </c>
      <c r="Z13" s="129"/>
      <c r="AA13" s="130"/>
      <c r="AB13" s="130"/>
      <c r="AC13" s="131"/>
      <c r="AD13" s="138" t="str">
        <v/>
      </c>
      <c r="AE13" s="129"/>
      <c r="AF13" s="130"/>
      <c r="AG13" s="130"/>
      <c r="AH13" s="131"/>
      <c r="AI13" s="138" t="str">
        <v/>
      </c>
      <c r="AJ13" s="129"/>
      <c r="AK13" s="130"/>
      <c r="AL13" s="130"/>
      <c r="AM13" s="131"/>
      <c r="AN13" s="138" t="str">
        <v/>
      </c>
      <c r="AO13" s="129"/>
      <c r="AP13" s="130"/>
      <c r="AQ13" s="130"/>
      <c r="AR13" s="131"/>
      <c r="AS13" s="138" t="str">
        <v/>
      </c>
      <c r="AT13" s="129"/>
      <c r="AU13" s="130"/>
      <c r="AV13" s="130"/>
      <c r="AW13" s="131"/>
      <c r="AX13" s="138" t="str">
        <v/>
      </c>
      <c r="AY13" s="129"/>
      <c r="AZ13" s="130"/>
      <c r="BA13" s="130"/>
      <c r="BB13" s="131"/>
      <c r="BC13" s="138" t="str">
        <v/>
      </c>
      <c r="BD13" s="146" t="str">
        <v/>
      </c>
      <c r="BE13" s="133"/>
    </row>
    <row r="14" spans="1:57">
      <c r="A14" s="48"/>
      <c r="B14" s="121"/>
      <c r="C14" s="122"/>
      <c r="D14" s="149"/>
      <c r="E14" s="124"/>
      <c r="F14" s="125"/>
      <c r="G14" s="126"/>
      <c r="H14" s="126"/>
      <c r="I14" s="127"/>
      <c r="J14" s="137" t="str">
        <v/>
      </c>
      <c r="K14" s="125"/>
      <c r="L14" s="126"/>
      <c r="M14" s="126"/>
      <c r="N14" s="127"/>
      <c r="O14" s="137" t="str">
        <v/>
      </c>
      <c r="P14" s="125"/>
      <c r="Q14" s="126"/>
      <c r="R14" s="126"/>
      <c r="S14" s="127"/>
      <c r="T14" s="137" t="str">
        <v/>
      </c>
      <c r="U14" s="129"/>
      <c r="V14" s="130"/>
      <c r="W14" s="130"/>
      <c r="X14" s="131"/>
      <c r="Y14" s="138" t="str">
        <v/>
      </c>
      <c r="Z14" s="129"/>
      <c r="AA14" s="130"/>
      <c r="AB14" s="130"/>
      <c r="AC14" s="131"/>
      <c r="AD14" s="138" t="str">
        <v/>
      </c>
      <c r="AE14" s="129"/>
      <c r="AF14" s="130"/>
      <c r="AG14" s="130"/>
      <c r="AH14" s="131"/>
      <c r="AI14" s="138" t="str">
        <v/>
      </c>
      <c r="AJ14" s="129"/>
      <c r="AK14" s="130"/>
      <c r="AL14" s="130"/>
      <c r="AM14" s="131"/>
      <c r="AN14" s="138" t="str">
        <v/>
      </c>
      <c r="AO14" s="129"/>
      <c r="AP14" s="130"/>
      <c r="AQ14" s="130"/>
      <c r="AR14" s="131"/>
      <c r="AS14" s="138" t="str">
        <v/>
      </c>
      <c r="AT14" s="129"/>
      <c r="AU14" s="130"/>
      <c r="AV14" s="130"/>
      <c r="AW14" s="131"/>
      <c r="AX14" s="138" t="str">
        <v/>
      </c>
      <c r="AY14" s="129"/>
      <c r="AZ14" s="130"/>
      <c r="BA14" s="130"/>
      <c r="BB14" s="131"/>
      <c r="BC14" s="138" t="str">
        <v/>
      </c>
      <c r="BD14" s="146" t="str">
        <v/>
      </c>
      <c r="BE14" s="133"/>
    </row>
    <row r="15" spans="1:57">
      <c r="A15" s="48"/>
      <c r="B15" s="147"/>
      <c r="C15" s="148"/>
      <c r="D15" s="149"/>
      <c r="E15" s="124"/>
      <c r="F15" s="125"/>
      <c r="G15" s="126"/>
      <c r="H15" s="126"/>
      <c r="I15" s="127"/>
      <c r="J15" s="137" t="str">
        <v/>
      </c>
      <c r="K15" s="125"/>
      <c r="L15" s="126"/>
      <c r="M15" s="126"/>
      <c r="N15" s="127"/>
      <c r="O15" s="137" t="str">
        <v/>
      </c>
      <c r="P15" s="125"/>
      <c r="Q15" s="126"/>
      <c r="R15" s="126"/>
      <c r="S15" s="127"/>
      <c r="T15" s="137" t="str">
        <v/>
      </c>
      <c r="U15" s="129"/>
      <c r="V15" s="130"/>
      <c r="W15" s="130"/>
      <c r="X15" s="131"/>
      <c r="Y15" s="138" t="str">
        <v/>
      </c>
      <c r="Z15" s="129"/>
      <c r="AA15" s="130"/>
      <c r="AB15" s="130"/>
      <c r="AC15" s="131"/>
      <c r="AD15" s="138" t="str">
        <v/>
      </c>
      <c r="AE15" s="129"/>
      <c r="AF15" s="130"/>
      <c r="AG15" s="130"/>
      <c r="AH15" s="131"/>
      <c r="AI15" s="138" t="str">
        <v/>
      </c>
      <c r="AJ15" s="129"/>
      <c r="AK15" s="130"/>
      <c r="AL15" s="130"/>
      <c r="AM15" s="131"/>
      <c r="AN15" s="138" t="str">
        <v/>
      </c>
      <c r="AO15" s="129"/>
      <c r="AP15" s="130"/>
      <c r="AQ15" s="130"/>
      <c r="AR15" s="131"/>
      <c r="AS15" s="138" t="str">
        <v/>
      </c>
      <c r="AT15" s="129"/>
      <c r="AU15" s="130"/>
      <c r="AV15" s="130"/>
      <c r="AW15" s="131"/>
      <c r="AX15" s="138" t="str">
        <v/>
      </c>
      <c r="AY15" s="129"/>
      <c r="AZ15" s="130"/>
      <c r="BA15" s="130"/>
      <c r="BB15" s="131"/>
      <c r="BC15" s="138" t="str">
        <v/>
      </c>
      <c r="BD15" s="146" t="str">
        <v/>
      </c>
      <c r="BE15" s="133"/>
    </row>
    <row r="16" spans="1:57">
      <c r="A16" s="48"/>
      <c r="B16" s="147"/>
      <c r="C16" s="148"/>
      <c r="D16" s="149"/>
      <c r="E16" s="124"/>
      <c r="F16" s="125"/>
      <c r="G16" s="126"/>
      <c r="H16" s="126"/>
      <c r="I16" s="127"/>
      <c r="J16" s="137" t="str">
        <v/>
      </c>
      <c r="K16" s="125"/>
      <c r="L16" s="126"/>
      <c r="M16" s="126"/>
      <c r="N16" s="127"/>
      <c r="O16" s="137" t="str">
        <v/>
      </c>
      <c r="P16" s="125"/>
      <c r="Q16" s="126"/>
      <c r="R16" s="126"/>
      <c r="S16" s="127"/>
      <c r="T16" s="137" t="str">
        <v/>
      </c>
      <c r="U16" s="129"/>
      <c r="V16" s="130"/>
      <c r="W16" s="130"/>
      <c r="X16" s="131"/>
      <c r="Y16" s="138" t="str">
        <v/>
      </c>
      <c r="Z16" s="129"/>
      <c r="AA16" s="130"/>
      <c r="AB16" s="130"/>
      <c r="AC16" s="131"/>
      <c r="AD16" s="138" t="str">
        <v/>
      </c>
      <c r="AE16" s="129"/>
      <c r="AF16" s="130"/>
      <c r="AG16" s="130"/>
      <c r="AH16" s="131"/>
      <c r="AI16" s="138" t="str">
        <v/>
      </c>
      <c r="AJ16" s="129"/>
      <c r="AK16" s="130"/>
      <c r="AL16" s="130"/>
      <c r="AM16" s="131"/>
      <c r="AN16" s="138" t="str">
        <v/>
      </c>
      <c r="AO16" s="129"/>
      <c r="AP16" s="130"/>
      <c r="AQ16" s="130"/>
      <c r="AR16" s="131"/>
      <c r="AS16" s="138" t="str">
        <v/>
      </c>
      <c r="AT16" s="129"/>
      <c r="AU16" s="130"/>
      <c r="AV16" s="130"/>
      <c r="AW16" s="131"/>
      <c r="AX16" s="138" t="str">
        <v/>
      </c>
      <c r="AY16" s="129"/>
      <c r="AZ16" s="130"/>
      <c r="BA16" s="130"/>
      <c r="BB16" s="131"/>
      <c r="BC16" s="138" t="str">
        <v/>
      </c>
      <c r="BD16" s="146" t="str">
        <v/>
      </c>
      <c r="BE16" s="133"/>
    </row>
    <row r="17" spans="1:57">
      <c r="A17" s="48"/>
      <c r="B17" s="147"/>
      <c r="C17" s="148"/>
      <c r="D17" s="149"/>
      <c r="E17" s="124"/>
      <c r="F17" s="125"/>
      <c r="G17" s="126"/>
      <c r="H17" s="126"/>
      <c r="I17" s="127"/>
      <c r="J17" s="137" t="str">
        <v/>
      </c>
      <c r="K17" s="125"/>
      <c r="L17" s="126"/>
      <c r="M17" s="126"/>
      <c r="N17" s="127"/>
      <c r="O17" s="137" t="str">
        <v/>
      </c>
      <c r="P17" s="125"/>
      <c r="Q17" s="126"/>
      <c r="R17" s="126"/>
      <c r="S17" s="127"/>
      <c r="T17" s="137" t="str">
        <v/>
      </c>
      <c r="U17" s="129"/>
      <c r="V17" s="130"/>
      <c r="W17" s="130"/>
      <c r="X17" s="131"/>
      <c r="Y17" s="138" t="str">
        <v/>
      </c>
      <c r="Z17" s="129"/>
      <c r="AA17" s="130"/>
      <c r="AB17" s="130"/>
      <c r="AC17" s="131"/>
      <c r="AD17" s="138" t="str">
        <v/>
      </c>
      <c r="AE17" s="129"/>
      <c r="AF17" s="130"/>
      <c r="AG17" s="130"/>
      <c r="AH17" s="131"/>
      <c r="AI17" s="138" t="str">
        <v/>
      </c>
      <c r="AJ17" s="129"/>
      <c r="AK17" s="130"/>
      <c r="AL17" s="130"/>
      <c r="AM17" s="131"/>
      <c r="AN17" s="138" t="str">
        <v/>
      </c>
      <c r="AO17" s="129"/>
      <c r="AP17" s="130"/>
      <c r="AQ17" s="130"/>
      <c r="AR17" s="131"/>
      <c r="AS17" s="138" t="str">
        <v/>
      </c>
      <c r="AT17" s="129"/>
      <c r="AU17" s="130"/>
      <c r="AV17" s="130"/>
      <c r="AW17" s="131"/>
      <c r="AX17" s="138" t="str">
        <v/>
      </c>
      <c r="AY17" s="129"/>
      <c r="AZ17" s="130"/>
      <c r="BA17" s="130"/>
      <c r="BB17" s="131"/>
      <c r="BC17" s="138" t="str">
        <v/>
      </c>
      <c r="BD17" s="146" t="str">
        <v/>
      </c>
      <c r="BE17" s="133"/>
    </row>
    <row r="18" spans="1:57">
      <c r="A18" s="48"/>
      <c r="B18" s="147"/>
      <c r="C18" s="148"/>
      <c r="D18" s="150"/>
      <c r="E18" s="124"/>
      <c r="F18" s="125"/>
      <c r="G18" s="126"/>
      <c r="H18" s="126"/>
      <c r="I18" s="127"/>
      <c r="J18" s="137" t="str">
        <v/>
      </c>
      <c r="K18" s="125"/>
      <c r="L18" s="126"/>
      <c r="M18" s="126"/>
      <c r="N18" s="127"/>
      <c r="O18" s="137" t="str">
        <v/>
      </c>
      <c r="P18" s="125"/>
      <c r="Q18" s="126"/>
      <c r="R18" s="126"/>
      <c r="S18" s="127"/>
      <c r="T18" s="137" t="str">
        <v/>
      </c>
      <c r="U18" s="129"/>
      <c r="V18" s="130"/>
      <c r="W18" s="130"/>
      <c r="X18" s="131"/>
      <c r="Y18" s="138" t="str">
        <v/>
      </c>
      <c r="Z18" s="129"/>
      <c r="AA18" s="130"/>
      <c r="AB18" s="130"/>
      <c r="AC18" s="131"/>
      <c r="AD18" s="138" t="str">
        <v/>
      </c>
      <c r="AE18" s="129"/>
      <c r="AF18" s="130"/>
      <c r="AG18" s="130"/>
      <c r="AH18" s="131"/>
      <c r="AI18" s="138" t="str">
        <v/>
      </c>
      <c r="AJ18" s="129"/>
      <c r="AK18" s="130"/>
      <c r="AL18" s="130"/>
      <c r="AM18" s="131"/>
      <c r="AN18" s="138" t="str">
        <v/>
      </c>
      <c r="AO18" s="129"/>
      <c r="AP18" s="130"/>
      <c r="AQ18" s="130"/>
      <c r="AR18" s="131"/>
      <c r="AS18" s="138" t="str">
        <v/>
      </c>
      <c r="AT18" s="129"/>
      <c r="AU18" s="130"/>
      <c r="AV18" s="130"/>
      <c r="AW18" s="131"/>
      <c r="AX18" s="138" t="str">
        <v/>
      </c>
      <c r="AY18" s="129"/>
      <c r="AZ18" s="130"/>
      <c r="BA18" s="130"/>
      <c r="BB18" s="131"/>
      <c r="BC18" s="138" t="str">
        <v/>
      </c>
      <c r="BD18" s="146" t="str">
        <v/>
      </c>
      <c r="BE18" s="133"/>
    </row>
    <row r="19" spans="1:57">
      <c r="A19" s="48"/>
      <c r="B19" s="147"/>
      <c r="C19" s="148"/>
      <c r="D19" s="149"/>
      <c r="E19" s="124"/>
      <c r="F19" s="125"/>
      <c r="G19" s="126"/>
      <c r="H19" s="126"/>
      <c r="I19" s="127"/>
      <c r="J19" s="137" t="str">
        <v/>
      </c>
      <c r="K19" s="125"/>
      <c r="L19" s="126"/>
      <c r="M19" s="126"/>
      <c r="N19" s="127"/>
      <c r="O19" s="137" t="str">
        <v/>
      </c>
      <c r="P19" s="125"/>
      <c r="Q19" s="126"/>
      <c r="R19" s="126"/>
      <c r="S19" s="127"/>
      <c r="T19" s="137" t="str">
        <v/>
      </c>
      <c r="U19" s="129"/>
      <c r="V19" s="130"/>
      <c r="W19" s="130"/>
      <c r="X19" s="131"/>
      <c r="Y19" s="138" t="str">
        <v/>
      </c>
      <c r="Z19" s="129"/>
      <c r="AA19" s="130"/>
      <c r="AB19" s="130"/>
      <c r="AC19" s="131"/>
      <c r="AD19" s="138" t="str">
        <v/>
      </c>
      <c r="AE19" s="129"/>
      <c r="AF19" s="130"/>
      <c r="AG19" s="130"/>
      <c r="AH19" s="131"/>
      <c r="AI19" s="138" t="str">
        <v/>
      </c>
      <c r="AJ19" s="129"/>
      <c r="AK19" s="130"/>
      <c r="AL19" s="130"/>
      <c r="AM19" s="131"/>
      <c r="AN19" s="138" t="str">
        <v/>
      </c>
      <c r="AO19" s="129"/>
      <c r="AP19" s="130"/>
      <c r="AQ19" s="130"/>
      <c r="AR19" s="131"/>
      <c r="AS19" s="138" t="str">
        <v/>
      </c>
      <c r="AT19" s="129"/>
      <c r="AU19" s="130"/>
      <c r="AV19" s="130"/>
      <c r="AW19" s="131"/>
      <c r="AX19" s="138" t="str">
        <v/>
      </c>
      <c r="AY19" s="129"/>
      <c r="AZ19" s="130"/>
      <c r="BA19" s="130"/>
      <c r="BB19" s="131"/>
      <c r="BC19" s="138" t="str">
        <v/>
      </c>
      <c r="BD19" s="146" t="str">
        <v/>
      </c>
      <c r="BE19" s="133"/>
    </row>
    <row r="20" spans="1:57">
      <c r="A20" s="48"/>
      <c r="B20" s="147"/>
      <c r="C20" s="148"/>
      <c r="D20" s="149"/>
      <c r="E20" s="124"/>
      <c r="F20" s="125"/>
      <c r="G20" s="126"/>
      <c r="H20" s="126"/>
      <c r="I20" s="127"/>
      <c r="J20" s="137" t="str">
        <v/>
      </c>
      <c r="K20" s="125"/>
      <c r="L20" s="126"/>
      <c r="M20" s="126"/>
      <c r="N20" s="127"/>
      <c r="O20" s="137" t="str">
        <v/>
      </c>
      <c r="P20" s="125"/>
      <c r="Q20" s="126"/>
      <c r="R20" s="126"/>
      <c r="S20" s="127"/>
      <c r="T20" s="137" t="str">
        <v/>
      </c>
      <c r="U20" s="129"/>
      <c r="V20" s="130"/>
      <c r="W20" s="130"/>
      <c r="X20" s="131"/>
      <c r="Y20" s="138" t="str">
        <v/>
      </c>
      <c r="Z20" s="129"/>
      <c r="AA20" s="130"/>
      <c r="AB20" s="130"/>
      <c r="AC20" s="131"/>
      <c r="AD20" s="138" t="str">
        <v/>
      </c>
      <c r="AE20" s="129"/>
      <c r="AF20" s="130"/>
      <c r="AG20" s="130"/>
      <c r="AH20" s="131"/>
      <c r="AI20" s="138" t="str">
        <v/>
      </c>
      <c r="AJ20" s="129"/>
      <c r="AK20" s="130"/>
      <c r="AL20" s="130"/>
      <c r="AM20" s="131"/>
      <c r="AN20" s="138" t="str">
        <v/>
      </c>
      <c r="AO20" s="129"/>
      <c r="AP20" s="130"/>
      <c r="AQ20" s="130"/>
      <c r="AR20" s="131"/>
      <c r="AS20" s="138" t="str">
        <v/>
      </c>
      <c r="AT20" s="129"/>
      <c r="AU20" s="130"/>
      <c r="AV20" s="130"/>
      <c r="AW20" s="131"/>
      <c r="AX20" s="138" t="str">
        <v/>
      </c>
      <c r="AY20" s="129"/>
      <c r="AZ20" s="130"/>
      <c r="BA20" s="130"/>
      <c r="BB20" s="131"/>
      <c r="BC20" s="138" t="str">
        <v/>
      </c>
      <c r="BD20" s="146" t="str">
        <v/>
      </c>
      <c r="BE20" s="133"/>
    </row>
    <row r="21" spans="1:57">
      <c r="A21" s="48"/>
      <c r="B21" s="147"/>
      <c r="C21" s="148"/>
      <c r="D21" s="149"/>
      <c r="E21" s="124"/>
      <c r="F21" s="125"/>
      <c r="G21" s="126"/>
      <c r="H21" s="126"/>
      <c r="I21" s="127"/>
      <c r="J21" s="137" t="str">
        <v/>
      </c>
      <c r="K21" s="125"/>
      <c r="L21" s="126"/>
      <c r="M21" s="126"/>
      <c r="N21" s="127"/>
      <c r="O21" s="137" t="str">
        <v/>
      </c>
      <c r="P21" s="125"/>
      <c r="Q21" s="126"/>
      <c r="R21" s="126"/>
      <c r="S21" s="127"/>
      <c r="T21" s="137" t="str">
        <v/>
      </c>
      <c r="U21" s="129"/>
      <c r="V21" s="130"/>
      <c r="W21" s="130"/>
      <c r="X21" s="131"/>
      <c r="Y21" s="138" t="str">
        <v/>
      </c>
      <c r="Z21" s="129"/>
      <c r="AA21" s="130"/>
      <c r="AB21" s="130"/>
      <c r="AC21" s="131"/>
      <c r="AD21" s="138" t="str">
        <v/>
      </c>
      <c r="AE21" s="129"/>
      <c r="AF21" s="130"/>
      <c r="AG21" s="130"/>
      <c r="AH21" s="131"/>
      <c r="AI21" s="138" t="str">
        <v/>
      </c>
      <c r="AJ21" s="129"/>
      <c r="AK21" s="130"/>
      <c r="AL21" s="130"/>
      <c r="AM21" s="131"/>
      <c r="AN21" s="138" t="str">
        <v/>
      </c>
      <c r="AO21" s="129"/>
      <c r="AP21" s="130"/>
      <c r="AQ21" s="130"/>
      <c r="AR21" s="131"/>
      <c r="AS21" s="138" t="str">
        <v/>
      </c>
      <c r="AT21" s="129"/>
      <c r="AU21" s="130"/>
      <c r="AV21" s="130"/>
      <c r="AW21" s="131"/>
      <c r="AX21" s="138" t="str">
        <v/>
      </c>
      <c r="AY21" s="129"/>
      <c r="AZ21" s="130"/>
      <c r="BA21" s="130"/>
      <c r="BB21" s="131"/>
      <c r="BC21" s="138" t="str">
        <v/>
      </c>
      <c r="BD21" s="146" t="str">
        <v/>
      </c>
      <c r="BE21" s="133"/>
    </row>
    <row r="22" spans="1:57">
      <c r="A22" s="48"/>
      <c r="B22" s="147"/>
      <c r="C22" s="148"/>
      <c r="D22" s="149"/>
      <c r="E22" s="124"/>
      <c r="F22" s="125"/>
      <c r="G22" s="126"/>
      <c r="H22" s="126"/>
      <c r="I22" s="127"/>
      <c r="J22" s="137" t="str">
        <v/>
      </c>
      <c r="K22" s="125"/>
      <c r="L22" s="126"/>
      <c r="M22" s="126"/>
      <c r="N22" s="127"/>
      <c r="O22" s="137" t="str">
        <v/>
      </c>
      <c r="P22" s="125"/>
      <c r="Q22" s="126"/>
      <c r="R22" s="126"/>
      <c r="S22" s="127"/>
      <c r="T22" s="137" t="str">
        <v/>
      </c>
      <c r="U22" s="129"/>
      <c r="V22" s="130"/>
      <c r="W22" s="130"/>
      <c r="X22" s="131"/>
      <c r="Y22" s="138" t="str">
        <v/>
      </c>
      <c r="Z22" s="129"/>
      <c r="AA22" s="130"/>
      <c r="AB22" s="130"/>
      <c r="AC22" s="131"/>
      <c r="AD22" s="138" t="str">
        <v/>
      </c>
      <c r="AE22" s="129"/>
      <c r="AF22" s="130"/>
      <c r="AG22" s="130"/>
      <c r="AH22" s="131"/>
      <c r="AI22" s="138" t="str">
        <v/>
      </c>
      <c r="AJ22" s="129"/>
      <c r="AK22" s="130"/>
      <c r="AL22" s="130"/>
      <c r="AM22" s="131"/>
      <c r="AN22" s="138" t="str">
        <v/>
      </c>
      <c r="AO22" s="129"/>
      <c r="AP22" s="130"/>
      <c r="AQ22" s="130"/>
      <c r="AR22" s="131"/>
      <c r="AS22" s="138" t="str">
        <v/>
      </c>
      <c r="AT22" s="129"/>
      <c r="AU22" s="130"/>
      <c r="AV22" s="130"/>
      <c r="AW22" s="131"/>
      <c r="AX22" s="138" t="str">
        <v/>
      </c>
      <c r="AY22" s="129"/>
      <c r="AZ22" s="130"/>
      <c r="BA22" s="130"/>
      <c r="BB22" s="131"/>
      <c r="BC22" s="138" t="str">
        <v/>
      </c>
      <c r="BD22" s="146" t="str">
        <v/>
      </c>
      <c r="BE22" s="133"/>
    </row>
    <row r="23" spans="1:57">
      <c r="A23" s="48"/>
      <c r="B23" s="147"/>
      <c r="C23" s="148"/>
      <c r="D23" s="149"/>
      <c r="E23" s="124"/>
      <c r="F23" s="125"/>
      <c r="G23" s="126"/>
      <c r="H23" s="126"/>
      <c r="I23" s="127"/>
      <c r="J23" s="137" t="str">
        <v/>
      </c>
      <c r="K23" s="125"/>
      <c r="L23" s="126"/>
      <c r="M23" s="126"/>
      <c r="N23" s="127"/>
      <c r="O23" s="137" t="str">
        <v/>
      </c>
      <c r="P23" s="125"/>
      <c r="Q23" s="126"/>
      <c r="R23" s="126"/>
      <c r="S23" s="127"/>
      <c r="T23" s="137" t="str">
        <v/>
      </c>
      <c r="U23" s="129"/>
      <c r="V23" s="130"/>
      <c r="W23" s="130"/>
      <c r="X23" s="131"/>
      <c r="Y23" s="138" t="str">
        <v/>
      </c>
      <c r="Z23" s="129"/>
      <c r="AA23" s="130"/>
      <c r="AB23" s="130"/>
      <c r="AC23" s="131"/>
      <c r="AD23" s="138" t="str">
        <v/>
      </c>
      <c r="AE23" s="129"/>
      <c r="AF23" s="130"/>
      <c r="AG23" s="130"/>
      <c r="AH23" s="131"/>
      <c r="AI23" s="138" t="str">
        <v/>
      </c>
      <c r="AJ23" s="129"/>
      <c r="AK23" s="130"/>
      <c r="AL23" s="130"/>
      <c r="AM23" s="131"/>
      <c r="AN23" s="138" t="str">
        <v/>
      </c>
      <c r="AO23" s="129"/>
      <c r="AP23" s="130"/>
      <c r="AQ23" s="130"/>
      <c r="AR23" s="131"/>
      <c r="AS23" s="138" t="str">
        <v/>
      </c>
      <c r="AT23" s="129"/>
      <c r="AU23" s="130"/>
      <c r="AV23" s="130"/>
      <c r="AW23" s="131"/>
      <c r="AX23" s="138" t="str">
        <v/>
      </c>
      <c r="AY23" s="129"/>
      <c r="AZ23" s="130"/>
      <c r="BA23" s="130"/>
      <c r="BB23" s="131"/>
      <c r="BC23" s="138" t="str">
        <v/>
      </c>
      <c r="BD23" s="146" t="str">
        <v/>
      </c>
      <c r="BE23" s="133"/>
    </row>
    <row r="24" spans="1:57">
      <c r="A24" s="48"/>
      <c r="B24" s="147"/>
      <c r="C24" s="148"/>
      <c r="D24" s="149"/>
      <c r="E24" s="124"/>
      <c r="F24" s="125"/>
      <c r="G24" s="126"/>
      <c r="H24" s="126"/>
      <c r="I24" s="127"/>
      <c r="J24" s="137" t="str">
        <v/>
      </c>
      <c r="K24" s="125"/>
      <c r="L24" s="126"/>
      <c r="M24" s="126"/>
      <c r="N24" s="127"/>
      <c r="O24" s="137" t="str">
        <v/>
      </c>
      <c r="P24" s="125"/>
      <c r="Q24" s="126"/>
      <c r="R24" s="126"/>
      <c r="S24" s="127"/>
      <c r="T24" s="137" t="str">
        <v/>
      </c>
      <c r="U24" s="129"/>
      <c r="V24" s="130"/>
      <c r="W24" s="130"/>
      <c r="X24" s="131"/>
      <c r="Y24" s="138" t="str">
        <v/>
      </c>
      <c r="Z24" s="129"/>
      <c r="AA24" s="130"/>
      <c r="AB24" s="130"/>
      <c r="AC24" s="131"/>
      <c r="AD24" s="138" t="str">
        <v/>
      </c>
      <c r="AE24" s="129"/>
      <c r="AF24" s="130"/>
      <c r="AG24" s="130"/>
      <c r="AH24" s="131"/>
      <c r="AI24" s="138" t="str">
        <v/>
      </c>
      <c r="AJ24" s="129"/>
      <c r="AK24" s="130"/>
      <c r="AL24" s="130"/>
      <c r="AM24" s="131"/>
      <c r="AN24" s="138" t="str">
        <v/>
      </c>
      <c r="AO24" s="129"/>
      <c r="AP24" s="130"/>
      <c r="AQ24" s="130"/>
      <c r="AR24" s="131"/>
      <c r="AS24" s="138" t="str">
        <v/>
      </c>
      <c r="AT24" s="129"/>
      <c r="AU24" s="130"/>
      <c r="AV24" s="130"/>
      <c r="AW24" s="131"/>
      <c r="AX24" s="138" t="str">
        <v/>
      </c>
      <c r="AY24" s="129"/>
      <c r="AZ24" s="130"/>
      <c r="BA24" s="130"/>
      <c r="BB24" s="131"/>
      <c r="BC24" s="138" t="str">
        <v/>
      </c>
      <c r="BD24" s="146" t="str">
        <v/>
      </c>
      <c r="BE24" s="133"/>
    </row>
    <row r="25" spans="1:57">
      <c r="A25" s="48"/>
      <c r="B25" s="147"/>
      <c r="C25" s="148"/>
      <c r="D25" s="149"/>
      <c r="E25" s="124"/>
      <c r="F25" s="125"/>
      <c r="G25" s="126"/>
      <c r="H25" s="126"/>
      <c r="I25" s="127"/>
      <c r="J25" s="137" t="str">
        <v/>
      </c>
      <c r="K25" s="125"/>
      <c r="L25" s="126"/>
      <c r="M25" s="126"/>
      <c r="N25" s="127"/>
      <c r="O25" s="137" t="str">
        <v/>
      </c>
      <c r="P25" s="125"/>
      <c r="Q25" s="126"/>
      <c r="R25" s="126"/>
      <c r="S25" s="127"/>
      <c r="T25" s="137" t="str">
        <v/>
      </c>
      <c r="U25" s="129"/>
      <c r="V25" s="130"/>
      <c r="W25" s="130"/>
      <c r="X25" s="131"/>
      <c r="Y25" s="138" t="str">
        <v/>
      </c>
      <c r="Z25" s="129"/>
      <c r="AA25" s="130"/>
      <c r="AB25" s="130"/>
      <c r="AC25" s="131"/>
      <c r="AD25" s="138" t="str">
        <v/>
      </c>
      <c r="AE25" s="129"/>
      <c r="AF25" s="130"/>
      <c r="AG25" s="130"/>
      <c r="AH25" s="131"/>
      <c r="AI25" s="138" t="str">
        <v/>
      </c>
      <c r="AJ25" s="129"/>
      <c r="AK25" s="130"/>
      <c r="AL25" s="130"/>
      <c r="AM25" s="131"/>
      <c r="AN25" s="138" t="str">
        <v/>
      </c>
      <c r="AO25" s="129"/>
      <c r="AP25" s="130"/>
      <c r="AQ25" s="130"/>
      <c r="AR25" s="131"/>
      <c r="AS25" s="138" t="str">
        <v/>
      </c>
      <c r="AT25" s="129"/>
      <c r="AU25" s="130"/>
      <c r="AV25" s="130"/>
      <c r="AW25" s="131"/>
      <c r="AX25" s="138" t="str">
        <v/>
      </c>
      <c r="AY25" s="129"/>
      <c r="AZ25" s="130"/>
      <c r="BA25" s="130"/>
      <c r="BB25" s="131"/>
      <c r="BC25" s="138" t="str">
        <v/>
      </c>
      <c r="BD25" s="146" t="str">
        <v/>
      </c>
      <c r="BE25" s="133"/>
    </row>
    <row r="26" spans="1:57">
      <c r="A26" s="48"/>
      <c r="B26" s="147"/>
      <c r="C26" s="148"/>
      <c r="D26" s="149"/>
      <c r="E26" s="124"/>
      <c r="F26" s="125"/>
      <c r="G26" s="126"/>
      <c r="H26" s="126"/>
      <c r="I26" s="127"/>
      <c r="J26" s="137" t="str">
        <v/>
      </c>
      <c r="K26" s="125"/>
      <c r="L26" s="126"/>
      <c r="M26" s="126"/>
      <c r="N26" s="127"/>
      <c r="O26" s="137" t="str">
        <v/>
      </c>
      <c r="P26" s="125"/>
      <c r="Q26" s="126"/>
      <c r="R26" s="126"/>
      <c r="S26" s="127"/>
      <c r="T26" s="137" t="str">
        <v/>
      </c>
      <c r="U26" s="129"/>
      <c r="V26" s="130"/>
      <c r="W26" s="130"/>
      <c r="X26" s="131"/>
      <c r="Y26" s="138" t="str">
        <v/>
      </c>
      <c r="Z26" s="129"/>
      <c r="AA26" s="130"/>
      <c r="AB26" s="130"/>
      <c r="AC26" s="131"/>
      <c r="AD26" s="138" t="str">
        <v/>
      </c>
      <c r="AE26" s="129"/>
      <c r="AF26" s="130"/>
      <c r="AG26" s="130"/>
      <c r="AH26" s="131"/>
      <c r="AI26" s="138" t="str">
        <v/>
      </c>
      <c r="AJ26" s="129"/>
      <c r="AK26" s="130"/>
      <c r="AL26" s="130"/>
      <c r="AM26" s="131"/>
      <c r="AN26" s="138" t="str">
        <v/>
      </c>
      <c r="AO26" s="129"/>
      <c r="AP26" s="130"/>
      <c r="AQ26" s="130"/>
      <c r="AR26" s="131"/>
      <c r="AS26" s="138" t="str">
        <v/>
      </c>
      <c r="AT26" s="129"/>
      <c r="AU26" s="130"/>
      <c r="AV26" s="130"/>
      <c r="AW26" s="131"/>
      <c r="AX26" s="138" t="str">
        <v/>
      </c>
      <c r="AY26" s="129"/>
      <c r="AZ26" s="130"/>
      <c r="BA26" s="130"/>
      <c r="BB26" s="131"/>
      <c r="BC26" s="138" t="str">
        <v/>
      </c>
      <c r="BD26" s="146" t="str">
        <v/>
      </c>
      <c r="BE26" s="133"/>
    </row>
    <row r="27" spans="1:57">
      <c r="A27" s="48"/>
      <c r="B27" s="147"/>
      <c r="C27" s="148"/>
      <c r="D27" s="149"/>
      <c r="E27" s="124"/>
      <c r="F27" s="125"/>
      <c r="G27" s="126"/>
      <c r="H27" s="126"/>
      <c r="I27" s="127"/>
      <c r="J27" s="137" t="str">
        <v/>
      </c>
      <c r="K27" s="125"/>
      <c r="L27" s="126"/>
      <c r="M27" s="126"/>
      <c r="N27" s="127"/>
      <c r="O27" s="137" t="str">
        <v/>
      </c>
      <c r="P27" s="125"/>
      <c r="Q27" s="126"/>
      <c r="R27" s="126"/>
      <c r="S27" s="127"/>
      <c r="T27" s="137" t="str">
        <v/>
      </c>
      <c r="U27" s="129"/>
      <c r="V27" s="130"/>
      <c r="W27" s="130"/>
      <c r="X27" s="131"/>
      <c r="Y27" s="138" t="str">
        <v/>
      </c>
      <c r="Z27" s="129"/>
      <c r="AA27" s="130"/>
      <c r="AB27" s="130"/>
      <c r="AC27" s="131"/>
      <c r="AD27" s="138" t="str">
        <v/>
      </c>
      <c r="AE27" s="129"/>
      <c r="AF27" s="130"/>
      <c r="AG27" s="130"/>
      <c r="AH27" s="131"/>
      <c r="AI27" s="138" t="str">
        <v/>
      </c>
      <c r="AJ27" s="129"/>
      <c r="AK27" s="130"/>
      <c r="AL27" s="130"/>
      <c r="AM27" s="131"/>
      <c r="AN27" s="138" t="str">
        <v/>
      </c>
      <c r="AO27" s="129"/>
      <c r="AP27" s="130"/>
      <c r="AQ27" s="130"/>
      <c r="AR27" s="131"/>
      <c r="AS27" s="138" t="str">
        <v/>
      </c>
      <c r="AT27" s="129"/>
      <c r="AU27" s="130"/>
      <c r="AV27" s="130"/>
      <c r="AW27" s="131"/>
      <c r="AX27" s="138" t="str">
        <v/>
      </c>
      <c r="AY27" s="129"/>
      <c r="AZ27" s="130"/>
      <c r="BA27" s="130"/>
      <c r="BB27" s="131"/>
      <c r="BC27" s="138" t="str">
        <v/>
      </c>
      <c r="BD27" s="146" t="str">
        <v/>
      </c>
      <c r="BE27" s="133"/>
    </row>
    <row r="28" spans="1:57">
      <c r="A28" s="48"/>
      <c r="B28" s="147"/>
      <c r="C28" s="148"/>
      <c r="D28" s="149"/>
      <c r="E28" s="124"/>
      <c r="F28" s="125"/>
      <c r="G28" s="126"/>
      <c r="H28" s="126"/>
      <c r="I28" s="127"/>
      <c r="J28" s="137" t="str">
        <v/>
      </c>
      <c r="K28" s="125"/>
      <c r="L28" s="126"/>
      <c r="M28" s="126"/>
      <c r="N28" s="127"/>
      <c r="O28" s="137" t="str">
        <v/>
      </c>
      <c r="P28" s="125"/>
      <c r="Q28" s="126"/>
      <c r="R28" s="126"/>
      <c r="S28" s="127"/>
      <c r="T28" s="137" t="str">
        <v/>
      </c>
      <c r="U28" s="129"/>
      <c r="V28" s="130"/>
      <c r="W28" s="130"/>
      <c r="X28" s="131"/>
      <c r="Y28" s="138" t="str">
        <v/>
      </c>
      <c r="Z28" s="129"/>
      <c r="AA28" s="130"/>
      <c r="AB28" s="130"/>
      <c r="AC28" s="131"/>
      <c r="AD28" s="138" t="str">
        <v/>
      </c>
      <c r="AE28" s="129"/>
      <c r="AF28" s="130"/>
      <c r="AG28" s="130"/>
      <c r="AH28" s="131"/>
      <c r="AI28" s="138" t="str">
        <v/>
      </c>
      <c r="AJ28" s="129"/>
      <c r="AK28" s="130"/>
      <c r="AL28" s="130"/>
      <c r="AM28" s="131"/>
      <c r="AN28" s="138" t="str">
        <v/>
      </c>
      <c r="AO28" s="129"/>
      <c r="AP28" s="130"/>
      <c r="AQ28" s="130"/>
      <c r="AR28" s="131"/>
      <c r="AS28" s="138" t="str">
        <v/>
      </c>
      <c r="AT28" s="129"/>
      <c r="AU28" s="130"/>
      <c r="AV28" s="130"/>
      <c r="AW28" s="131"/>
      <c r="AX28" s="138" t="str">
        <v/>
      </c>
      <c r="AY28" s="129"/>
      <c r="AZ28" s="130"/>
      <c r="BA28" s="130"/>
      <c r="BB28" s="131"/>
      <c r="BC28" s="138" t="str">
        <v/>
      </c>
      <c r="BD28" s="146" t="str">
        <v/>
      </c>
      <c r="BE28" s="133"/>
    </row>
    <row r="29" spans="1:57">
      <c r="A29" s="48"/>
      <c r="B29" s="147"/>
      <c r="C29" s="148"/>
      <c r="D29" s="149"/>
      <c r="E29" s="124"/>
      <c r="F29" s="125"/>
      <c r="G29" s="126"/>
      <c r="H29" s="126"/>
      <c r="I29" s="127"/>
      <c r="J29" s="137" t="str">
        <v/>
      </c>
      <c r="K29" s="125"/>
      <c r="L29" s="126"/>
      <c r="M29" s="126"/>
      <c r="N29" s="127"/>
      <c r="O29" s="137" t="str">
        <v/>
      </c>
      <c r="P29" s="125"/>
      <c r="Q29" s="126"/>
      <c r="R29" s="126"/>
      <c r="S29" s="127"/>
      <c r="T29" s="137" t="str">
        <v/>
      </c>
      <c r="U29" s="129"/>
      <c r="V29" s="130"/>
      <c r="W29" s="130"/>
      <c r="X29" s="131"/>
      <c r="Y29" s="138" t="str">
        <v/>
      </c>
      <c r="Z29" s="129"/>
      <c r="AA29" s="130"/>
      <c r="AB29" s="130"/>
      <c r="AC29" s="131"/>
      <c r="AD29" s="138" t="str">
        <v/>
      </c>
      <c r="AE29" s="129"/>
      <c r="AF29" s="130"/>
      <c r="AG29" s="130"/>
      <c r="AH29" s="131"/>
      <c r="AI29" s="138" t="str">
        <v/>
      </c>
      <c r="AJ29" s="129"/>
      <c r="AK29" s="130"/>
      <c r="AL29" s="130"/>
      <c r="AM29" s="131"/>
      <c r="AN29" s="138" t="str">
        <v/>
      </c>
      <c r="AO29" s="129"/>
      <c r="AP29" s="130"/>
      <c r="AQ29" s="130"/>
      <c r="AR29" s="131"/>
      <c r="AS29" s="138" t="str">
        <v/>
      </c>
      <c r="AT29" s="129"/>
      <c r="AU29" s="130"/>
      <c r="AV29" s="130"/>
      <c r="AW29" s="131"/>
      <c r="AX29" s="138" t="str">
        <v/>
      </c>
      <c r="AY29" s="129"/>
      <c r="AZ29" s="130"/>
      <c r="BA29" s="130"/>
      <c r="BB29" s="131"/>
      <c r="BC29" s="138" t="str">
        <v/>
      </c>
      <c r="BD29" s="146" t="str">
        <v/>
      </c>
      <c r="BE29" s="133"/>
    </row>
    <row r="30" spans="1:57">
      <c r="A30" s="48"/>
      <c r="B30" s="147"/>
      <c r="C30" s="148"/>
      <c r="D30" s="149"/>
      <c r="E30" s="124"/>
      <c r="F30" s="125"/>
      <c r="G30" s="126"/>
      <c r="H30" s="126"/>
      <c r="I30" s="127"/>
      <c r="J30" s="137" t="str">
        <v/>
      </c>
      <c r="K30" s="125"/>
      <c r="L30" s="126"/>
      <c r="M30" s="126"/>
      <c r="N30" s="127"/>
      <c r="O30" s="137" t="str">
        <v/>
      </c>
      <c r="P30" s="125"/>
      <c r="Q30" s="126"/>
      <c r="R30" s="126"/>
      <c r="S30" s="127"/>
      <c r="T30" s="137" t="str">
        <v/>
      </c>
      <c r="U30" s="129"/>
      <c r="V30" s="130"/>
      <c r="W30" s="130"/>
      <c r="X30" s="131"/>
      <c r="Y30" s="138" t="str">
        <v/>
      </c>
      <c r="Z30" s="129"/>
      <c r="AA30" s="130"/>
      <c r="AB30" s="130"/>
      <c r="AC30" s="131"/>
      <c r="AD30" s="138" t="str">
        <v/>
      </c>
      <c r="AE30" s="129"/>
      <c r="AF30" s="130"/>
      <c r="AG30" s="130"/>
      <c r="AH30" s="131"/>
      <c r="AI30" s="138" t="str">
        <v/>
      </c>
      <c r="AJ30" s="129"/>
      <c r="AK30" s="130"/>
      <c r="AL30" s="130"/>
      <c r="AM30" s="131"/>
      <c r="AN30" s="138" t="str">
        <v/>
      </c>
      <c r="AO30" s="129"/>
      <c r="AP30" s="130"/>
      <c r="AQ30" s="130"/>
      <c r="AR30" s="131"/>
      <c r="AS30" s="138" t="str">
        <v/>
      </c>
      <c r="AT30" s="129"/>
      <c r="AU30" s="130"/>
      <c r="AV30" s="130"/>
      <c r="AW30" s="131"/>
      <c r="AX30" s="138" t="str">
        <v/>
      </c>
      <c r="AY30" s="129"/>
      <c r="AZ30" s="130"/>
      <c r="BA30" s="130"/>
      <c r="BB30" s="131"/>
      <c r="BC30" s="138" t="str">
        <v/>
      </c>
      <c r="BD30" s="146" t="str">
        <v/>
      </c>
      <c r="BE30" s="133"/>
    </row>
    <row r="31" spans="1:57">
      <c r="A31" s="48"/>
      <c r="B31" s="147"/>
      <c r="C31" s="148"/>
      <c r="D31" s="149"/>
      <c r="E31" s="124"/>
      <c r="F31" s="125"/>
      <c r="G31" s="126"/>
      <c r="H31" s="126"/>
      <c r="I31" s="127"/>
      <c r="J31" s="137" t="str">
        <v/>
      </c>
      <c r="K31" s="125"/>
      <c r="L31" s="126"/>
      <c r="M31" s="126"/>
      <c r="N31" s="127"/>
      <c r="O31" s="137" t="str">
        <v/>
      </c>
      <c r="P31" s="125"/>
      <c r="Q31" s="126"/>
      <c r="R31" s="126"/>
      <c r="S31" s="127"/>
      <c r="T31" s="137" t="str">
        <v/>
      </c>
      <c r="U31" s="129"/>
      <c r="V31" s="130"/>
      <c r="W31" s="130"/>
      <c r="X31" s="131"/>
      <c r="Y31" s="138" t="str">
        <v/>
      </c>
      <c r="Z31" s="129"/>
      <c r="AA31" s="130"/>
      <c r="AB31" s="130"/>
      <c r="AC31" s="131"/>
      <c r="AD31" s="138" t="str">
        <v/>
      </c>
      <c r="AE31" s="129"/>
      <c r="AF31" s="130"/>
      <c r="AG31" s="130"/>
      <c r="AH31" s="131"/>
      <c r="AI31" s="138" t="str">
        <v/>
      </c>
      <c r="AJ31" s="129"/>
      <c r="AK31" s="130"/>
      <c r="AL31" s="130"/>
      <c r="AM31" s="131"/>
      <c r="AN31" s="138" t="str">
        <v/>
      </c>
      <c r="AO31" s="129"/>
      <c r="AP31" s="130"/>
      <c r="AQ31" s="130"/>
      <c r="AR31" s="131"/>
      <c r="AS31" s="138" t="str">
        <v/>
      </c>
      <c r="AT31" s="129"/>
      <c r="AU31" s="130"/>
      <c r="AV31" s="130"/>
      <c r="AW31" s="131"/>
      <c r="AX31" s="138" t="str">
        <v/>
      </c>
      <c r="AY31" s="129"/>
      <c r="AZ31" s="130"/>
      <c r="BA31" s="130"/>
      <c r="BB31" s="131"/>
      <c r="BC31" s="138" t="str">
        <v/>
      </c>
      <c r="BD31" s="146" t="str">
        <v/>
      </c>
      <c r="BE31" s="133"/>
    </row>
    <row r="32" spans="1:57">
      <c r="A32" s="48"/>
      <c r="B32" s="147"/>
      <c r="C32" s="148"/>
      <c r="D32" s="149"/>
      <c r="E32" s="124"/>
      <c r="F32" s="125"/>
      <c r="G32" s="126"/>
      <c r="H32" s="126"/>
      <c r="I32" s="127"/>
      <c r="J32" s="137" t="str">
        <v/>
      </c>
      <c r="K32" s="125"/>
      <c r="L32" s="126"/>
      <c r="M32" s="126"/>
      <c r="N32" s="127"/>
      <c r="O32" s="137" t="str">
        <v/>
      </c>
      <c r="P32" s="125"/>
      <c r="Q32" s="126"/>
      <c r="R32" s="126"/>
      <c r="S32" s="127"/>
      <c r="T32" s="137" t="str">
        <v/>
      </c>
      <c r="U32" s="129"/>
      <c r="V32" s="130"/>
      <c r="W32" s="130"/>
      <c r="X32" s="131"/>
      <c r="Y32" s="138" t="str">
        <v/>
      </c>
      <c r="Z32" s="129"/>
      <c r="AA32" s="130"/>
      <c r="AB32" s="130"/>
      <c r="AC32" s="131"/>
      <c r="AD32" s="138" t="str">
        <v/>
      </c>
      <c r="AE32" s="129"/>
      <c r="AF32" s="130"/>
      <c r="AG32" s="130"/>
      <c r="AH32" s="131"/>
      <c r="AI32" s="138" t="str">
        <v/>
      </c>
      <c r="AJ32" s="129"/>
      <c r="AK32" s="130"/>
      <c r="AL32" s="130"/>
      <c r="AM32" s="131"/>
      <c r="AN32" s="138" t="str">
        <v/>
      </c>
      <c r="AO32" s="129"/>
      <c r="AP32" s="130"/>
      <c r="AQ32" s="130"/>
      <c r="AR32" s="131"/>
      <c r="AS32" s="138" t="str">
        <v/>
      </c>
      <c r="AT32" s="129"/>
      <c r="AU32" s="130"/>
      <c r="AV32" s="130"/>
      <c r="AW32" s="131"/>
      <c r="AX32" s="138" t="str">
        <v/>
      </c>
      <c r="AY32" s="129"/>
      <c r="AZ32" s="130"/>
      <c r="BA32" s="130"/>
      <c r="BB32" s="131"/>
      <c r="BC32" s="138" t="str">
        <v/>
      </c>
      <c r="BD32" s="146" t="str">
        <v/>
      </c>
      <c r="BE32" s="133"/>
    </row>
    <row r="33" spans="1:57">
      <c r="A33" s="48"/>
      <c r="B33" s="147"/>
      <c r="C33" s="148"/>
      <c r="D33" s="149"/>
      <c r="E33" s="124"/>
      <c r="F33" s="125"/>
      <c r="G33" s="126"/>
      <c r="H33" s="126"/>
      <c r="I33" s="127"/>
      <c r="J33" s="137" t="str">
        <v/>
      </c>
      <c r="K33" s="125"/>
      <c r="L33" s="126"/>
      <c r="M33" s="126"/>
      <c r="N33" s="127"/>
      <c r="O33" s="137" t="str">
        <v/>
      </c>
      <c r="P33" s="125"/>
      <c r="Q33" s="126"/>
      <c r="R33" s="126"/>
      <c r="S33" s="127"/>
      <c r="T33" s="137" t="str">
        <v/>
      </c>
      <c r="U33" s="129"/>
      <c r="V33" s="130"/>
      <c r="W33" s="130"/>
      <c r="X33" s="131"/>
      <c r="Y33" s="138" t="str">
        <v/>
      </c>
      <c r="Z33" s="129"/>
      <c r="AA33" s="130"/>
      <c r="AB33" s="130"/>
      <c r="AC33" s="131"/>
      <c r="AD33" s="138" t="str">
        <v/>
      </c>
      <c r="AE33" s="129"/>
      <c r="AF33" s="130"/>
      <c r="AG33" s="130"/>
      <c r="AH33" s="131"/>
      <c r="AI33" s="138" t="str">
        <v/>
      </c>
      <c r="AJ33" s="129"/>
      <c r="AK33" s="130"/>
      <c r="AL33" s="130"/>
      <c r="AM33" s="131"/>
      <c r="AN33" s="138" t="str">
        <v/>
      </c>
      <c r="AO33" s="129"/>
      <c r="AP33" s="130"/>
      <c r="AQ33" s="130"/>
      <c r="AR33" s="131"/>
      <c r="AS33" s="138" t="str">
        <v/>
      </c>
      <c r="AT33" s="129"/>
      <c r="AU33" s="130"/>
      <c r="AV33" s="130"/>
      <c r="AW33" s="131"/>
      <c r="AX33" s="138" t="str">
        <v/>
      </c>
      <c r="AY33" s="129"/>
      <c r="AZ33" s="130"/>
      <c r="BA33" s="130"/>
      <c r="BB33" s="131"/>
      <c r="BC33" s="138" t="str">
        <v/>
      </c>
      <c r="BD33" s="146" t="str">
        <v/>
      </c>
      <c r="BE33" s="133"/>
    </row>
    <row r="34" spans="1:57">
      <c r="A34" s="48"/>
      <c r="B34" s="147"/>
      <c r="C34" s="148"/>
      <c r="D34" s="149"/>
      <c r="E34" s="124"/>
      <c r="F34" s="125"/>
      <c r="G34" s="126"/>
      <c r="H34" s="126"/>
      <c r="I34" s="127"/>
      <c r="J34" s="137" t="str">
        <v/>
      </c>
      <c r="K34" s="125"/>
      <c r="L34" s="126"/>
      <c r="M34" s="126"/>
      <c r="N34" s="127"/>
      <c r="O34" s="137" t="str">
        <v/>
      </c>
      <c r="P34" s="125"/>
      <c r="Q34" s="126"/>
      <c r="R34" s="126"/>
      <c r="S34" s="127"/>
      <c r="T34" s="137" t="str">
        <v/>
      </c>
      <c r="U34" s="129"/>
      <c r="V34" s="130"/>
      <c r="W34" s="130"/>
      <c r="X34" s="131"/>
      <c r="Y34" s="138" t="str">
        <v/>
      </c>
      <c r="Z34" s="129"/>
      <c r="AA34" s="130"/>
      <c r="AB34" s="130"/>
      <c r="AC34" s="131"/>
      <c r="AD34" s="138" t="str">
        <v/>
      </c>
      <c r="AE34" s="129"/>
      <c r="AF34" s="130"/>
      <c r="AG34" s="130"/>
      <c r="AH34" s="131"/>
      <c r="AI34" s="138" t="str">
        <v/>
      </c>
      <c r="AJ34" s="129"/>
      <c r="AK34" s="130"/>
      <c r="AL34" s="130"/>
      <c r="AM34" s="131"/>
      <c r="AN34" s="138" t="str">
        <v/>
      </c>
      <c r="AO34" s="129"/>
      <c r="AP34" s="130"/>
      <c r="AQ34" s="130"/>
      <c r="AR34" s="131"/>
      <c r="AS34" s="138" t="str">
        <v/>
      </c>
      <c r="AT34" s="129"/>
      <c r="AU34" s="130"/>
      <c r="AV34" s="130"/>
      <c r="AW34" s="131"/>
      <c r="AX34" s="138" t="str">
        <v/>
      </c>
      <c r="AY34" s="129"/>
      <c r="AZ34" s="130"/>
      <c r="BA34" s="130"/>
      <c r="BB34" s="131"/>
      <c r="BC34" s="138" t="str">
        <v/>
      </c>
      <c r="BD34" s="146" t="str">
        <v/>
      </c>
      <c r="BE34" s="133"/>
    </row>
    <row r="35" spans="1:57">
      <c r="A35" s="48"/>
      <c r="B35" s="147"/>
      <c r="C35" s="148"/>
      <c r="D35" s="149"/>
      <c r="E35" s="124"/>
      <c r="F35" s="125"/>
      <c r="G35" s="126"/>
      <c r="H35" s="126"/>
      <c r="I35" s="127"/>
      <c r="J35" s="137" t="str">
        <v/>
      </c>
      <c r="K35" s="125"/>
      <c r="L35" s="126"/>
      <c r="M35" s="126"/>
      <c r="N35" s="127"/>
      <c r="O35" s="137" t="str">
        <v/>
      </c>
      <c r="P35" s="125"/>
      <c r="Q35" s="126"/>
      <c r="R35" s="126"/>
      <c r="S35" s="127"/>
      <c r="T35" s="137" t="str">
        <v/>
      </c>
      <c r="U35" s="129"/>
      <c r="V35" s="130"/>
      <c r="W35" s="130"/>
      <c r="X35" s="131"/>
      <c r="Y35" s="138" t="str">
        <v/>
      </c>
      <c r="Z35" s="129"/>
      <c r="AA35" s="130"/>
      <c r="AB35" s="130"/>
      <c r="AC35" s="131"/>
      <c r="AD35" s="138" t="str">
        <v/>
      </c>
      <c r="AE35" s="129"/>
      <c r="AF35" s="130"/>
      <c r="AG35" s="130"/>
      <c r="AH35" s="131"/>
      <c r="AI35" s="138" t="str">
        <v/>
      </c>
      <c r="AJ35" s="129"/>
      <c r="AK35" s="130"/>
      <c r="AL35" s="130"/>
      <c r="AM35" s="131"/>
      <c r="AN35" s="138" t="str">
        <v/>
      </c>
      <c r="AO35" s="129"/>
      <c r="AP35" s="130"/>
      <c r="AQ35" s="130"/>
      <c r="AR35" s="131"/>
      <c r="AS35" s="138" t="str">
        <v/>
      </c>
      <c r="AT35" s="129"/>
      <c r="AU35" s="130"/>
      <c r="AV35" s="130"/>
      <c r="AW35" s="131"/>
      <c r="AX35" s="138" t="str">
        <v/>
      </c>
      <c r="AY35" s="129"/>
      <c r="AZ35" s="130"/>
      <c r="BA35" s="130"/>
      <c r="BB35" s="131"/>
      <c r="BC35" s="138" t="str">
        <v/>
      </c>
      <c r="BD35" s="146" t="str">
        <v/>
      </c>
      <c r="BE35" s="133"/>
    </row>
    <row r="36" spans="1:57">
      <c r="A36" s="48"/>
      <c r="B36" s="147"/>
      <c r="C36" s="148"/>
      <c r="D36" s="149"/>
      <c r="E36" s="124"/>
      <c r="F36" s="125"/>
      <c r="G36" s="126"/>
      <c r="H36" s="126"/>
      <c r="I36" s="127"/>
      <c r="J36" s="137" t="str">
        <v/>
      </c>
      <c r="K36" s="125"/>
      <c r="L36" s="126"/>
      <c r="M36" s="126"/>
      <c r="N36" s="127"/>
      <c r="O36" s="137" t="str">
        <v/>
      </c>
      <c r="P36" s="125"/>
      <c r="Q36" s="126"/>
      <c r="R36" s="126"/>
      <c r="S36" s="127"/>
      <c r="T36" s="137" t="str">
        <v/>
      </c>
      <c r="U36" s="129"/>
      <c r="V36" s="130"/>
      <c r="W36" s="130"/>
      <c r="X36" s="131"/>
      <c r="Y36" s="138" t="str">
        <v/>
      </c>
      <c r="Z36" s="129"/>
      <c r="AA36" s="130"/>
      <c r="AB36" s="130"/>
      <c r="AC36" s="131"/>
      <c r="AD36" s="138" t="str">
        <v/>
      </c>
      <c r="AE36" s="129"/>
      <c r="AF36" s="130"/>
      <c r="AG36" s="130"/>
      <c r="AH36" s="131"/>
      <c r="AI36" s="138" t="str">
        <v/>
      </c>
      <c r="AJ36" s="129"/>
      <c r="AK36" s="130"/>
      <c r="AL36" s="130"/>
      <c r="AM36" s="131"/>
      <c r="AN36" s="138" t="str">
        <v/>
      </c>
      <c r="AO36" s="129"/>
      <c r="AP36" s="130"/>
      <c r="AQ36" s="130"/>
      <c r="AR36" s="131"/>
      <c r="AS36" s="138" t="str">
        <v/>
      </c>
      <c r="AT36" s="129"/>
      <c r="AU36" s="130"/>
      <c r="AV36" s="130"/>
      <c r="AW36" s="131"/>
      <c r="AX36" s="138" t="str">
        <v/>
      </c>
      <c r="AY36" s="129"/>
      <c r="AZ36" s="130"/>
      <c r="BA36" s="130"/>
      <c r="BB36" s="131"/>
      <c r="BC36" s="138" t="str">
        <v/>
      </c>
      <c r="BD36" s="146" t="str">
        <v/>
      </c>
      <c r="BE36" s="133"/>
    </row>
    <row r="37" spans="1:57">
      <c r="A37" s="48"/>
      <c r="B37" s="147"/>
      <c r="C37" s="148"/>
      <c r="D37" s="149"/>
      <c r="E37" s="124"/>
      <c r="F37" s="125"/>
      <c r="G37" s="126"/>
      <c r="H37" s="126"/>
      <c r="I37" s="127"/>
      <c r="J37" s="137" t="str">
        <v/>
      </c>
      <c r="K37" s="125"/>
      <c r="L37" s="126"/>
      <c r="M37" s="126"/>
      <c r="N37" s="127"/>
      <c r="O37" s="137" t="str">
        <v/>
      </c>
      <c r="P37" s="125"/>
      <c r="Q37" s="126"/>
      <c r="R37" s="126"/>
      <c r="S37" s="127"/>
      <c r="T37" s="137" t="str">
        <v/>
      </c>
      <c r="U37" s="129"/>
      <c r="V37" s="130"/>
      <c r="W37" s="130"/>
      <c r="X37" s="131"/>
      <c r="Y37" s="138" t="str">
        <v/>
      </c>
      <c r="Z37" s="129"/>
      <c r="AA37" s="130"/>
      <c r="AB37" s="130"/>
      <c r="AC37" s="131"/>
      <c r="AD37" s="138" t="str">
        <v/>
      </c>
      <c r="AE37" s="129"/>
      <c r="AF37" s="130"/>
      <c r="AG37" s="130"/>
      <c r="AH37" s="131"/>
      <c r="AI37" s="138" t="str">
        <v/>
      </c>
      <c r="AJ37" s="129"/>
      <c r="AK37" s="130"/>
      <c r="AL37" s="130"/>
      <c r="AM37" s="131"/>
      <c r="AN37" s="138" t="str">
        <v/>
      </c>
      <c r="AO37" s="129"/>
      <c r="AP37" s="130"/>
      <c r="AQ37" s="130"/>
      <c r="AR37" s="131"/>
      <c r="AS37" s="138" t="str">
        <v/>
      </c>
      <c r="AT37" s="129"/>
      <c r="AU37" s="130"/>
      <c r="AV37" s="130"/>
      <c r="AW37" s="131"/>
      <c r="AX37" s="138" t="str">
        <v/>
      </c>
      <c r="AY37" s="129"/>
      <c r="AZ37" s="130"/>
      <c r="BA37" s="130"/>
      <c r="BB37" s="131"/>
      <c r="BC37" s="138" t="str">
        <v/>
      </c>
      <c r="BD37" s="146" t="str">
        <v/>
      </c>
      <c r="BE37" s="133"/>
    </row>
    <row r="38" spans="1:57">
      <c r="A38" s="48"/>
      <c r="B38" s="147"/>
      <c r="C38" s="148"/>
      <c r="D38" s="149"/>
      <c r="E38" s="124"/>
      <c r="F38" s="125"/>
      <c r="G38" s="126"/>
      <c r="H38" s="126"/>
      <c r="I38" s="127"/>
      <c r="J38" s="137" t="str">
        <v/>
      </c>
      <c r="K38" s="125"/>
      <c r="L38" s="126"/>
      <c r="M38" s="126"/>
      <c r="N38" s="127"/>
      <c r="O38" s="137" t="str">
        <v/>
      </c>
      <c r="P38" s="125"/>
      <c r="Q38" s="126"/>
      <c r="R38" s="126"/>
      <c r="S38" s="127"/>
      <c r="T38" s="137" t="str">
        <v/>
      </c>
      <c r="U38" s="129"/>
      <c r="V38" s="130"/>
      <c r="W38" s="130"/>
      <c r="X38" s="131"/>
      <c r="Y38" s="138" t="str">
        <v/>
      </c>
      <c r="Z38" s="129"/>
      <c r="AA38" s="130"/>
      <c r="AB38" s="130"/>
      <c r="AC38" s="131"/>
      <c r="AD38" s="138" t="str">
        <v/>
      </c>
      <c r="AE38" s="129"/>
      <c r="AF38" s="130"/>
      <c r="AG38" s="130"/>
      <c r="AH38" s="131"/>
      <c r="AI38" s="138" t="str">
        <v/>
      </c>
      <c r="AJ38" s="129"/>
      <c r="AK38" s="130"/>
      <c r="AL38" s="130"/>
      <c r="AM38" s="131"/>
      <c r="AN38" s="138" t="str">
        <v/>
      </c>
      <c r="AO38" s="129"/>
      <c r="AP38" s="130"/>
      <c r="AQ38" s="130"/>
      <c r="AR38" s="131"/>
      <c r="AS38" s="138" t="str">
        <v/>
      </c>
      <c r="AT38" s="129"/>
      <c r="AU38" s="130"/>
      <c r="AV38" s="130"/>
      <c r="AW38" s="131"/>
      <c r="AX38" s="138" t="str">
        <v/>
      </c>
      <c r="AY38" s="129"/>
      <c r="AZ38" s="130"/>
      <c r="BA38" s="130"/>
      <c r="BB38" s="131"/>
      <c r="BC38" s="138" t="str">
        <v/>
      </c>
      <c r="BD38" s="146" t="str">
        <v/>
      </c>
      <c r="BE38" s="133"/>
    </row>
    <row r="39" spans="1:57">
      <c r="A39" s="48"/>
      <c r="B39" s="147"/>
      <c r="C39" s="148"/>
      <c r="D39" s="149"/>
      <c r="E39" s="124"/>
      <c r="F39" s="125"/>
      <c r="G39" s="126"/>
      <c r="H39" s="126"/>
      <c r="I39" s="127"/>
      <c r="J39" s="137" t="str">
        <v/>
      </c>
      <c r="K39" s="125"/>
      <c r="L39" s="126"/>
      <c r="M39" s="126"/>
      <c r="N39" s="127"/>
      <c r="O39" s="137" t="str">
        <v/>
      </c>
      <c r="P39" s="125"/>
      <c r="Q39" s="126"/>
      <c r="R39" s="126"/>
      <c r="S39" s="127"/>
      <c r="T39" s="137" t="str">
        <v/>
      </c>
      <c r="U39" s="129"/>
      <c r="V39" s="130"/>
      <c r="W39" s="130"/>
      <c r="X39" s="131"/>
      <c r="Y39" s="138" t="str">
        <v/>
      </c>
      <c r="Z39" s="129"/>
      <c r="AA39" s="130"/>
      <c r="AB39" s="130"/>
      <c r="AC39" s="131"/>
      <c r="AD39" s="138" t="str">
        <v/>
      </c>
      <c r="AE39" s="129"/>
      <c r="AF39" s="130"/>
      <c r="AG39" s="130"/>
      <c r="AH39" s="131"/>
      <c r="AI39" s="138" t="str">
        <v/>
      </c>
      <c r="AJ39" s="129"/>
      <c r="AK39" s="130"/>
      <c r="AL39" s="130"/>
      <c r="AM39" s="131"/>
      <c r="AN39" s="138" t="str">
        <v/>
      </c>
      <c r="AO39" s="129"/>
      <c r="AP39" s="130"/>
      <c r="AQ39" s="130"/>
      <c r="AR39" s="131"/>
      <c r="AS39" s="138" t="str">
        <v/>
      </c>
      <c r="AT39" s="129"/>
      <c r="AU39" s="130"/>
      <c r="AV39" s="130"/>
      <c r="AW39" s="131"/>
      <c r="AX39" s="138" t="str">
        <v/>
      </c>
      <c r="AY39" s="129"/>
      <c r="AZ39" s="130"/>
      <c r="BA39" s="130"/>
      <c r="BB39" s="131"/>
      <c r="BC39" s="138" t="str">
        <v/>
      </c>
      <c r="BD39" s="146" t="str">
        <v/>
      </c>
      <c r="BE39" s="133"/>
    </row>
    <row r="40" spans="1:57">
      <c r="A40" s="48"/>
      <c r="B40" s="147"/>
      <c r="C40" s="148"/>
      <c r="D40" s="149"/>
      <c r="E40" s="124"/>
      <c r="F40" s="125"/>
      <c r="G40" s="126"/>
      <c r="H40" s="126"/>
      <c r="I40" s="127"/>
      <c r="J40" s="137" t="str">
        <v/>
      </c>
      <c r="K40" s="125"/>
      <c r="L40" s="126"/>
      <c r="M40" s="126"/>
      <c r="N40" s="127"/>
      <c r="O40" s="137" t="str">
        <v/>
      </c>
      <c r="P40" s="125"/>
      <c r="Q40" s="126"/>
      <c r="R40" s="126"/>
      <c r="S40" s="127"/>
      <c r="T40" s="137" t="str">
        <v/>
      </c>
      <c r="U40" s="129"/>
      <c r="V40" s="130"/>
      <c r="W40" s="130"/>
      <c r="X40" s="131"/>
      <c r="Y40" s="138" t="str">
        <v/>
      </c>
      <c r="Z40" s="129"/>
      <c r="AA40" s="130"/>
      <c r="AB40" s="130"/>
      <c r="AC40" s="131"/>
      <c r="AD40" s="138" t="str">
        <v/>
      </c>
      <c r="AE40" s="129"/>
      <c r="AF40" s="130"/>
      <c r="AG40" s="130"/>
      <c r="AH40" s="131"/>
      <c r="AI40" s="138" t="str">
        <v/>
      </c>
      <c r="AJ40" s="129"/>
      <c r="AK40" s="130"/>
      <c r="AL40" s="130"/>
      <c r="AM40" s="131"/>
      <c r="AN40" s="138" t="str">
        <v/>
      </c>
      <c r="AO40" s="129"/>
      <c r="AP40" s="130"/>
      <c r="AQ40" s="130"/>
      <c r="AR40" s="131"/>
      <c r="AS40" s="138" t="str">
        <v/>
      </c>
      <c r="AT40" s="129"/>
      <c r="AU40" s="130"/>
      <c r="AV40" s="130"/>
      <c r="AW40" s="131"/>
      <c r="AX40" s="138" t="str">
        <v/>
      </c>
      <c r="AY40" s="129"/>
      <c r="AZ40" s="130"/>
      <c r="BA40" s="130"/>
      <c r="BB40" s="131"/>
      <c r="BC40" s="138" t="str">
        <v/>
      </c>
      <c r="BD40" s="146" t="str">
        <v/>
      </c>
      <c r="BE40" s="133"/>
    </row>
    <row r="41" spans="1:57">
      <c r="A41" s="48"/>
      <c r="B41" s="147"/>
      <c r="C41" s="148"/>
      <c r="D41" s="149"/>
      <c r="E41" s="124"/>
      <c r="F41" s="125"/>
      <c r="G41" s="126"/>
      <c r="H41" s="126"/>
      <c r="I41" s="127"/>
      <c r="J41" s="137" t="str">
        <v/>
      </c>
      <c r="K41" s="125"/>
      <c r="L41" s="126"/>
      <c r="M41" s="126"/>
      <c r="N41" s="127"/>
      <c r="O41" s="137" t="str">
        <v/>
      </c>
      <c r="P41" s="125"/>
      <c r="Q41" s="126"/>
      <c r="R41" s="126"/>
      <c r="S41" s="127"/>
      <c r="T41" s="137" t="str">
        <v/>
      </c>
      <c r="U41" s="129"/>
      <c r="V41" s="130"/>
      <c r="W41" s="130"/>
      <c r="X41" s="131"/>
      <c r="Y41" s="138" t="str">
        <v/>
      </c>
      <c r="Z41" s="129"/>
      <c r="AA41" s="130"/>
      <c r="AB41" s="130"/>
      <c r="AC41" s="131"/>
      <c r="AD41" s="138" t="str">
        <v/>
      </c>
      <c r="AE41" s="129"/>
      <c r="AF41" s="130"/>
      <c r="AG41" s="130"/>
      <c r="AH41" s="131"/>
      <c r="AI41" s="138" t="str">
        <v/>
      </c>
      <c r="AJ41" s="129"/>
      <c r="AK41" s="130"/>
      <c r="AL41" s="130"/>
      <c r="AM41" s="131"/>
      <c r="AN41" s="138" t="str">
        <v/>
      </c>
      <c r="AO41" s="129"/>
      <c r="AP41" s="130"/>
      <c r="AQ41" s="130"/>
      <c r="AR41" s="131"/>
      <c r="AS41" s="138" t="str">
        <v/>
      </c>
      <c r="AT41" s="129"/>
      <c r="AU41" s="130"/>
      <c r="AV41" s="130"/>
      <c r="AW41" s="131"/>
      <c r="AX41" s="138" t="str">
        <v/>
      </c>
      <c r="AY41" s="129"/>
      <c r="AZ41" s="130"/>
      <c r="BA41" s="130"/>
      <c r="BB41" s="131"/>
      <c r="BC41" s="138" t="str">
        <v/>
      </c>
      <c r="BD41" s="146" t="str">
        <v/>
      </c>
      <c r="BE41" s="133"/>
    </row>
    <row r="42" spans="1:57">
      <c r="A42" s="48"/>
      <c r="B42" s="147"/>
      <c r="C42" s="148"/>
      <c r="D42" s="149"/>
      <c r="E42" s="124"/>
      <c r="F42" s="125"/>
      <c r="G42" s="126"/>
      <c r="H42" s="126"/>
      <c r="I42" s="127"/>
      <c r="J42" s="137" t="str">
        <v/>
      </c>
      <c r="K42" s="125"/>
      <c r="L42" s="126"/>
      <c r="M42" s="126"/>
      <c r="N42" s="127"/>
      <c r="O42" s="137" t="str">
        <v/>
      </c>
      <c r="P42" s="125"/>
      <c r="Q42" s="126"/>
      <c r="R42" s="126"/>
      <c r="S42" s="127"/>
      <c r="T42" s="137" t="str">
        <v/>
      </c>
      <c r="U42" s="129"/>
      <c r="V42" s="130"/>
      <c r="W42" s="130"/>
      <c r="X42" s="131"/>
      <c r="Y42" s="138" t="str">
        <v/>
      </c>
      <c r="Z42" s="129"/>
      <c r="AA42" s="130"/>
      <c r="AB42" s="130"/>
      <c r="AC42" s="131"/>
      <c r="AD42" s="138" t="str">
        <v/>
      </c>
      <c r="AE42" s="129"/>
      <c r="AF42" s="130"/>
      <c r="AG42" s="130"/>
      <c r="AH42" s="131"/>
      <c r="AI42" s="138" t="str">
        <v/>
      </c>
      <c r="AJ42" s="129"/>
      <c r="AK42" s="130"/>
      <c r="AL42" s="130"/>
      <c r="AM42" s="131"/>
      <c r="AN42" s="138" t="str">
        <v/>
      </c>
      <c r="AO42" s="129"/>
      <c r="AP42" s="130"/>
      <c r="AQ42" s="130"/>
      <c r="AR42" s="131"/>
      <c r="AS42" s="138" t="str">
        <v/>
      </c>
      <c r="AT42" s="129"/>
      <c r="AU42" s="130"/>
      <c r="AV42" s="130"/>
      <c r="AW42" s="131"/>
      <c r="AX42" s="138" t="str">
        <v/>
      </c>
      <c r="AY42" s="129"/>
      <c r="AZ42" s="130"/>
      <c r="BA42" s="130"/>
      <c r="BB42" s="131"/>
      <c r="BC42" s="138" t="str">
        <v/>
      </c>
      <c r="BD42" s="146" t="str">
        <v/>
      </c>
      <c r="BE42" s="133"/>
    </row>
    <row r="43" spans="1:57">
      <c r="A43" s="48"/>
      <c r="B43" s="147"/>
      <c r="C43" s="148"/>
      <c r="D43" s="149"/>
      <c r="E43" s="124"/>
      <c r="F43" s="125"/>
      <c r="G43" s="126"/>
      <c r="H43" s="126"/>
      <c r="I43" s="127"/>
      <c r="J43" s="137" t="str">
        <v/>
      </c>
      <c r="K43" s="125"/>
      <c r="L43" s="126"/>
      <c r="M43" s="126"/>
      <c r="N43" s="127"/>
      <c r="O43" s="137" t="str">
        <v/>
      </c>
      <c r="P43" s="125"/>
      <c r="Q43" s="126"/>
      <c r="R43" s="126"/>
      <c r="S43" s="127"/>
      <c r="T43" s="137" t="str">
        <v/>
      </c>
      <c r="U43" s="129"/>
      <c r="V43" s="130"/>
      <c r="W43" s="130"/>
      <c r="X43" s="131"/>
      <c r="Y43" s="138" t="str">
        <v/>
      </c>
      <c r="Z43" s="129"/>
      <c r="AA43" s="130"/>
      <c r="AB43" s="130"/>
      <c r="AC43" s="131"/>
      <c r="AD43" s="138" t="str">
        <v/>
      </c>
      <c r="AE43" s="129"/>
      <c r="AF43" s="130"/>
      <c r="AG43" s="130"/>
      <c r="AH43" s="131"/>
      <c r="AI43" s="138" t="str">
        <v/>
      </c>
      <c r="AJ43" s="129"/>
      <c r="AK43" s="130"/>
      <c r="AL43" s="130"/>
      <c r="AM43" s="131"/>
      <c r="AN43" s="138" t="str">
        <v/>
      </c>
      <c r="AO43" s="129"/>
      <c r="AP43" s="130"/>
      <c r="AQ43" s="130"/>
      <c r="AR43" s="131"/>
      <c r="AS43" s="138" t="str">
        <v/>
      </c>
      <c r="AT43" s="129"/>
      <c r="AU43" s="130"/>
      <c r="AV43" s="130"/>
      <c r="AW43" s="131"/>
      <c r="AX43" s="138" t="str">
        <v/>
      </c>
      <c r="AY43" s="129"/>
      <c r="AZ43" s="130"/>
      <c r="BA43" s="130"/>
      <c r="BB43" s="131"/>
      <c r="BC43" s="138" t="str">
        <v/>
      </c>
      <c r="BD43" s="146" t="str">
        <v/>
      </c>
      <c r="BE43" s="133"/>
    </row>
    <row r="44" spans="1:57">
      <c r="A44" s="48"/>
      <c r="B44" s="147"/>
      <c r="C44" s="148"/>
      <c r="D44" s="149"/>
      <c r="E44" s="124"/>
      <c r="F44" s="125"/>
      <c r="G44" s="126"/>
      <c r="H44" s="126"/>
      <c r="I44" s="127"/>
      <c r="J44" s="137" t="str">
        <v/>
      </c>
      <c r="K44" s="125"/>
      <c r="L44" s="126"/>
      <c r="M44" s="126"/>
      <c r="N44" s="127"/>
      <c r="O44" s="137" t="str">
        <v/>
      </c>
      <c r="P44" s="125"/>
      <c r="Q44" s="126"/>
      <c r="R44" s="126"/>
      <c r="S44" s="127"/>
      <c r="T44" s="137" t="str">
        <v/>
      </c>
      <c r="U44" s="129"/>
      <c r="V44" s="130"/>
      <c r="W44" s="130"/>
      <c r="X44" s="131"/>
      <c r="Y44" s="138" t="str">
        <v/>
      </c>
      <c r="Z44" s="129"/>
      <c r="AA44" s="130"/>
      <c r="AB44" s="130"/>
      <c r="AC44" s="131"/>
      <c r="AD44" s="138" t="str">
        <v/>
      </c>
      <c r="AE44" s="129"/>
      <c r="AF44" s="130"/>
      <c r="AG44" s="130"/>
      <c r="AH44" s="131"/>
      <c r="AI44" s="138" t="str">
        <v/>
      </c>
      <c r="AJ44" s="129"/>
      <c r="AK44" s="130"/>
      <c r="AL44" s="130"/>
      <c r="AM44" s="131"/>
      <c r="AN44" s="138" t="str">
        <v/>
      </c>
      <c r="AO44" s="129"/>
      <c r="AP44" s="130"/>
      <c r="AQ44" s="130"/>
      <c r="AR44" s="131"/>
      <c r="AS44" s="138" t="str">
        <v/>
      </c>
      <c r="AT44" s="129"/>
      <c r="AU44" s="130"/>
      <c r="AV44" s="130"/>
      <c r="AW44" s="131"/>
      <c r="AX44" s="138" t="str">
        <v/>
      </c>
      <c r="AY44" s="129"/>
      <c r="AZ44" s="130"/>
      <c r="BA44" s="130"/>
      <c r="BB44" s="131"/>
      <c r="BC44" s="138" t="str">
        <v/>
      </c>
      <c r="BD44" s="146" t="str">
        <v/>
      </c>
      <c r="BE44" s="133"/>
    </row>
    <row r="45" spans="1:57">
      <c r="A45" s="48"/>
      <c r="B45" s="147"/>
      <c r="C45" s="148"/>
      <c r="D45" s="149"/>
      <c r="E45" s="124"/>
      <c r="F45" s="125"/>
      <c r="G45" s="126"/>
      <c r="H45" s="126"/>
      <c r="I45" s="127"/>
      <c r="J45" s="137" t="str">
        <v/>
      </c>
      <c r="K45" s="125"/>
      <c r="L45" s="126"/>
      <c r="M45" s="126"/>
      <c r="N45" s="127"/>
      <c r="O45" s="137" t="str">
        <v/>
      </c>
      <c r="P45" s="125"/>
      <c r="Q45" s="126"/>
      <c r="R45" s="126"/>
      <c r="S45" s="127"/>
      <c r="T45" s="137" t="str">
        <v/>
      </c>
      <c r="U45" s="129"/>
      <c r="V45" s="130"/>
      <c r="W45" s="130"/>
      <c r="X45" s="131"/>
      <c r="Y45" s="138" t="str">
        <v/>
      </c>
      <c r="Z45" s="129"/>
      <c r="AA45" s="130"/>
      <c r="AB45" s="130"/>
      <c r="AC45" s="131"/>
      <c r="AD45" s="138" t="str">
        <v/>
      </c>
      <c r="AE45" s="129"/>
      <c r="AF45" s="130"/>
      <c r="AG45" s="130"/>
      <c r="AH45" s="131"/>
      <c r="AI45" s="138" t="str">
        <v/>
      </c>
      <c r="AJ45" s="129"/>
      <c r="AK45" s="130"/>
      <c r="AL45" s="130"/>
      <c r="AM45" s="131"/>
      <c r="AN45" s="138" t="str">
        <v/>
      </c>
      <c r="AO45" s="129"/>
      <c r="AP45" s="130"/>
      <c r="AQ45" s="130"/>
      <c r="AR45" s="131"/>
      <c r="AS45" s="138" t="str">
        <v/>
      </c>
      <c r="AT45" s="129"/>
      <c r="AU45" s="130"/>
      <c r="AV45" s="130"/>
      <c r="AW45" s="131"/>
      <c r="AX45" s="138" t="str">
        <v/>
      </c>
      <c r="AY45" s="129"/>
      <c r="AZ45" s="130"/>
      <c r="BA45" s="130"/>
      <c r="BB45" s="131"/>
      <c r="BC45" s="138" t="str">
        <v/>
      </c>
      <c r="BD45" s="146" t="str">
        <v/>
      </c>
      <c r="BE45" s="133"/>
    </row>
    <row r="46" spans="1:57">
      <c r="A46" s="48"/>
      <c r="B46" s="147"/>
      <c r="C46" s="148"/>
      <c r="D46" s="149"/>
      <c r="E46" s="124"/>
      <c r="F46" s="125"/>
      <c r="G46" s="126"/>
      <c r="H46" s="126"/>
      <c r="I46" s="127"/>
      <c r="J46" s="137" t="str">
        <v/>
      </c>
      <c r="K46" s="125"/>
      <c r="L46" s="126"/>
      <c r="M46" s="126"/>
      <c r="N46" s="127"/>
      <c r="O46" s="137" t="str">
        <v/>
      </c>
      <c r="P46" s="125"/>
      <c r="Q46" s="126"/>
      <c r="R46" s="126"/>
      <c r="S46" s="127"/>
      <c r="T46" s="137" t="str">
        <v/>
      </c>
      <c r="U46" s="129"/>
      <c r="V46" s="130"/>
      <c r="W46" s="130"/>
      <c r="X46" s="131"/>
      <c r="Y46" s="138" t="str">
        <v/>
      </c>
      <c r="Z46" s="129"/>
      <c r="AA46" s="130"/>
      <c r="AB46" s="130"/>
      <c r="AC46" s="131"/>
      <c r="AD46" s="138" t="str">
        <v/>
      </c>
      <c r="AE46" s="129"/>
      <c r="AF46" s="130"/>
      <c r="AG46" s="130"/>
      <c r="AH46" s="131"/>
      <c r="AI46" s="138" t="str">
        <v/>
      </c>
      <c r="AJ46" s="129"/>
      <c r="AK46" s="130"/>
      <c r="AL46" s="130"/>
      <c r="AM46" s="131"/>
      <c r="AN46" s="138" t="str">
        <v/>
      </c>
      <c r="AO46" s="129"/>
      <c r="AP46" s="130"/>
      <c r="AQ46" s="130"/>
      <c r="AR46" s="131"/>
      <c r="AS46" s="138" t="str">
        <v/>
      </c>
      <c r="AT46" s="129"/>
      <c r="AU46" s="130"/>
      <c r="AV46" s="130"/>
      <c r="AW46" s="131"/>
      <c r="AX46" s="138" t="str">
        <v/>
      </c>
      <c r="AY46" s="129"/>
      <c r="AZ46" s="130"/>
      <c r="BA46" s="130"/>
      <c r="BB46" s="131"/>
      <c r="BC46" s="138" t="str">
        <v/>
      </c>
      <c r="BD46" s="146" t="str">
        <v/>
      </c>
      <c r="BE46" s="133"/>
    </row>
    <row r="47" spans="1:57">
      <c r="A47" s="48"/>
      <c r="B47" s="147"/>
      <c r="C47" s="148"/>
      <c r="D47" s="149"/>
      <c r="E47" s="124"/>
      <c r="F47" s="125"/>
      <c r="G47" s="126"/>
      <c r="H47" s="126"/>
      <c r="I47" s="127"/>
      <c r="J47" s="137" t="str">
        <v/>
      </c>
      <c r="K47" s="125"/>
      <c r="L47" s="126"/>
      <c r="M47" s="126"/>
      <c r="N47" s="127"/>
      <c r="O47" s="137" t="str">
        <v/>
      </c>
      <c r="P47" s="125"/>
      <c r="Q47" s="126"/>
      <c r="R47" s="126"/>
      <c r="S47" s="127"/>
      <c r="T47" s="137" t="str">
        <v/>
      </c>
      <c r="U47" s="129"/>
      <c r="V47" s="130"/>
      <c r="W47" s="130"/>
      <c r="X47" s="131"/>
      <c r="Y47" s="138" t="str">
        <v/>
      </c>
      <c r="Z47" s="129"/>
      <c r="AA47" s="130"/>
      <c r="AB47" s="130"/>
      <c r="AC47" s="131"/>
      <c r="AD47" s="138" t="str">
        <v/>
      </c>
      <c r="AE47" s="129"/>
      <c r="AF47" s="130"/>
      <c r="AG47" s="130"/>
      <c r="AH47" s="131"/>
      <c r="AI47" s="138" t="str">
        <v/>
      </c>
      <c r="AJ47" s="129"/>
      <c r="AK47" s="130"/>
      <c r="AL47" s="130"/>
      <c r="AM47" s="131"/>
      <c r="AN47" s="138" t="str">
        <v/>
      </c>
      <c r="AO47" s="129"/>
      <c r="AP47" s="130"/>
      <c r="AQ47" s="130"/>
      <c r="AR47" s="131"/>
      <c r="AS47" s="138" t="str">
        <v/>
      </c>
      <c r="AT47" s="129"/>
      <c r="AU47" s="130"/>
      <c r="AV47" s="130"/>
      <c r="AW47" s="131"/>
      <c r="AX47" s="138" t="str">
        <v/>
      </c>
      <c r="AY47" s="129"/>
      <c r="AZ47" s="130"/>
      <c r="BA47" s="130"/>
      <c r="BB47" s="131"/>
      <c r="BC47" s="138" t="str">
        <v/>
      </c>
      <c r="BD47" s="146" t="str">
        <v/>
      </c>
      <c r="BE47" s="133"/>
    </row>
    <row r="48" spans="1:57">
      <c r="A48" s="48"/>
      <c r="B48" s="147"/>
      <c r="C48" s="148"/>
      <c r="D48" s="149"/>
      <c r="E48" s="124"/>
      <c r="F48" s="125"/>
      <c r="G48" s="126"/>
      <c r="H48" s="126"/>
      <c r="I48" s="127"/>
      <c r="J48" s="137" t="str">
        <v/>
      </c>
      <c r="K48" s="125"/>
      <c r="L48" s="126"/>
      <c r="M48" s="126"/>
      <c r="N48" s="127"/>
      <c r="O48" s="137" t="str">
        <v/>
      </c>
      <c r="P48" s="125"/>
      <c r="Q48" s="126"/>
      <c r="R48" s="126"/>
      <c r="S48" s="127"/>
      <c r="T48" s="137" t="str">
        <v/>
      </c>
      <c r="U48" s="129"/>
      <c r="V48" s="130"/>
      <c r="W48" s="130"/>
      <c r="X48" s="131"/>
      <c r="Y48" s="138" t="str">
        <v/>
      </c>
      <c r="Z48" s="129"/>
      <c r="AA48" s="130"/>
      <c r="AB48" s="130"/>
      <c r="AC48" s="131"/>
      <c r="AD48" s="138" t="str">
        <v/>
      </c>
      <c r="AE48" s="129"/>
      <c r="AF48" s="130"/>
      <c r="AG48" s="130"/>
      <c r="AH48" s="131"/>
      <c r="AI48" s="138" t="str">
        <v/>
      </c>
      <c r="AJ48" s="129"/>
      <c r="AK48" s="130"/>
      <c r="AL48" s="130"/>
      <c r="AM48" s="131"/>
      <c r="AN48" s="138" t="str">
        <v/>
      </c>
      <c r="AO48" s="129"/>
      <c r="AP48" s="130"/>
      <c r="AQ48" s="130"/>
      <c r="AR48" s="131"/>
      <c r="AS48" s="138" t="str">
        <v/>
      </c>
      <c r="AT48" s="129"/>
      <c r="AU48" s="130"/>
      <c r="AV48" s="130"/>
      <c r="AW48" s="131"/>
      <c r="AX48" s="138" t="str">
        <v/>
      </c>
      <c r="AY48" s="129"/>
      <c r="AZ48" s="130"/>
      <c r="BA48" s="130"/>
      <c r="BB48" s="131"/>
      <c r="BC48" s="138" t="str">
        <v/>
      </c>
      <c r="BD48" s="146" t="str">
        <v/>
      </c>
      <c r="BE48" s="133"/>
    </row>
    <row r="49" spans="1:57">
      <c r="A49" s="48"/>
      <c r="B49" s="147"/>
      <c r="C49" s="148"/>
      <c r="D49" s="149"/>
      <c r="E49" s="124"/>
      <c r="F49" s="125"/>
      <c r="G49" s="126"/>
      <c r="H49" s="126"/>
      <c r="I49" s="127"/>
      <c r="J49" s="137" t="str">
        <v/>
      </c>
      <c r="K49" s="125"/>
      <c r="L49" s="126"/>
      <c r="M49" s="126"/>
      <c r="N49" s="127"/>
      <c r="O49" s="137" t="str">
        <v/>
      </c>
      <c r="P49" s="125"/>
      <c r="Q49" s="126"/>
      <c r="R49" s="126"/>
      <c r="S49" s="127"/>
      <c r="T49" s="137" t="str">
        <v/>
      </c>
      <c r="U49" s="129"/>
      <c r="V49" s="130"/>
      <c r="W49" s="130"/>
      <c r="X49" s="131"/>
      <c r="Y49" s="138" t="str">
        <v/>
      </c>
      <c r="Z49" s="129"/>
      <c r="AA49" s="130"/>
      <c r="AB49" s="130"/>
      <c r="AC49" s="131"/>
      <c r="AD49" s="138" t="str">
        <v/>
      </c>
      <c r="AE49" s="129"/>
      <c r="AF49" s="130"/>
      <c r="AG49" s="130"/>
      <c r="AH49" s="131"/>
      <c r="AI49" s="138" t="str">
        <v/>
      </c>
      <c r="AJ49" s="129"/>
      <c r="AK49" s="130"/>
      <c r="AL49" s="130"/>
      <c r="AM49" s="131"/>
      <c r="AN49" s="138" t="str">
        <v/>
      </c>
      <c r="AO49" s="129"/>
      <c r="AP49" s="130"/>
      <c r="AQ49" s="130"/>
      <c r="AR49" s="131"/>
      <c r="AS49" s="138" t="str">
        <v/>
      </c>
      <c r="AT49" s="129"/>
      <c r="AU49" s="130"/>
      <c r="AV49" s="130"/>
      <c r="AW49" s="131"/>
      <c r="AX49" s="138" t="str">
        <v/>
      </c>
      <c r="AY49" s="129"/>
      <c r="AZ49" s="130"/>
      <c r="BA49" s="130"/>
      <c r="BB49" s="131"/>
      <c r="BC49" s="138" t="str">
        <v/>
      </c>
      <c r="BD49" s="146" t="str">
        <v/>
      </c>
      <c r="BE49" s="133"/>
    </row>
    <row r="50" spans="1:57">
      <c r="A50" s="48"/>
      <c r="B50" s="147"/>
      <c r="C50" s="148"/>
      <c r="D50" s="149"/>
      <c r="E50" s="124"/>
      <c r="F50" s="125"/>
      <c r="G50" s="126"/>
      <c r="H50" s="126"/>
      <c r="I50" s="127"/>
      <c r="J50" s="137" t="str">
        <v/>
      </c>
      <c r="K50" s="125"/>
      <c r="L50" s="126"/>
      <c r="M50" s="126"/>
      <c r="N50" s="127"/>
      <c r="O50" s="137" t="str">
        <v/>
      </c>
      <c r="P50" s="125"/>
      <c r="Q50" s="126"/>
      <c r="R50" s="126"/>
      <c r="S50" s="127"/>
      <c r="T50" s="137" t="str">
        <v/>
      </c>
      <c r="U50" s="129"/>
      <c r="V50" s="130"/>
      <c r="W50" s="130"/>
      <c r="X50" s="131"/>
      <c r="Y50" s="138" t="str">
        <v/>
      </c>
      <c r="Z50" s="129"/>
      <c r="AA50" s="130"/>
      <c r="AB50" s="130"/>
      <c r="AC50" s="131"/>
      <c r="AD50" s="138" t="str">
        <v/>
      </c>
      <c r="AE50" s="129"/>
      <c r="AF50" s="130"/>
      <c r="AG50" s="130"/>
      <c r="AH50" s="131"/>
      <c r="AI50" s="138" t="str">
        <v/>
      </c>
      <c r="AJ50" s="129"/>
      <c r="AK50" s="130"/>
      <c r="AL50" s="130"/>
      <c r="AM50" s="131"/>
      <c r="AN50" s="138" t="str">
        <v/>
      </c>
      <c r="AO50" s="129"/>
      <c r="AP50" s="130"/>
      <c r="AQ50" s="130"/>
      <c r="AR50" s="131"/>
      <c r="AS50" s="138" t="str">
        <v/>
      </c>
      <c r="AT50" s="129"/>
      <c r="AU50" s="130"/>
      <c r="AV50" s="130"/>
      <c r="AW50" s="131"/>
      <c r="AX50" s="138" t="str">
        <v/>
      </c>
      <c r="AY50" s="129"/>
      <c r="AZ50" s="130"/>
      <c r="BA50" s="130"/>
      <c r="BB50" s="131"/>
      <c r="BC50" s="138" t="str">
        <v/>
      </c>
      <c r="BD50" s="146" t="str">
        <v/>
      </c>
      <c r="BE50" s="133"/>
    </row>
    <row r="51" spans="1:57">
      <c r="A51" s="48"/>
      <c r="B51" s="147"/>
      <c r="C51" s="148"/>
      <c r="D51" s="149"/>
      <c r="E51" s="124"/>
      <c r="F51" s="125"/>
      <c r="G51" s="126"/>
      <c r="H51" s="126"/>
      <c r="I51" s="127"/>
      <c r="J51" s="137" t="str">
        <v/>
      </c>
      <c r="K51" s="125"/>
      <c r="L51" s="126"/>
      <c r="M51" s="126"/>
      <c r="N51" s="127"/>
      <c r="O51" s="137" t="str">
        <v/>
      </c>
      <c r="P51" s="125"/>
      <c r="Q51" s="126"/>
      <c r="R51" s="126"/>
      <c r="S51" s="127"/>
      <c r="T51" s="137" t="str">
        <v/>
      </c>
      <c r="U51" s="129"/>
      <c r="V51" s="130"/>
      <c r="W51" s="130"/>
      <c r="X51" s="131"/>
      <c r="Y51" s="138" t="str">
        <v/>
      </c>
      <c r="Z51" s="129"/>
      <c r="AA51" s="130"/>
      <c r="AB51" s="130"/>
      <c r="AC51" s="131"/>
      <c r="AD51" s="138" t="str">
        <v/>
      </c>
      <c r="AE51" s="129"/>
      <c r="AF51" s="130"/>
      <c r="AG51" s="130"/>
      <c r="AH51" s="131"/>
      <c r="AI51" s="138" t="str">
        <v/>
      </c>
      <c r="AJ51" s="129"/>
      <c r="AK51" s="130"/>
      <c r="AL51" s="130"/>
      <c r="AM51" s="131"/>
      <c r="AN51" s="138" t="str">
        <v/>
      </c>
      <c r="AO51" s="129"/>
      <c r="AP51" s="130"/>
      <c r="AQ51" s="130"/>
      <c r="AR51" s="131"/>
      <c r="AS51" s="138" t="str">
        <v/>
      </c>
      <c r="AT51" s="129"/>
      <c r="AU51" s="130"/>
      <c r="AV51" s="130"/>
      <c r="AW51" s="131"/>
      <c r="AX51" s="138" t="str">
        <v/>
      </c>
      <c r="AY51" s="129"/>
      <c r="AZ51" s="130"/>
      <c r="BA51" s="130"/>
      <c r="BB51" s="131"/>
      <c r="BC51" s="138" t="str">
        <v/>
      </c>
      <c r="BD51" s="146" t="str">
        <v/>
      </c>
      <c r="BE51" s="133"/>
    </row>
    <row r="52" spans="1:57">
      <c r="A52" s="48"/>
      <c r="B52" s="147"/>
      <c r="C52" s="148"/>
      <c r="D52" s="149"/>
      <c r="E52" s="124"/>
      <c r="F52" s="125"/>
      <c r="G52" s="126"/>
      <c r="H52" s="126"/>
      <c r="I52" s="127"/>
      <c r="J52" s="137" t="str">
        <v/>
      </c>
      <c r="K52" s="125"/>
      <c r="L52" s="126"/>
      <c r="M52" s="126"/>
      <c r="N52" s="127"/>
      <c r="O52" s="137" t="str">
        <v/>
      </c>
      <c r="P52" s="125"/>
      <c r="Q52" s="126"/>
      <c r="R52" s="126"/>
      <c r="S52" s="127"/>
      <c r="T52" s="137" t="str">
        <v/>
      </c>
      <c r="U52" s="129"/>
      <c r="V52" s="130"/>
      <c r="W52" s="130"/>
      <c r="X52" s="131"/>
      <c r="Y52" s="138" t="str">
        <v/>
      </c>
      <c r="Z52" s="129"/>
      <c r="AA52" s="130"/>
      <c r="AB52" s="130"/>
      <c r="AC52" s="131"/>
      <c r="AD52" s="138" t="str">
        <v/>
      </c>
      <c r="AE52" s="129"/>
      <c r="AF52" s="130"/>
      <c r="AG52" s="130"/>
      <c r="AH52" s="131"/>
      <c r="AI52" s="138" t="str">
        <v/>
      </c>
      <c r="AJ52" s="129"/>
      <c r="AK52" s="130"/>
      <c r="AL52" s="130"/>
      <c r="AM52" s="131"/>
      <c r="AN52" s="138" t="str">
        <v/>
      </c>
      <c r="AO52" s="129"/>
      <c r="AP52" s="130"/>
      <c r="AQ52" s="130"/>
      <c r="AR52" s="131"/>
      <c r="AS52" s="138" t="str">
        <v/>
      </c>
      <c r="AT52" s="129"/>
      <c r="AU52" s="130"/>
      <c r="AV52" s="130"/>
      <c r="AW52" s="131"/>
      <c r="AX52" s="138" t="str">
        <v/>
      </c>
      <c r="AY52" s="129"/>
      <c r="AZ52" s="130"/>
      <c r="BA52" s="130"/>
      <c r="BB52" s="131"/>
      <c r="BC52" s="138" t="str">
        <v/>
      </c>
      <c r="BD52" s="146" t="str">
        <v/>
      </c>
      <c r="BE52" s="133"/>
    </row>
    <row r="53" spans="1:57">
      <c r="A53" s="48"/>
      <c r="B53" s="147"/>
      <c r="C53" s="148"/>
      <c r="D53" s="149"/>
      <c r="E53" s="124"/>
      <c r="F53" s="125"/>
      <c r="G53" s="126"/>
      <c r="H53" s="126"/>
      <c r="I53" s="127"/>
      <c r="J53" s="137" t="str">
        <v/>
      </c>
      <c r="K53" s="125"/>
      <c r="L53" s="126"/>
      <c r="M53" s="126"/>
      <c r="N53" s="127"/>
      <c r="O53" s="137" t="str">
        <v/>
      </c>
      <c r="P53" s="125"/>
      <c r="Q53" s="126"/>
      <c r="R53" s="126"/>
      <c r="S53" s="127"/>
      <c r="T53" s="137" t="str">
        <v/>
      </c>
      <c r="U53" s="129"/>
      <c r="V53" s="130"/>
      <c r="W53" s="130"/>
      <c r="X53" s="131"/>
      <c r="Y53" s="138" t="str">
        <v/>
      </c>
      <c r="Z53" s="129"/>
      <c r="AA53" s="130"/>
      <c r="AB53" s="130"/>
      <c r="AC53" s="131"/>
      <c r="AD53" s="138" t="str">
        <v/>
      </c>
      <c r="AE53" s="129"/>
      <c r="AF53" s="130"/>
      <c r="AG53" s="130"/>
      <c r="AH53" s="131"/>
      <c r="AI53" s="138" t="str">
        <v/>
      </c>
      <c r="AJ53" s="129"/>
      <c r="AK53" s="130"/>
      <c r="AL53" s="130"/>
      <c r="AM53" s="131"/>
      <c r="AN53" s="138" t="str">
        <v/>
      </c>
      <c r="AO53" s="129"/>
      <c r="AP53" s="130"/>
      <c r="AQ53" s="130"/>
      <c r="AR53" s="131"/>
      <c r="AS53" s="138" t="str">
        <v/>
      </c>
      <c r="AT53" s="129"/>
      <c r="AU53" s="130"/>
      <c r="AV53" s="130"/>
      <c r="AW53" s="131"/>
      <c r="AX53" s="138" t="str">
        <v/>
      </c>
      <c r="AY53" s="129"/>
      <c r="AZ53" s="130"/>
      <c r="BA53" s="130"/>
      <c r="BB53" s="131"/>
      <c r="BC53" s="138" t="str">
        <v/>
      </c>
      <c r="BD53" s="146" t="str">
        <v/>
      </c>
      <c r="BE53" s="133"/>
    </row>
    <row r="54" spans="1:57">
      <c r="A54" s="48"/>
      <c r="B54" s="147"/>
      <c r="C54" s="148"/>
      <c r="D54" s="149"/>
      <c r="E54" s="124"/>
      <c r="F54" s="125"/>
      <c r="G54" s="126"/>
      <c r="H54" s="126"/>
      <c r="I54" s="127"/>
      <c r="J54" s="137" t="str">
        <v/>
      </c>
      <c r="K54" s="125"/>
      <c r="L54" s="126"/>
      <c r="M54" s="126"/>
      <c r="N54" s="127"/>
      <c r="O54" s="137" t="str">
        <v/>
      </c>
      <c r="P54" s="125"/>
      <c r="Q54" s="126"/>
      <c r="R54" s="126"/>
      <c r="S54" s="127"/>
      <c r="T54" s="137" t="str">
        <v/>
      </c>
      <c r="U54" s="129"/>
      <c r="V54" s="130"/>
      <c r="W54" s="130"/>
      <c r="X54" s="131"/>
      <c r="Y54" s="138" t="str">
        <v/>
      </c>
      <c r="Z54" s="129"/>
      <c r="AA54" s="130"/>
      <c r="AB54" s="130"/>
      <c r="AC54" s="131"/>
      <c r="AD54" s="138" t="str">
        <v/>
      </c>
      <c r="AE54" s="129"/>
      <c r="AF54" s="130"/>
      <c r="AG54" s="130"/>
      <c r="AH54" s="131"/>
      <c r="AI54" s="138" t="str">
        <v/>
      </c>
      <c r="AJ54" s="129"/>
      <c r="AK54" s="130"/>
      <c r="AL54" s="130"/>
      <c r="AM54" s="131"/>
      <c r="AN54" s="138" t="str">
        <v/>
      </c>
      <c r="AO54" s="129"/>
      <c r="AP54" s="130"/>
      <c r="AQ54" s="130"/>
      <c r="AR54" s="131"/>
      <c r="AS54" s="138" t="str">
        <v/>
      </c>
      <c r="AT54" s="129"/>
      <c r="AU54" s="130"/>
      <c r="AV54" s="130"/>
      <c r="AW54" s="131"/>
      <c r="AX54" s="138" t="str">
        <v/>
      </c>
      <c r="AY54" s="129"/>
      <c r="AZ54" s="130"/>
      <c r="BA54" s="130"/>
      <c r="BB54" s="131"/>
      <c r="BC54" s="138" t="str">
        <v/>
      </c>
      <c r="BD54" s="146" t="str">
        <v/>
      </c>
      <c r="BE54" s="133"/>
    </row>
    <row r="55" spans="1:57">
      <c r="A55" s="48"/>
      <c r="B55" s="147"/>
      <c r="C55" s="148"/>
      <c r="D55" s="149"/>
      <c r="E55" s="124"/>
      <c r="F55" s="125"/>
      <c r="G55" s="126"/>
      <c r="H55" s="126"/>
      <c r="I55" s="127"/>
      <c r="J55" s="137" t="str">
        <v/>
      </c>
      <c r="K55" s="125"/>
      <c r="L55" s="126"/>
      <c r="M55" s="126"/>
      <c r="N55" s="127"/>
      <c r="O55" s="137" t="str">
        <v/>
      </c>
      <c r="P55" s="125"/>
      <c r="Q55" s="126"/>
      <c r="R55" s="126"/>
      <c r="S55" s="127"/>
      <c r="T55" s="137" t="str">
        <v/>
      </c>
      <c r="U55" s="129"/>
      <c r="V55" s="130"/>
      <c r="W55" s="130"/>
      <c r="X55" s="131"/>
      <c r="Y55" s="138" t="str">
        <v/>
      </c>
      <c r="Z55" s="129"/>
      <c r="AA55" s="130"/>
      <c r="AB55" s="130"/>
      <c r="AC55" s="131"/>
      <c r="AD55" s="138" t="str">
        <v/>
      </c>
      <c r="AE55" s="129"/>
      <c r="AF55" s="130"/>
      <c r="AG55" s="130"/>
      <c r="AH55" s="131"/>
      <c r="AI55" s="138" t="str">
        <v/>
      </c>
      <c r="AJ55" s="129"/>
      <c r="AK55" s="130"/>
      <c r="AL55" s="130"/>
      <c r="AM55" s="131"/>
      <c r="AN55" s="138" t="str">
        <v/>
      </c>
      <c r="AO55" s="129"/>
      <c r="AP55" s="130"/>
      <c r="AQ55" s="130"/>
      <c r="AR55" s="131"/>
      <c r="AS55" s="138" t="str">
        <v/>
      </c>
      <c r="AT55" s="129"/>
      <c r="AU55" s="130"/>
      <c r="AV55" s="130"/>
      <c r="AW55" s="131"/>
      <c r="AX55" s="138" t="str">
        <v/>
      </c>
      <c r="AY55" s="129"/>
      <c r="AZ55" s="130"/>
      <c r="BA55" s="130"/>
      <c r="BB55" s="131"/>
      <c r="BC55" s="138" t="str">
        <v/>
      </c>
      <c r="BD55" s="146" t="str">
        <v/>
      </c>
      <c r="BE55" s="133"/>
    </row>
    <row r="56" spans="1:57">
      <c r="A56" s="48"/>
      <c r="B56" s="147"/>
      <c r="C56" s="148"/>
      <c r="D56" s="149"/>
      <c r="E56" s="124"/>
      <c r="F56" s="125"/>
      <c r="G56" s="126"/>
      <c r="H56" s="126"/>
      <c r="I56" s="127"/>
      <c r="J56" s="137" t="str">
        <v/>
      </c>
      <c r="K56" s="125"/>
      <c r="L56" s="126"/>
      <c r="M56" s="126"/>
      <c r="N56" s="127"/>
      <c r="O56" s="137" t="str">
        <v/>
      </c>
      <c r="P56" s="125"/>
      <c r="Q56" s="126"/>
      <c r="R56" s="126"/>
      <c r="S56" s="127"/>
      <c r="T56" s="137" t="str">
        <v/>
      </c>
      <c r="U56" s="129"/>
      <c r="V56" s="130"/>
      <c r="W56" s="130"/>
      <c r="X56" s="131"/>
      <c r="Y56" s="138" t="str">
        <v/>
      </c>
      <c r="Z56" s="129"/>
      <c r="AA56" s="130"/>
      <c r="AB56" s="130"/>
      <c r="AC56" s="131"/>
      <c r="AD56" s="138" t="str">
        <v/>
      </c>
      <c r="AE56" s="129"/>
      <c r="AF56" s="130"/>
      <c r="AG56" s="130"/>
      <c r="AH56" s="131"/>
      <c r="AI56" s="138" t="str">
        <v/>
      </c>
      <c r="AJ56" s="129"/>
      <c r="AK56" s="130"/>
      <c r="AL56" s="130"/>
      <c r="AM56" s="131"/>
      <c r="AN56" s="138" t="str">
        <v/>
      </c>
      <c r="AO56" s="129"/>
      <c r="AP56" s="130"/>
      <c r="AQ56" s="130"/>
      <c r="AR56" s="131"/>
      <c r="AS56" s="138" t="str">
        <v/>
      </c>
      <c r="AT56" s="129"/>
      <c r="AU56" s="130"/>
      <c r="AV56" s="130"/>
      <c r="AW56" s="131"/>
      <c r="AX56" s="138" t="str">
        <v/>
      </c>
      <c r="AY56" s="129"/>
      <c r="AZ56" s="130"/>
      <c r="BA56" s="130"/>
      <c r="BB56" s="131"/>
      <c r="BC56" s="138" t="str">
        <v/>
      </c>
      <c r="BD56" s="146" t="str">
        <v/>
      </c>
      <c r="BE56" s="133"/>
    </row>
    <row r="57" spans="1:57">
      <c r="A57" s="48"/>
      <c r="B57" s="147"/>
      <c r="C57" s="148"/>
      <c r="D57" s="149"/>
      <c r="E57" s="124"/>
      <c r="F57" s="125"/>
      <c r="G57" s="126"/>
      <c r="H57" s="126"/>
      <c r="I57" s="127"/>
      <c r="J57" s="137" t="str">
        <v/>
      </c>
      <c r="K57" s="125"/>
      <c r="L57" s="126"/>
      <c r="M57" s="126"/>
      <c r="N57" s="127"/>
      <c r="O57" s="137" t="str">
        <v/>
      </c>
      <c r="P57" s="125"/>
      <c r="Q57" s="126"/>
      <c r="R57" s="126"/>
      <c r="S57" s="127"/>
      <c r="T57" s="137" t="str">
        <v/>
      </c>
      <c r="U57" s="129"/>
      <c r="V57" s="130"/>
      <c r="W57" s="130"/>
      <c r="X57" s="131"/>
      <c r="Y57" s="138" t="str">
        <v/>
      </c>
      <c r="Z57" s="129"/>
      <c r="AA57" s="130"/>
      <c r="AB57" s="130"/>
      <c r="AC57" s="131"/>
      <c r="AD57" s="138" t="str">
        <v/>
      </c>
      <c r="AE57" s="129"/>
      <c r="AF57" s="130"/>
      <c r="AG57" s="130"/>
      <c r="AH57" s="131"/>
      <c r="AI57" s="138" t="str">
        <v/>
      </c>
      <c r="AJ57" s="129"/>
      <c r="AK57" s="130"/>
      <c r="AL57" s="130"/>
      <c r="AM57" s="131"/>
      <c r="AN57" s="138" t="str">
        <v/>
      </c>
      <c r="AO57" s="129"/>
      <c r="AP57" s="130"/>
      <c r="AQ57" s="130"/>
      <c r="AR57" s="131"/>
      <c r="AS57" s="138" t="str">
        <v/>
      </c>
      <c r="AT57" s="129"/>
      <c r="AU57" s="130"/>
      <c r="AV57" s="130"/>
      <c r="AW57" s="131"/>
      <c r="AX57" s="138" t="str">
        <v/>
      </c>
      <c r="AY57" s="129"/>
      <c r="AZ57" s="130"/>
      <c r="BA57" s="130"/>
      <c r="BB57" s="131"/>
      <c r="BC57" s="138" t="str">
        <v/>
      </c>
      <c r="BD57" s="146" t="str">
        <v/>
      </c>
      <c r="BE57" s="133"/>
    </row>
    <row r="58" spans="1:57">
      <c r="A58" s="48"/>
      <c r="B58" s="147"/>
      <c r="C58" s="148"/>
      <c r="D58" s="149"/>
      <c r="E58" s="124"/>
      <c r="F58" s="125"/>
      <c r="G58" s="126"/>
      <c r="H58" s="126"/>
      <c r="I58" s="127"/>
      <c r="J58" s="137" t="str">
        <v/>
      </c>
      <c r="K58" s="125"/>
      <c r="L58" s="126"/>
      <c r="M58" s="126"/>
      <c r="N58" s="127"/>
      <c r="O58" s="137" t="str">
        <v/>
      </c>
      <c r="P58" s="125"/>
      <c r="Q58" s="126"/>
      <c r="R58" s="126"/>
      <c r="S58" s="127"/>
      <c r="T58" s="137" t="str">
        <v/>
      </c>
      <c r="U58" s="129"/>
      <c r="V58" s="130"/>
      <c r="W58" s="130"/>
      <c r="X58" s="131"/>
      <c r="Y58" s="138" t="str">
        <v/>
      </c>
      <c r="Z58" s="129"/>
      <c r="AA58" s="130"/>
      <c r="AB58" s="130"/>
      <c r="AC58" s="131"/>
      <c r="AD58" s="138" t="str">
        <v/>
      </c>
      <c r="AE58" s="129"/>
      <c r="AF58" s="130"/>
      <c r="AG58" s="130"/>
      <c r="AH58" s="131"/>
      <c r="AI58" s="138" t="str">
        <v/>
      </c>
      <c r="AJ58" s="129"/>
      <c r="AK58" s="130"/>
      <c r="AL58" s="130"/>
      <c r="AM58" s="131"/>
      <c r="AN58" s="138" t="str">
        <v/>
      </c>
      <c r="AO58" s="129"/>
      <c r="AP58" s="130"/>
      <c r="AQ58" s="130"/>
      <c r="AR58" s="131"/>
      <c r="AS58" s="138" t="str">
        <v/>
      </c>
      <c r="AT58" s="129"/>
      <c r="AU58" s="130"/>
      <c r="AV58" s="130"/>
      <c r="AW58" s="131"/>
      <c r="AX58" s="138" t="str">
        <v/>
      </c>
      <c r="AY58" s="129"/>
      <c r="AZ58" s="130"/>
      <c r="BA58" s="130"/>
      <c r="BB58" s="131"/>
      <c r="BC58" s="138" t="str">
        <v/>
      </c>
      <c r="BD58" s="146" t="str">
        <v/>
      </c>
      <c r="BE58" s="133"/>
    </row>
    <row r="59" spans="1:57">
      <c r="A59" s="48"/>
      <c r="B59" s="147"/>
      <c r="C59" s="148"/>
      <c r="D59" s="149"/>
      <c r="E59" s="124"/>
      <c r="F59" s="125"/>
      <c r="G59" s="126"/>
      <c r="H59" s="126"/>
      <c r="I59" s="127"/>
      <c r="J59" s="137" t="str">
        <v/>
      </c>
      <c r="K59" s="125"/>
      <c r="L59" s="126"/>
      <c r="M59" s="126"/>
      <c r="N59" s="127"/>
      <c r="O59" s="137" t="str">
        <v/>
      </c>
      <c r="P59" s="125"/>
      <c r="Q59" s="126"/>
      <c r="R59" s="126"/>
      <c r="S59" s="127"/>
      <c r="T59" s="137" t="str">
        <v/>
      </c>
      <c r="U59" s="129"/>
      <c r="V59" s="130"/>
      <c r="W59" s="130"/>
      <c r="X59" s="131"/>
      <c r="Y59" s="138" t="str">
        <v/>
      </c>
      <c r="Z59" s="129"/>
      <c r="AA59" s="130"/>
      <c r="AB59" s="130"/>
      <c r="AC59" s="131"/>
      <c r="AD59" s="138" t="str">
        <v/>
      </c>
      <c r="AE59" s="129"/>
      <c r="AF59" s="130"/>
      <c r="AG59" s="130"/>
      <c r="AH59" s="131"/>
      <c r="AI59" s="138" t="str">
        <v/>
      </c>
      <c r="AJ59" s="129"/>
      <c r="AK59" s="130"/>
      <c r="AL59" s="130"/>
      <c r="AM59" s="131"/>
      <c r="AN59" s="138" t="str">
        <v/>
      </c>
      <c r="AO59" s="129"/>
      <c r="AP59" s="130"/>
      <c r="AQ59" s="130"/>
      <c r="AR59" s="131"/>
      <c r="AS59" s="138" t="str">
        <v/>
      </c>
      <c r="AT59" s="129"/>
      <c r="AU59" s="130"/>
      <c r="AV59" s="130"/>
      <c r="AW59" s="131"/>
      <c r="AX59" s="138" t="str">
        <v/>
      </c>
      <c r="AY59" s="129"/>
      <c r="AZ59" s="130"/>
      <c r="BA59" s="130"/>
      <c r="BB59" s="131"/>
      <c r="BC59" s="138" t="str">
        <v/>
      </c>
      <c r="BD59" s="146" t="str">
        <v/>
      </c>
      <c r="BE59" s="133"/>
    </row>
    <row r="60" spans="1:57">
      <c r="A60" s="48"/>
      <c r="B60" s="147"/>
      <c r="C60" s="148"/>
      <c r="D60" s="149"/>
      <c r="E60" s="124"/>
      <c r="F60" s="125"/>
      <c r="G60" s="126"/>
      <c r="H60" s="126"/>
      <c r="I60" s="127"/>
      <c r="J60" s="137" t="str">
        <v/>
      </c>
      <c r="K60" s="125"/>
      <c r="L60" s="126"/>
      <c r="M60" s="126"/>
      <c r="N60" s="127"/>
      <c r="O60" s="137" t="str">
        <v/>
      </c>
      <c r="P60" s="125"/>
      <c r="Q60" s="126"/>
      <c r="R60" s="126"/>
      <c r="S60" s="127"/>
      <c r="T60" s="137" t="str">
        <v/>
      </c>
      <c r="U60" s="129"/>
      <c r="V60" s="130"/>
      <c r="W60" s="130"/>
      <c r="X60" s="131"/>
      <c r="Y60" s="138" t="str">
        <v/>
      </c>
      <c r="Z60" s="129"/>
      <c r="AA60" s="130"/>
      <c r="AB60" s="130"/>
      <c r="AC60" s="131"/>
      <c r="AD60" s="138" t="str">
        <v/>
      </c>
      <c r="AE60" s="129"/>
      <c r="AF60" s="130"/>
      <c r="AG60" s="130"/>
      <c r="AH60" s="131"/>
      <c r="AI60" s="138" t="str">
        <v/>
      </c>
      <c r="AJ60" s="129"/>
      <c r="AK60" s="130"/>
      <c r="AL60" s="130"/>
      <c r="AM60" s="131"/>
      <c r="AN60" s="138" t="str">
        <v/>
      </c>
      <c r="AO60" s="129"/>
      <c r="AP60" s="130"/>
      <c r="AQ60" s="130"/>
      <c r="AR60" s="131"/>
      <c r="AS60" s="138" t="str">
        <v/>
      </c>
      <c r="AT60" s="129"/>
      <c r="AU60" s="130"/>
      <c r="AV60" s="130"/>
      <c r="AW60" s="131"/>
      <c r="AX60" s="138" t="str">
        <v/>
      </c>
      <c r="AY60" s="129"/>
      <c r="AZ60" s="130"/>
      <c r="BA60" s="130"/>
      <c r="BB60" s="131"/>
      <c r="BC60" s="138" t="str">
        <v/>
      </c>
      <c r="BD60" s="146" t="str">
        <v/>
      </c>
      <c r="BE60" s="133"/>
    </row>
    <row r="61" spans="1:57">
      <c r="A61" s="48"/>
      <c r="B61" s="147"/>
      <c r="C61" s="148"/>
      <c r="D61" s="149"/>
      <c r="E61" s="124"/>
      <c r="F61" s="125"/>
      <c r="G61" s="126"/>
      <c r="H61" s="126"/>
      <c r="I61" s="127"/>
      <c r="J61" s="137" t="str">
        <v/>
      </c>
      <c r="K61" s="125"/>
      <c r="L61" s="126"/>
      <c r="M61" s="126"/>
      <c r="N61" s="127"/>
      <c r="O61" s="137" t="str">
        <v/>
      </c>
      <c r="P61" s="125"/>
      <c r="Q61" s="126"/>
      <c r="R61" s="126"/>
      <c r="S61" s="127"/>
      <c r="T61" s="137" t="str">
        <v/>
      </c>
      <c r="U61" s="129"/>
      <c r="V61" s="130"/>
      <c r="W61" s="130"/>
      <c r="X61" s="131"/>
      <c r="Y61" s="138" t="str">
        <v/>
      </c>
      <c r="Z61" s="129"/>
      <c r="AA61" s="130"/>
      <c r="AB61" s="130"/>
      <c r="AC61" s="131"/>
      <c r="AD61" s="138" t="str">
        <v/>
      </c>
      <c r="AE61" s="129"/>
      <c r="AF61" s="130"/>
      <c r="AG61" s="130"/>
      <c r="AH61" s="131"/>
      <c r="AI61" s="138" t="str">
        <v/>
      </c>
      <c r="AJ61" s="129"/>
      <c r="AK61" s="130"/>
      <c r="AL61" s="130"/>
      <c r="AM61" s="131"/>
      <c r="AN61" s="138" t="str">
        <v/>
      </c>
      <c r="AO61" s="129"/>
      <c r="AP61" s="130"/>
      <c r="AQ61" s="130"/>
      <c r="AR61" s="131"/>
      <c r="AS61" s="138" t="str">
        <v/>
      </c>
      <c r="AT61" s="129"/>
      <c r="AU61" s="130"/>
      <c r="AV61" s="130"/>
      <c r="AW61" s="131"/>
      <c r="AX61" s="138" t="str">
        <v/>
      </c>
      <c r="AY61" s="129"/>
      <c r="AZ61" s="130"/>
      <c r="BA61" s="130"/>
      <c r="BB61" s="131"/>
      <c r="BC61" s="138" t="str">
        <v/>
      </c>
      <c r="BD61" s="146" t="str">
        <v/>
      </c>
      <c r="BE61" s="133"/>
    </row>
    <row r="62" spans="1:57">
      <c r="A62" s="48"/>
      <c r="B62" s="147"/>
      <c r="C62" s="148"/>
      <c r="D62" s="149"/>
      <c r="E62" s="124"/>
      <c r="F62" s="125"/>
      <c r="G62" s="126"/>
      <c r="H62" s="126"/>
      <c r="I62" s="127"/>
      <c r="J62" s="137" t="str">
        <v/>
      </c>
      <c r="K62" s="125"/>
      <c r="L62" s="126"/>
      <c r="M62" s="126"/>
      <c r="N62" s="127"/>
      <c r="O62" s="137" t="str">
        <v/>
      </c>
      <c r="P62" s="125"/>
      <c r="Q62" s="126"/>
      <c r="R62" s="126"/>
      <c r="S62" s="127"/>
      <c r="T62" s="137" t="str">
        <v/>
      </c>
      <c r="U62" s="129"/>
      <c r="V62" s="130"/>
      <c r="W62" s="130"/>
      <c r="X62" s="131"/>
      <c r="Y62" s="138" t="str">
        <v/>
      </c>
      <c r="Z62" s="129"/>
      <c r="AA62" s="130"/>
      <c r="AB62" s="130"/>
      <c r="AC62" s="131"/>
      <c r="AD62" s="138" t="str">
        <v/>
      </c>
      <c r="AE62" s="129"/>
      <c r="AF62" s="130"/>
      <c r="AG62" s="130"/>
      <c r="AH62" s="131"/>
      <c r="AI62" s="138" t="str">
        <v/>
      </c>
      <c r="AJ62" s="129"/>
      <c r="AK62" s="130"/>
      <c r="AL62" s="130"/>
      <c r="AM62" s="131"/>
      <c r="AN62" s="138" t="str">
        <v/>
      </c>
      <c r="AO62" s="129"/>
      <c r="AP62" s="130"/>
      <c r="AQ62" s="130"/>
      <c r="AR62" s="131"/>
      <c r="AS62" s="138" t="str">
        <v/>
      </c>
      <c r="AT62" s="129"/>
      <c r="AU62" s="130"/>
      <c r="AV62" s="130"/>
      <c r="AW62" s="131"/>
      <c r="AX62" s="138" t="str">
        <v/>
      </c>
      <c r="AY62" s="129"/>
      <c r="AZ62" s="130"/>
      <c r="BA62" s="130"/>
      <c r="BB62" s="131"/>
      <c r="BC62" s="138" t="str">
        <v/>
      </c>
      <c r="BD62" s="146" t="str">
        <v/>
      </c>
      <c r="BE62" s="133"/>
    </row>
    <row r="63" spans="1:57">
      <c r="A63" s="48"/>
      <c r="B63" s="147"/>
      <c r="C63" s="148"/>
      <c r="D63" s="149"/>
      <c r="E63" s="124"/>
      <c r="F63" s="125"/>
      <c r="G63" s="126"/>
      <c r="H63" s="126"/>
      <c r="I63" s="127"/>
      <c r="J63" s="137" t="str">
        <v/>
      </c>
      <c r="K63" s="125"/>
      <c r="L63" s="126"/>
      <c r="M63" s="126"/>
      <c r="N63" s="127"/>
      <c r="O63" s="137" t="str">
        <v/>
      </c>
      <c r="P63" s="125"/>
      <c r="Q63" s="126"/>
      <c r="R63" s="126"/>
      <c r="S63" s="127"/>
      <c r="T63" s="137" t="str">
        <v/>
      </c>
      <c r="U63" s="129"/>
      <c r="V63" s="130"/>
      <c r="W63" s="130"/>
      <c r="X63" s="131"/>
      <c r="Y63" s="138" t="str">
        <v/>
      </c>
      <c r="Z63" s="129"/>
      <c r="AA63" s="130"/>
      <c r="AB63" s="130"/>
      <c r="AC63" s="131"/>
      <c r="AD63" s="138" t="str">
        <v/>
      </c>
      <c r="AE63" s="129"/>
      <c r="AF63" s="130"/>
      <c r="AG63" s="130"/>
      <c r="AH63" s="131"/>
      <c r="AI63" s="138" t="str">
        <v/>
      </c>
      <c r="AJ63" s="129"/>
      <c r="AK63" s="130"/>
      <c r="AL63" s="130"/>
      <c r="AM63" s="131"/>
      <c r="AN63" s="138" t="str">
        <v/>
      </c>
      <c r="AO63" s="129"/>
      <c r="AP63" s="130"/>
      <c r="AQ63" s="130"/>
      <c r="AR63" s="131"/>
      <c r="AS63" s="138" t="str">
        <v/>
      </c>
      <c r="AT63" s="129"/>
      <c r="AU63" s="130"/>
      <c r="AV63" s="130"/>
      <c r="AW63" s="131"/>
      <c r="AX63" s="138" t="str">
        <v/>
      </c>
      <c r="AY63" s="129"/>
      <c r="AZ63" s="130"/>
      <c r="BA63" s="130"/>
      <c r="BB63" s="131"/>
      <c r="BC63" s="138" t="str">
        <v/>
      </c>
      <c r="BD63" s="146" t="str">
        <v/>
      </c>
      <c r="BE63" s="133"/>
    </row>
    <row r="64" spans="1:57">
      <c r="A64" s="48"/>
      <c r="B64" s="147"/>
      <c r="C64" s="148"/>
      <c r="D64" s="149"/>
      <c r="E64" s="124"/>
      <c r="F64" s="125"/>
      <c r="G64" s="126"/>
      <c r="H64" s="126"/>
      <c r="I64" s="127"/>
      <c r="J64" s="137" t="str">
        <v/>
      </c>
      <c r="K64" s="125"/>
      <c r="L64" s="126"/>
      <c r="M64" s="126"/>
      <c r="N64" s="127"/>
      <c r="O64" s="137" t="str">
        <v/>
      </c>
      <c r="P64" s="125"/>
      <c r="Q64" s="126"/>
      <c r="R64" s="126"/>
      <c r="S64" s="127"/>
      <c r="T64" s="137" t="str">
        <v/>
      </c>
      <c r="U64" s="129"/>
      <c r="V64" s="130"/>
      <c r="W64" s="130"/>
      <c r="X64" s="131"/>
      <c r="Y64" s="138" t="str">
        <v/>
      </c>
      <c r="Z64" s="129"/>
      <c r="AA64" s="130"/>
      <c r="AB64" s="130"/>
      <c r="AC64" s="131"/>
      <c r="AD64" s="138" t="str">
        <v/>
      </c>
      <c r="AE64" s="129"/>
      <c r="AF64" s="130"/>
      <c r="AG64" s="130"/>
      <c r="AH64" s="131"/>
      <c r="AI64" s="138" t="str">
        <v/>
      </c>
      <c r="AJ64" s="129"/>
      <c r="AK64" s="130"/>
      <c r="AL64" s="130"/>
      <c r="AM64" s="131"/>
      <c r="AN64" s="138" t="str">
        <v/>
      </c>
      <c r="AO64" s="129"/>
      <c r="AP64" s="130"/>
      <c r="AQ64" s="130"/>
      <c r="AR64" s="131"/>
      <c r="AS64" s="138" t="str">
        <v/>
      </c>
      <c r="AT64" s="129"/>
      <c r="AU64" s="130"/>
      <c r="AV64" s="130"/>
      <c r="AW64" s="131"/>
      <c r="AX64" s="138" t="str">
        <v/>
      </c>
      <c r="AY64" s="129"/>
      <c r="AZ64" s="130"/>
      <c r="BA64" s="130"/>
      <c r="BB64" s="131"/>
      <c r="BC64" s="138" t="str">
        <v/>
      </c>
      <c r="BD64" s="146" t="str">
        <v/>
      </c>
      <c r="BE64" s="133"/>
    </row>
    <row r="65" spans="1:57">
      <c r="A65" s="48"/>
      <c r="B65" s="147"/>
      <c r="C65" s="148"/>
      <c r="D65" s="149"/>
      <c r="E65" s="124"/>
      <c r="F65" s="125"/>
      <c r="G65" s="126"/>
      <c r="H65" s="126"/>
      <c r="I65" s="127"/>
      <c r="J65" s="137" t="str">
        <v/>
      </c>
      <c r="K65" s="125"/>
      <c r="L65" s="126"/>
      <c r="M65" s="126"/>
      <c r="N65" s="127"/>
      <c r="O65" s="137" t="str">
        <v/>
      </c>
      <c r="P65" s="125"/>
      <c r="Q65" s="126"/>
      <c r="R65" s="126"/>
      <c r="S65" s="127"/>
      <c r="T65" s="137" t="str">
        <v/>
      </c>
      <c r="U65" s="129"/>
      <c r="V65" s="130"/>
      <c r="W65" s="130"/>
      <c r="X65" s="131"/>
      <c r="Y65" s="138" t="str">
        <v/>
      </c>
      <c r="Z65" s="129"/>
      <c r="AA65" s="130"/>
      <c r="AB65" s="130"/>
      <c r="AC65" s="131"/>
      <c r="AD65" s="138" t="str">
        <v/>
      </c>
      <c r="AE65" s="129"/>
      <c r="AF65" s="130"/>
      <c r="AG65" s="130"/>
      <c r="AH65" s="131"/>
      <c r="AI65" s="138" t="str">
        <v/>
      </c>
      <c r="AJ65" s="129"/>
      <c r="AK65" s="130"/>
      <c r="AL65" s="130"/>
      <c r="AM65" s="131"/>
      <c r="AN65" s="138" t="str">
        <v/>
      </c>
      <c r="AO65" s="129"/>
      <c r="AP65" s="130"/>
      <c r="AQ65" s="130"/>
      <c r="AR65" s="131"/>
      <c r="AS65" s="138" t="str">
        <v/>
      </c>
      <c r="AT65" s="129"/>
      <c r="AU65" s="130"/>
      <c r="AV65" s="130"/>
      <c r="AW65" s="131"/>
      <c r="AX65" s="138" t="str">
        <v/>
      </c>
      <c r="AY65" s="129"/>
      <c r="AZ65" s="130"/>
      <c r="BA65" s="130"/>
      <c r="BB65" s="131"/>
      <c r="BC65" s="138" t="str">
        <v/>
      </c>
      <c r="BD65" s="146" t="str">
        <v/>
      </c>
      <c r="BE65" s="133"/>
    </row>
    <row r="66" spans="1:57">
      <c r="A66" s="48"/>
      <c r="B66" s="147"/>
      <c r="C66" s="148"/>
      <c r="D66" s="149"/>
      <c r="E66" s="124"/>
      <c r="F66" s="125"/>
      <c r="G66" s="126"/>
      <c r="H66" s="126"/>
      <c r="I66" s="127"/>
      <c r="J66" s="137" t="str">
        <v/>
      </c>
      <c r="K66" s="125"/>
      <c r="L66" s="126"/>
      <c r="M66" s="126"/>
      <c r="N66" s="127"/>
      <c r="O66" s="137" t="str">
        <v/>
      </c>
      <c r="P66" s="125"/>
      <c r="Q66" s="126"/>
      <c r="R66" s="126"/>
      <c r="S66" s="127"/>
      <c r="T66" s="137" t="str">
        <v/>
      </c>
      <c r="U66" s="129"/>
      <c r="V66" s="130"/>
      <c r="W66" s="130"/>
      <c r="X66" s="131"/>
      <c r="Y66" s="138" t="str">
        <v/>
      </c>
      <c r="Z66" s="129"/>
      <c r="AA66" s="130"/>
      <c r="AB66" s="130"/>
      <c r="AC66" s="131"/>
      <c r="AD66" s="138" t="str">
        <v/>
      </c>
      <c r="AE66" s="129"/>
      <c r="AF66" s="130"/>
      <c r="AG66" s="130"/>
      <c r="AH66" s="131"/>
      <c r="AI66" s="138" t="str">
        <v/>
      </c>
      <c r="AJ66" s="129"/>
      <c r="AK66" s="130"/>
      <c r="AL66" s="130"/>
      <c r="AM66" s="131"/>
      <c r="AN66" s="138" t="str">
        <v/>
      </c>
      <c r="AO66" s="129"/>
      <c r="AP66" s="130"/>
      <c r="AQ66" s="130"/>
      <c r="AR66" s="131"/>
      <c r="AS66" s="138" t="str">
        <v/>
      </c>
      <c r="AT66" s="129"/>
      <c r="AU66" s="130"/>
      <c r="AV66" s="130"/>
      <c r="AW66" s="131"/>
      <c r="AX66" s="138" t="str">
        <v/>
      </c>
      <c r="AY66" s="129"/>
      <c r="AZ66" s="130"/>
      <c r="BA66" s="130"/>
      <c r="BB66" s="131"/>
      <c r="BC66" s="138" t="str">
        <v/>
      </c>
      <c r="BD66" s="146" t="str">
        <v/>
      </c>
      <c r="BE66" s="133"/>
    </row>
    <row r="67" spans="1:57">
      <c r="A67" s="48"/>
      <c r="B67" s="147"/>
      <c r="C67" s="148"/>
      <c r="D67" s="149"/>
      <c r="E67" s="124"/>
      <c r="F67" s="125"/>
      <c r="G67" s="126"/>
      <c r="H67" s="126"/>
      <c r="I67" s="127"/>
      <c r="J67" s="137" t="str">
        <v/>
      </c>
      <c r="K67" s="125"/>
      <c r="L67" s="126"/>
      <c r="M67" s="126"/>
      <c r="N67" s="127"/>
      <c r="O67" s="137" t="str">
        <v/>
      </c>
      <c r="P67" s="125"/>
      <c r="Q67" s="126"/>
      <c r="R67" s="126"/>
      <c r="S67" s="127"/>
      <c r="T67" s="137" t="str">
        <v/>
      </c>
      <c r="U67" s="129"/>
      <c r="V67" s="130"/>
      <c r="W67" s="130"/>
      <c r="X67" s="131"/>
      <c r="Y67" s="138" t="str">
        <v/>
      </c>
      <c r="Z67" s="129"/>
      <c r="AA67" s="130"/>
      <c r="AB67" s="130"/>
      <c r="AC67" s="131"/>
      <c r="AD67" s="138" t="str">
        <v/>
      </c>
      <c r="AE67" s="129"/>
      <c r="AF67" s="130"/>
      <c r="AG67" s="130"/>
      <c r="AH67" s="131"/>
      <c r="AI67" s="138" t="str">
        <v/>
      </c>
      <c r="AJ67" s="129"/>
      <c r="AK67" s="130"/>
      <c r="AL67" s="130"/>
      <c r="AM67" s="131"/>
      <c r="AN67" s="138" t="str">
        <v/>
      </c>
      <c r="AO67" s="129"/>
      <c r="AP67" s="130"/>
      <c r="AQ67" s="130"/>
      <c r="AR67" s="131"/>
      <c r="AS67" s="138" t="str">
        <v/>
      </c>
      <c r="AT67" s="129"/>
      <c r="AU67" s="130"/>
      <c r="AV67" s="130"/>
      <c r="AW67" s="131"/>
      <c r="AX67" s="138" t="str">
        <v/>
      </c>
      <c r="AY67" s="129"/>
      <c r="AZ67" s="130"/>
      <c r="BA67" s="130"/>
      <c r="BB67" s="131"/>
      <c r="BC67" s="138" t="str">
        <v/>
      </c>
      <c r="BD67" s="146" t="str">
        <v/>
      </c>
      <c r="BE67" s="133"/>
    </row>
    <row r="68" spans="1:57">
      <c r="A68" s="48"/>
      <c r="B68" s="147"/>
      <c r="C68" s="148"/>
      <c r="D68" s="149"/>
      <c r="E68" s="124"/>
      <c r="F68" s="125"/>
      <c r="G68" s="126"/>
      <c r="H68" s="126"/>
      <c r="I68" s="127"/>
      <c r="J68" s="137" t="str">
        <v/>
      </c>
      <c r="K68" s="125"/>
      <c r="L68" s="126"/>
      <c r="M68" s="126"/>
      <c r="N68" s="127"/>
      <c r="O68" s="137" t="str">
        <v/>
      </c>
      <c r="P68" s="125"/>
      <c r="Q68" s="126"/>
      <c r="R68" s="126"/>
      <c r="S68" s="127"/>
      <c r="T68" s="137" t="str">
        <v/>
      </c>
      <c r="U68" s="129"/>
      <c r="V68" s="130"/>
      <c r="W68" s="130"/>
      <c r="X68" s="131"/>
      <c r="Y68" s="138" t="str">
        <v/>
      </c>
      <c r="Z68" s="129"/>
      <c r="AA68" s="130"/>
      <c r="AB68" s="130"/>
      <c r="AC68" s="131"/>
      <c r="AD68" s="138" t="str">
        <v/>
      </c>
      <c r="AE68" s="129"/>
      <c r="AF68" s="130"/>
      <c r="AG68" s="130"/>
      <c r="AH68" s="131"/>
      <c r="AI68" s="138" t="str">
        <v/>
      </c>
      <c r="AJ68" s="129"/>
      <c r="AK68" s="130"/>
      <c r="AL68" s="130"/>
      <c r="AM68" s="131"/>
      <c r="AN68" s="138" t="str">
        <v/>
      </c>
      <c r="AO68" s="129"/>
      <c r="AP68" s="130"/>
      <c r="AQ68" s="130"/>
      <c r="AR68" s="131"/>
      <c r="AS68" s="138" t="str">
        <v/>
      </c>
      <c r="AT68" s="129"/>
      <c r="AU68" s="130"/>
      <c r="AV68" s="130"/>
      <c r="AW68" s="131"/>
      <c r="AX68" s="138" t="str">
        <v/>
      </c>
      <c r="AY68" s="129"/>
      <c r="AZ68" s="130"/>
      <c r="BA68" s="130"/>
      <c r="BB68" s="131"/>
      <c r="BC68" s="138" t="str">
        <v/>
      </c>
      <c r="BD68" s="146" t="str">
        <v/>
      </c>
      <c r="BE68" s="133"/>
    </row>
    <row r="69" spans="1:57">
      <c r="A69" s="48"/>
      <c r="B69" s="147"/>
      <c r="C69" s="148"/>
      <c r="D69" s="149"/>
      <c r="E69" s="124"/>
      <c r="F69" s="125"/>
      <c r="G69" s="126"/>
      <c r="H69" s="126"/>
      <c r="I69" s="127"/>
      <c r="J69" s="137" t="str">
        <v/>
      </c>
      <c r="K69" s="125"/>
      <c r="L69" s="126"/>
      <c r="M69" s="126"/>
      <c r="N69" s="127"/>
      <c r="O69" s="137" t="str">
        <v/>
      </c>
      <c r="P69" s="125"/>
      <c r="Q69" s="126"/>
      <c r="R69" s="126"/>
      <c r="S69" s="127"/>
      <c r="T69" s="137" t="str">
        <v/>
      </c>
      <c r="U69" s="129"/>
      <c r="V69" s="130"/>
      <c r="W69" s="130"/>
      <c r="X69" s="131"/>
      <c r="Y69" s="138" t="str">
        <v/>
      </c>
      <c r="Z69" s="129"/>
      <c r="AA69" s="130"/>
      <c r="AB69" s="130"/>
      <c r="AC69" s="131"/>
      <c r="AD69" s="138" t="str">
        <v/>
      </c>
      <c r="AE69" s="129"/>
      <c r="AF69" s="130"/>
      <c r="AG69" s="130"/>
      <c r="AH69" s="131"/>
      <c r="AI69" s="138" t="str">
        <v/>
      </c>
      <c r="AJ69" s="129"/>
      <c r="AK69" s="130"/>
      <c r="AL69" s="130"/>
      <c r="AM69" s="131"/>
      <c r="AN69" s="138" t="str">
        <v/>
      </c>
      <c r="AO69" s="129"/>
      <c r="AP69" s="130"/>
      <c r="AQ69" s="130"/>
      <c r="AR69" s="131"/>
      <c r="AS69" s="138" t="str">
        <v/>
      </c>
      <c r="AT69" s="129"/>
      <c r="AU69" s="130"/>
      <c r="AV69" s="130"/>
      <c r="AW69" s="131"/>
      <c r="AX69" s="138" t="str">
        <v/>
      </c>
      <c r="AY69" s="129"/>
      <c r="AZ69" s="130"/>
      <c r="BA69" s="130"/>
      <c r="BB69" s="131"/>
      <c r="BC69" s="138" t="str">
        <v/>
      </c>
      <c r="BD69" s="146" t="str">
        <v/>
      </c>
      <c r="BE69" s="133"/>
    </row>
    <row r="70" spans="1:57">
      <c r="A70" s="48"/>
      <c r="B70" s="147"/>
      <c r="C70" s="148"/>
      <c r="D70" s="149"/>
      <c r="E70" s="124"/>
      <c r="F70" s="125"/>
      <c r="G70" s="126"/>
      <c r="H70" s="126"/>
      <c r="I70" s="127"/>
      <c r="J70" s="137" t="str">
        <v/>
      </c>
      <c r="K70" s="125"/>
      <c r="L70" s="126"/>
      <c r="M70" s="126"/>
      <c r="N70" s="127"/>
      <c r="O70" s="137" t="str">
        <v/>
      </c>
      <c r="P70" s="125"/>
      <c r="Q70" s="126"/>
      <c r="R70" s="126"/>
      <c r="S70" s="127"/>
      <c r="T70" s="137" t="str">
        <v/>
      </c>
      <c r="U70" s="129"/>
      <c r="V70" s="130"/>
      <c r="W70" s="130"/>
      <c r="X70" s="131"/>
      <c r="Y70" s="138" t="str">
        <v/>
      </c>
      <c r="Z70" s="129"/>
      <c r="AA70" s="130"/>
      <c r="AB70" s="130"/>
      <c r="AC70" s="131"/>
      <c r="AD70" s="138" t="str">
        <v/>
      </c>
      <c r="AE70" s="129"/>
      <c r="AF70" s="130"/>
      <c r="AG70" s="130"/>
      <c r="AH70" s="131"/>
      <c r="AI70" s="138" t="str">
        <v/>
      </c>
      <c r="AJ70" s="129"/>
      <c r="AK70" s="130"/>
      <c r="AL70" s="130"/>
      <c r="AM70" s="131"/>
      <c r="AN70" s="138" t="str">
        <v/>
      </c>
      <c r="AO70" s="129"/>
      <c r="AP70" s="130"/>
      <c r="AQ70" s="130"/>
      <c r="AR70" s="131"/>
      <c r="AS70" s="138" t="str">
        <v/>
      </c>
      <c r="AT70" s="129"/>
      <c r="AU70" s="130"/>
      <c r="AV70" s="130"/>
      <c r="AW70" s="131"/>
      <c r="AX70" s="138" t="str">
        <v/>
      </c>
      <c r="AY70" s="129"/>
      <c r="AZ70" s="130"/>
      <c r="BA70" s="130"/>
      <c r="BB70" s="131"/>
      <c r="BC70" s="138" t="str">
        <v/>
      </c>
      <c r="BD70" s="146" t="str">
        <v/>
      </c>
      <c r="BE70" s="133"/>
    </row>
    <row r="71" spans="1:57">
      <c r="A71" s="48"/>
      <c r="B71" s="147"/>
      <c r="C71" s="148"/>
      <c r="D71" s="149"/>
      <c r="E71" s="124"/>
      <c r="F71" s="125"/>
      <c r="G71" s="126"/>
      <c r="H71" s="126"/>
      <c r="I71" s="127"/>
      <c r="J71" s="137" t="str">
        <v/>
      </c>
      <c r="K71" s="125"/>
      <c r="L71" s="126"/>
      <c r="M71" s="126"/>
      <c r="N71" s="127"/>
      <c r="O71" s="137" t="str">
        <v/>
      </c>
      <c r="P71" s="125"/>
      <c r="Q71" s="126"/>
      <c r="R71" s="126"/>
      <c r="S71" s="127"/>
      <c r="T71" s="137" t="str">
        <v/>
      </c>
      <c r="U71" s="129"/>
      <c r="V71" s="130"/>
      <c r="W71" s="130"/>
      <c r="X71" s="131"/>
      <c r="Y71" s="138" t="str">
        <v/>
      </c>
      <c r="Z71" s="129"/>
      <c r="AA71" s="130"/>
      <c r="AB71" s="130"/>
      <c r="AC71" s="131"/>
      <c r="AD71" s="138" t="str">
        <v/>
      </c>
      <c r="AE71" s="129"/>
      <c r="AF71" s="130"/>
      <c r="AG71" s="130"/>
      <c r="AH71" s="131"/>
      <c r="AI71" s="138" t="str">
        <v/>
      </c>
      <c r="AJ71" s="129"/>
      <c r="AK71" s="130"/>
      <c r="AL71" s="130"/>
      <c r="AM71" s="131"/>
      <c r="AN71" s="138" t="str">
        <v/>
      </c>
      <c r="AO71" s="129"/>
      <c r="AP71" s="130"/>
      <c r="AQ71" s="130"/>
      <c r="AR71" s="131"/>
      <c r="AS71" s="138" t="str">
        <v/>
      </c>
      <c r="AT71" s="129"/>
      <c r="AU71" s="130"/>
      <c r="AV71" s="130"/>
      <c r="AW71" s="131"/>
      <c r="AX71" s="138" t="str">
        <v/>
      </c>
      <c r="AY71" s="129"/>
      <c r="AZ71" s="130"/>
      <c r="BA71" s="130"/>
      <c r="BB71" s="131"/>
      <c r="BC71" s="138" t="str">
        <v/>
      </c>
      <c r="BD71" s="146" t="str">
        <v/>
      </c>
      <c r="BE71" s="133"/>
    </row>
    <row r="72" spans="1:57">
      <c r="A72" s="48"/>
      <c r="B72" s="147"/>
      <c r="C72" s="148"/>
      <c r="D72" s="149"/>
      <c r="E72" s="124"/>
      <c r="F72" s="125"/>
      <c r="G72" s="126"/>
      <c r="H72" s="126"/>
      <c r="I72" s="127"/>
      <c r="J72" s="137" t="str">
        <v/>
      </c>
      <c r="K72" s="125"/>
      <c r="L72" s="126"/>
      <c r="M72" s="126"/>
      <c r="N72" s="127"/>
      <c r="O72" s="137" t="str">
        <v/>
      </c>
      <c r="P72" s="125"/>
      <c r="Q72" s="126"/>
      <c r="R72" s="126"/>
      <c r="S72" s="127"/>
      <c r="T72" s="137" t="str">
        <v/>
      </c>
      <c r="U72" s="129"/>
      <c r="V72" s="130"/>
      <c r="W72" s="130"/>
      <c r="X72" s="131"/>
      <c r="Y72" s="138" t="str">
        <v/>
      </c>
      <c r="Z72" s="129"/>
      <c r="AA72" s="130"/>
      <c r="AB72" s="130"/>
      <c r="AC72" s="131"/>
      <c r="AD72" s="138" t="str">
        <v/>
      </c>
      <c r="AE72" s="129"/>
      <c r="AF72" s="130"/>
      <c r="AG72" s="130"/>
      <c r="AH72" s="131"/>
      <c r="AI72" s="138" t="str">
        <v/>
      </c>
      <c r="AJ72" s="129"/>
      <c r="AK72" s="130"/>
      <c r="AL72" s="130"/>
      <c r="AM72" s="131"/>
      <c r="AN72" s="138" t="str">
        <v/>
      </c>
      <c r="AO72" s="129"/>
      <c r="AP72" s="130"/>
      <c r="AQ72" s="130"/>
      <c r="AR72" s="131"/>
      <c r="AS72" s="138" t="str">
        <v/>
      </c>
      <c r="AT72" s="129"/>
      <c r="AU72" s="130"/>
      <c r="AV72" s="130"/>
      <c r="AW72" s="131"/>
      <c r="AX72" s="138" t="str">
        <v/>
      </c>
      <c r="AY72" s="129"/>
      <c r="AZ72" s="130"/>
      <c r="BA72" s="130"/>
      <c r="BB72" s="131"/>
      <c r="BC72" s="138" t="str">
        <v/>
      </c>
      <c r="BD72" s="146" t="str">
        <v/>
      </c>
      <c r="BE72" s="133"/>
    </row>
    <row r="73" spans="1:57">
      <c r="A73" s="48"/>
      <c r="B73" s="147"/>
      <c r="C73" s="148"/>
      <c r="D73" s="149"/>
      <c r="E73" s="124"/>
      <c r="F73" s="125"/>
      <c r="G73" s="126"/>
      <c r="H73" s="126"/>
      <c r="I73" s="127"/>
      <c r="J73" s="137" t="str">
        <v/>
      </c>
      <c r="K73" s="125"/>
      <c r="L73" s="126"/>
      <c r="M73" s="126"/>
      <c r="N73" s="127"/>
      <c r="O73" s="137" t="str">
        <v/>
      </c>
      <c r="P73" s="125"/>
      <c r="Q73" s="126"/>
      <c r="R73" s="126"/>
      <c r="S73" s="127"/>
      <c r="T73" s="137" t="str">
        <v/>
      </c>
      <c r="U73" s="129"/>
      <c r="V73" s="130"/>
      <c r="W73" s="130"/>
      <c r="X73" s="131"/>
      <c r="Y73" s="138" t="str">
        <v/>
      </c>
      <c r="Z73" s="129"/>
      <c r="AA73" s="130"/>
      <c r="AB73" s="130"/>
      <c r="AC73" s="131"/>
      <c r="AD73" s="138" t="str">
        <v/>
      </c>
      <c r="AE73" s="129"/>
      <c r="AF73" s="130"/>
      <c r="AG73" s="130"/>
      <c r="AH73" s="131"/>
      <c r="AI73" s="138" t="str">
        <v/>
      </c>
      <c r="AJ73" s="129"/>
      <c r="AK73" s="130"/>
      <c r="AL73" s="130"/>
      <c r="AM73" s="131"/>
      <c r="AN73" s="138" t="str">
        <v/>
      </c>
      <c r="AO73" s="129"/>
      <c r="AP73" s="130"/>
      <c r="AQ73" s="130"/>
      <c r="AR73" s="131"/>
      <c r="AS73" s="138" t="str">
        <v/>
      </c>
      <c r="AT73" s="129"/>
      <c r="AU73" s="130"/>
      <c r="AV73" s="130"/>
      <c r="AW73" s="131"/>
      <c r="AX73" s="138" t="str">
        <v/>
      </c>
      <c r="AY73" s="129"/>
      <c r="AZ73" s="130"/>
      <c r="BA73" s="130"/>
      <c r="BB73" s="131"/>
      <c r="BC73" s="138" t="str">
        <v/>
      </c>
      <c r="BD73" s="146" t="str">
        <v/>
      </c>
      <c r="BE73" s="133"/>
    </row>
    <row r="74" spans="1:57">
      <c r="A74" s="48"/>
      <c r="B74" s="147"/>
      <c r="C74" s="148"/>
      <c r="D74" s="149"/>
      <c r="E74" s="124"/>
      <c r="F74" s="125"/>
      <c r="G74" s="126"/>
      <c r="H74" s="126"/>
      <c r="I74" s="127"/>
      <c r="J74" s="137" t="str">
        <v/>
      </c>
      <c r="K74" s="125"/>
      <c r="L74" s="126"/>
      <c r="M74" s="126"/>
      <c r="N74" s="127"/>
      <c r="O74" s="137" t="str">
        <v/>
      </c>
      <c r="P74" s="125"/>
      <c r="Q74" s="126"/>
      <c r="R74" s="126"/>
      <c r="S74" s="127"/>
      <c r="T74" s="137" t="str">
        <v/>
      </c>
      <c r="U74" s="129"/>
      <c r="V74" s="130"/>
      <c r="W74" s="130"/>
      <c r="X74" s="131"/>
      <c r="Y74" s="138" t="str">
        <v/>
      </c>
      <c r="Z74" s="129"/>
      <c r="AA74" s="130"/>
      <c r="AB74" s="130"/>
      <c r="AC74" s="131"/>
      <c r="AD74" s="138" t="str">
        <v/>
      </c>
      <c r="AE74" s="129"/>
      <c r="AF74" s="130"/>
      <c r="AG74" s="130"/>
      <c r="AH74" s="131"/>
      <c r="AI74" s="138" t="str">
        <v/>
      </c>
      <c r="AJ74" s="129"/>
      <c r="AK74" s="130"/>
      <c r="AL74" s="130"/>
      <c r="AM74" s="131"/>
      <c r="AN74" s="138" t="str">
        <v/>
      </c>
      <c r="AO74" s="129"/>
      <c r="AP74" s="130"/>
      <c r="AQ74" s="130"/>
      <c r="AR74" s="131"/>
      <c r="AS74" s="138" t="str">
        <v/>
      </c>
      <c r="AT74" s="129"/>
      <c r="AU74" s="130"/>
      <c r="AV74" s="130"/>
      <c r="AW74" s="131"/>
      <c r="AX74" s="138" t="str">
        <v/>
      </c>
      <c r="AY74" s="129"/>
      <c r="AZ74" s="130"/>
      <c r="BA74" s="130"/>
      <c r="BB74" s="131"/>
      <c r="BC74" s="138" t="str">
        <v/>
      </c>
      <c r="BD74" s="146" t="str">
        <v/>
      </c>
      <c r="BE74" s="133"/>
    </row>
    <row r="75" spans="1:57">
      <c r="A75" s="48"/>
      <c r="B75" s="147"/>
      <c r="C75" s="148"/>
      <c r="D75" s="149"/>
      <c r="E75" s="124"/>
      <c r="F75" s="125"/>
      <c r="G75" s="126"/>
      <c r="H75" s="126"/>
      <c r="I75" s="127"/>
      <c r="J75" s="137" t="str">
        <v/>
      </c>
      <c r="K75" s="125"/>
      <c r="L75" s="126"/>
      <c r="M75" s="126"/>
      <c r="N75" s="127"/>
      <c r="O75" s="137" t="str">
        <v/>
      </c>
      <c r="P75" s="125"/>
      <c r="Q75" s="126"/>
      <c r="R75" s="126"/>
      <c r="S75" s="127"/>
      <c r="T75" s="137" t="str">
        <v/>
      </c>
      <c r="U75" s="129"/>
      <c r="V75" s="130"/>
      <c r="W75" s="130"/>
      <c r="X75" s="131"/>
      <c r="Y75" s="138" t="str">
        <v/>
      </c>
      <c r="Z75" s="129"/>
      <c r="AA75" s="130"/>
      <c r="AB75" s="130"/>
      <c r="AC75" s="131"/>
      <c r="AD75" s="138" t="str">
        <v/>
      </c>
      <c r="AE75" s="129"/>
      <c r="AF75" s="130"/>
      <c r="AG75" s="130"/>
      <c r="AH75" s="131"/>
      <c r="AI75" s="138" t="str">
        <v/>
      </c>
      <c r="AJ75" s="129"/>
      <c r="AK75" s="130"/>
      <c r="AL75" s="130"/>
      <c r="AM75" s="131"/>
      <c r="AN75" s="138" t="str">
        <v/>
      </c>
      <c r="AO75" s="129"/>
      <c r="AP75" s="130"/>
      <c r="AQ75" s="130"/>
      <c r="AR75" s="131"/>
      <c r="AS75" s="138" t="str">
        <v/>
      </c>
      <c r="AT75" s="129"/>
      <c r="AU75" s="130"/>
      <c r="AV75" s="130"/>
      <c r="AW75" s="131"/>
      <c r="AX75" s="138" t="str">
        <v/>
      </c>
      <c r="AY75" s="129"/>
      <c r="AZ75" s="130"/>
      <c r="BA75" s="130"/>
      <c r="BB75" s="131"/>
      <c r="BC75" s="138" t="str">
        <v/>
      </c>
      <c r="BD75" s="146" t="str">
        <v/>
      </c>
      <c r="BE75" s="133"/>
    </row>
    <row r="76" spans="1:57">
      <c r="A76" s="48"/>
      <c r="B76" s="147"/>
      <c r="C76" s="148"/>
      <c r="D76" s="149"/>
      <c r="E76" s="124"/>
      <c r="F76" s="125"/>
      <c r="G76" s="126"/>
      <c r="H76" s="126"/>
      <c r="I76" s="127"/>
      <c r="J76" s="137" t="str">
        <v/>
      </c>
      <c r="K76" s="125"/>
      <c r="L76" s="126"/>
      <c r="M76" s="126"/>
      <c r="N76" s="127"/>
      <c r="O76" s="137" t="str">
        <v/>
      </c>
      <c r="P76" s="125"/>
      <c r="Q76" s="126"/>
      <c r="R76" s="126"/>
      <c r="S76" s="127"/>
      <c r="T76" s="137" t="str">
        <v/>
      </c>
      <c r="U76" s="129"/>
      <c r="V76" s="130"/>
      <c r="W76" s="130"/>
      <c r="X76" s="131"/>
      <c r="Y76" s="138" t="str">
        <v/>
      </c>
      <c r="Z76" s="129"/>
      <c r="AA76" s="130"/>
      <c r="AB76" s="130"/>
      <c r="AC76" s="131"/>
      <c r="AD76" s="138" t="str">
        <v/>
      </c>
      <c r="AE76" s="129"/>
      <c r="AF76" s="130"/>
      <c r="AG76" s="130"/>
      <c r="AH76" s="131"/>
      <c r="AI76" s="138" t="str">
        <v/>
      </c>
      <c r="AJ76" s="129"/>
      <c r="AK76" s="130"/>
      <c r="AL76" s="130"/>
      <c r="AM76" s="131"/>
      <c r="AN76" s="138" t="str">
        <v/>
      </c>
      <c r="AO76" s="129"/>
      <c r="AP76" s="130"/>
      <c r="AQ76" s="130"/>
      <c r="AR76" s="131"/>
      <c r="AS76" s="138" t="str">
        <v/>
      </c>
      <c r="AT76" s="129"/>
      <c r="AU76" s="130"/>
      <c r="AV76" s="130"/>
      <c r="AW76" s="131"/>
      <c r="AX76" s="138" t="str">
        <v/>
      </c>
      <c r="AY76" s="129"/>
      <c r="AZ76" s="130"/>
      <c r="BA76" s="130"/>
      <c r="BB76" s="131"/>
      <c r="BC76" s="138" t="str">
        <v/>
      </c>
      <c r="BD76" s="146" t="str">
        <v/>
      </c>
      <c r="BE76" s="133"/>
    </row>
    <row r="77" spans="1:57">
      <c r="A77" s="48"/>
      <c r="B77" s="147"/>
      <c r="C77" s="148"/>
      <c r="D77" s="149"/>
      <c r="E77" s="124"/>
      <c r="F77" s="125"/>
      <c r="G77" s="126"/>
      <c r="H77" s="126"/>
      <c r="I77" s="127"/>
      <c r="J77" s="137" t="str">
        <v/>
      </c>
      <c r="K77" s="125"/>
      <c r="L77" s="126"/>
      <c r="M77" s="126"/>
      <c r="N77" s="127"/>
      <c r="O77" s="137" t="str">
        <v/>
      </c>
      <c r="P77" s="125"/>
      <c r="Q77" s="126"/>
      <c r="R77" s="126"/>
      <c r="S77" s="127"/>
      <c r="T77" s="137" t="str">
        <v/>
      </c>
      <c r="U77" s="129"/>
      <c r="V77" s="130"/>
      <c r="W77" s="130"/>
      <c r="X77" s="131"/>
      <c r="Y77" s="138" t="str">
        <v/>
      </c>
      <c r="Z77" s="129"/>
      <c r="AA77" s="130"/>
      <c r="AB77" s="130"/>
      <c r="AC77" s="131"/>
      <c r="AD77" s="138" t="str">
        <v/>
      </c>
      <c r="AE77" s="129"/>
      <c r="AF77" s="130"/>
      <c r="AG77" s="130"/>
      <c r="AH77" s="131"/>
      <c r="AI77" s="138" t="str">
        <v/>
      </c>
      <c r="AJ77" s="129"/>
      <c r="AK77" s="130"/>
      <c r="AL77" s="130"/>
      <c r="AM77" s="131"/>
      <c r="AN77" s="138" t="str">
        <v/>
      </c>
      <c r="AO77" s="129"/>
      <c r="AP77" s="130"/>
      <c r="AQ77" s="130"/>
      <c r="AR77" s="131"/>
      <c r="AS77" s="138" t="str">
        <v/>
      </c>
      <c r="AT77" s="129"/>
      <c r="AU77" s="130"/>
      <c r="AV77" s="130"/>
      <c r="AW77" s="131"/>
      <c r="AX77" s="138" t="str">
        <v/>
      </c>
      <c r="AY77" s="129"/>
      <c r="AZ77" s="130"/>
      <c r="BA77" s="130"/>
      <c r="BB77" s="131"/>
      <c r="BC77" s="138" t="str">
        <v/>
      </c>
      <c r="BD77" s="146" t="str">
        <v/>
      </c>
      <c r="BE77" s="133"/>
    </row>
    <row r="78" spans="1:57">
      <c r="A78" s="48"/>
      <c r="B78" s="147"/>
      <c r="C78" s="148"/>
      <c r="D78" s="149"/>
      <c r="E78" s="124"/>
      <c r="F78" s="125"/>
      <c r="G78" s="126"/>
      <c r="H78" s="126"/>
      <c r="I78" s="127"/>
      <c r="J78" s="137" t="str">
        <v/>
      </c>
      <c r="K78" s="125"/>
      <c r="L78" s="126"/>
      <c r="M78" s="126"/>
      <c r="N78" s="127"/>
      <c r="O78" s="137" t="str">
        <v/>
      </c>
      <c r="P78" s="125"/>
      <c r="Q78" s="126"/>
      <c r="R78" s="126"/>
      <c r="S78" s="127"/>
      <c r="T78" s="137" t="str">
        <v/>
      </c>
      <c r="U78" s="129"/>
      <c r="V78" s="130"/>
      <c r="W78" s="130"/>
      <c r="X78" s="131"/>
      <c r="Y78" s="138" t="str">
        <v/>
      </c>
      <c r="Z78" s="129"/>
      <c r="AA78" s="130"/>
      <c r="AB78" s="130"/>
      <c r="AC78" s="131"/>
      <c r="AD78" s="138" t="str">
        <v/>
      </c>
      <c r="AE78" s="129"/>
      <c r="AF78" s="130"/>
      <c r="AG78" s="130"/>
      <c r="AH78" s="131"/>
      <c r="AI78" s="138" t="str">
        <v/>
      </c>
      <c r="AJ78" s="129"/>
      <c r="AK78" s="130"/>
      <c r="AL78" s="130"/>
      <c r="AM78" s="131"/>
      <c r="AN78" s="138" t="str">
        <v/>
      </c>
      <c r="AO78" s="129"/>
      <c r="AP78" s="130"/>
      <c r="AQ78" s="130"/>
      <c r="AR78" s="131"/>
      <c r="AS78" s="138" t="str">
        <v/>
      </c>
      <c r="AT78" s="129"/>
      <c r="AU78" s="130"/>
      <c r="AV78" s="130"/>
      <c r="AW78" s="131"/>
      <c r="AX78" s="138" t="str">
        <v/>
      </c>
      <c r="AY78" s="129"/>
      <c r="AZ78" s="130"/>
      <c r="BA78" s="130"/>
      <c r="BB78" s="131"/>
      <c r="BC78" s="138" t="str">
        <v/>
      </c>
      <c r="BD78" s="146" t="str">
        <v/>
      </c>
      <c r="BE78" s="133"/>
    </row>
    <row r="79" spans="1:57">
      <c r="A79" s="48"/>
      <c r="B79" s="147"/>
      <c r="C79" s="148"/>
      <c r="D79" s="149"/>
      <c r="E79" s="124"/>
      <c r="F79" s="125"/>
      <c r="G79" s="126"/>
      <c r="H79" s="126"/>
      <c r="I79" s="127"/>
      <c r="J79" s="137" t="str">
        <v/>
      </c>
      <c r="K79" s="125"/>
      <c r="L79" s="126"/>
      <c r="M79" s="126"/>
      <c r="N79" s="127"/>
      <c r="O79" s="137" t="str">
        <v/>
      </c>
      <c r="P79" s="125"/>
      <c r="Q79" s="126"/>
      <c r="R79" s="126"/>
      <c r="S79" s="127"/>
      <c r="T79" s="137" t="str">
        <v/>
      </c>
      <c r="U79" s="129"/>
      <c r="V79" s="130"/>
      <c r="W79" s="130"/>
      <c r="X79" s="131"/>
      <c r="Y79" s="138" t="str">
        <v/>
      </c>
      <c r="Z79" s="129"/>
      <c r="AA79" s="130"/>
      <c r="AB79" s="130"/>
      <c r="AC79" s="131"/>
      <c r="AD79" s="138" t="str">
        <v/>
      </c>
      <c r="AE79" s="129"/>
      <c r="AF79" s="130"/>
      <c r="AG79" s="130"/>
      <c r="AH79" s="131"/>
      <c r="AI79" s="138" t="str">
        <v/>
      </c>
      <c r="AJ79" s="129"/>
      <c r="AK79" s="130"/>
      <c r="AL79" s="130"/>
      <c r="AM79" s="131"/>
      <c r="AN79" s="138" t="str">
        <v/>
      </c>
      <c r="AO79" s="129"/>
      <c r="AP79" s="130"/>
      <c r="AQ79" s="130"/>
      <c r="AR79" s="131"/>
      <c r="AS79" s="138" t="str">
        <v/>
      </c>
      <c r="AT79" s="129"/>
      <c r="AU79" s="130"/>
      <c r="AV79" s="130"/>
      <c r="AW79" s="131"/>
      <c r="AX79" s="138" t="str">
        <v/>
      </c>
      <c r="AY79" s="129"/>
      <c r="AZ79" s="130"/>
      <c r="BA79" s="130"/>
      <c r="BB79" s="131"/>
      <c r="BC79" s="138" t="str">
        <v/>
      </c>
      <c r="BD79" s="146" t="str">
        <v/>
      </c>
      <c r="BE79" s="133"/>
    </row>
    <row r="80" spans="1:57">
      <c r="A80" s="48"/>
      <c r="B80" s="147"/>
      <c r="C80" s="148"/>
      <c r="D80" s="149"/>
      <c r="E80" s="124"/>
      <c r="F80" s="125"/>
      <c r="G80" s="126"/>
      <c r="H80" s="126"/>
      <c r="I80" s="127"/>
      <c r="J80" s="137" t="str">
        <v/>
      </c>
      <c r="K80" s="125"/>
      <c r="L80" s="126"/>
      <c r="M80" s="126"/>
      <c r="N80" s="127"/>
      <c r="O80" s="137" t="str">
        <v/>
      </c>
      <c r="P80" s="125"/>
      <c r="Q80" s="126"/>
      <c r="R80" s="126"/>
      <c r="S80" s="127"/>
      <c r="T80" s="137" t="str">
        <v/>
      </c>
      <c r="U80" s="129"/>
      <c r="V80" s="130"/>
      <c r="W80" s="130"/>
      <c r="X80" s="131"/>
      <c r="Y80" s="138" t="str">
        <v/>
      </c>
      <c r="Z80" s="129"/>
      <c r="AA80" s="130"/>
      <c r="AB80" s="130"/>
      <c r="AC80" s="131"/>
      <c r="AD80" s="138" t="str">
        <v/>
      </c>
      <c r="AE80" s="129"/>
      <c r="AF80" s="130"/>
      <c r="AG80" s="130"/>
      <c r="AH80" s="131"/>
      <c r="AI80" s="138" t="str">
        <v/>
      </c>
      <c r="AJ80" s="129"/>
      <c r="AK80" s="130"/>
      <c r="AL80" s="130"/>
      <c r="AM80" s="131"/>
      <c r="AN80" s="138" t="str">
        <v/>
      </c>
      <c r="AO80" s="129"/>
      <c r="AP80" s="130"/>
      <c r="AQ80" s="130"/>
      <c r="AR80" s="131"/>
      <c r="AS80" s="138" t="str">
        <v/>
      </c>
      <c r="AT80" s="129"/>
      <c r="AU80" s="130"/>
      <c r="AV80" s="130"/>
      <c r="AW80" s="131"/>
      <c r="AX80" s="138" t="str">
        <v/>
      </c>
      <c r="AY80" s="129"/>
      <c r="AZ80" s="130"/>
      <c r="BA80" s="130"/>
      <c r="BB80" s="131"/>
      <c r="BC80" s="138" t="str">
        <v/>
      </c>
      <c r="BD80" s="146" t="str">
        <v/>
      </c>
      <c r="BE80" s="133"/>
    </row>
    <row r="81" spans="1:57">
      <c r="A81" s="48"/>
      <c r="B81" s="147"/>
      <c r="C81" s="148"/>
      <c r="D81" s="149"/>
      <c r="E81" s="124"/>
      <c r="F81" s="125"/>
      <c r="G81" s="126"/>
      <c r="H81" s="126"/>
      <c r="I81" s="127"/>
      <c r="J81" s="137" t="str">
        <v/>
      </c>
      <c r="K81" s="125"/>
      <c r="L81" s="126"/>
      <c r="M81" s="126"/>
      <c r="N81" s="127"/>
      <c r="O81" s="137" t="str">
        <v/>
      </c>
      <c r="P81" s="125"/>
      <c r="Q81" s="126"/>
      <c r="R81" s="126"/>
      <c r="S81" s="127"/>
      <c r="T81" s="137" t="str">
        <v/>
      </c>
      <c r="U81" s="129"/>
      <c r="V81" s="130"/>
      <c r="W81" s="130"/>
      <c r="X81" s="131"/>
      <c r="Y81" s="138" t="str">
        <v/>
      </c>
      <c r="Z81" s="129"/>
      <c r="AA81" s="130"/>
      <c r="AB81" s="130"/>
      <c r="AC81" s="131"/>
      <c r="AD81" s="138" t="str">
        <v/>
      </c>
      <c r="AE81" s="129"/>
      <c r="AF81" s="130"/>
      <c r="AG81" s="130"/>
      <c r="AH81" s="131"/>
      <c r="AI81" s="138" t="str">
        <v/>
      </c>
      <c r="AJ81" s="129"/>
      <c r="AK81" s="130"/>
      <c r="AL81" s="130"/>
      <c r="AM81" s="131"/>
      <c r="AN81" s="138" t="str">
        <v/>
      </c>
      <c r="AO81" s="129"/>
      <c r="AP81" s="130"/>
      <c r="AQ81" s="130"/>
      <c r="AR81" s="131"/>
      <c r="AS81" s="138" t="str">
        <v/>
      </c>
      <c r="AT81" s="129"/>
      <c r="AU81" s="130"/>
      <c r="AV81" s="130"/>
      <c r="AW81" s="131"/>
      <c r="AX81" s="138" t="str">
        <v/>
      </c>
      <c r="AY81" s="129"/>
      <c r="AZ81" s="130"/>
      <c r="BA81" s="130"/>
      <c r="BB81" s="131"/>
      <c r="BC81" s="138" t="str">
        <v/>
      </c>
      <c r="BD81" s="146" t="str">
        <v/>
      </c>
      <c r="BE81" s="133"/>
    </row>
    <row r="82" spans="1:57">
      <c r="A82" s="48"/>
      <c r="B82" s="147"/>
      <c r="C82" s="148"/>
      <c r="D82" s="149"/>
      <c r="E82" s="124"/>
      <c r="F82" s="125"/>
      <c r="G82" s="126"/>
      <c r="H82" s="126"/>
      <c r="I82" s="127"/>
      <c r="J82" s="137" t="str">
        <v/>
      </c>
      <c r="K82" s="125"/>
      <c r="L82" s="126"/>
      <c r="M82" s="126"/>
      <c r="N82" s="127"/>
      <c r="O82" s="137" t="str">
        <v/>
      </c>
      <c r="P82" s="125"/>
      <c r="Q82" s="126"/>
      <c r="R82" s="126"/>
      <c r="S82" s="127"/>
      <c r="T82" s="137" t="str">
        <v/>
      </c>
      <c r="U82" s="129"/>
      <c r="V82" s="130"/>
      <c r="W82" s="130"/>
      <c r="X82" s="131"/>
      <c r="Y82" s="138" t="str">
        <v/>
      </c>
      <c r="Z82" s="129"/>
      <c r="AA82" s="130"/>
      <c r="AB82" s="130"/>
      <c r="AC82" s="131"/>
      <c r="AD82" s="138" t="str">
        <v/>
      </c>
      <c r="AE82" s="129"/>
      <c r="AF82" s="130"/>
      <c r="AG82" s="130"/>
      <c r="AH82" s="131"/>
      <c r="AI82" s="138" t="str">
        <v/>
      </c>
      <c r="AJ82" s="129"/>
      <c r="AK82" s="130"/>
      <c r="AL82" s="130"/>
      <c r="AM82" s="131"/>
      <c r="AN82" s="138" t="str">
        <v/>
      </c>
      <c r="AO82" s="129"/>
      <c r="AP82" s="130"/>
      <c r="AQ82" s="130"/>
      <c r="AR82" s="131"/>
      <c r="AS82" s="138" t="str">
        <v/>
      </c>
      <c r="AT82" s="129"/>
      <c r="AU82" s="130"/>
      <c r="AV82" s="130"/>
      <c r="AW82" s="131"/>
      <c r="AX82" s="138" t="str">
        <v/>
      </c>
      <c r="AY82" s="129"/>
      <c r="AZ82" s="130"/>
      <c r="BA82" s="130"/>
      <c r="BB82" s="131"/>
      <c r="BC82" s="138" t="str">
        <v/>
      </c>
      <c r="BD82" s="146" t="str">
        <v/>
      </c>
      <c r="BE82" s="133"/>
    </row>
    <row r="83" spans="1:57">
      <c r="A83" s="48"/>
      <c r="B83" s="147"/>
      <c r="C83" s="148"/>
      <c r="D83" s="149"/>
      <c r="E83" s="124"/>
      <c r="F83" s="125"/>
      <c r="G83" s="126"/>
      <c r="H83" s="126"/>
      <c r="I83" s="127"/>
      <c r="J83" s="137" t="str">
        <v/>
      </c>
      <c r="K83" s="125"/>
      <c r="L83" s="126"/>
      <c r="M83" s="126"/>
      <c r="N83" s="127"/>
      <c r="O83" s="137" t="str">
        <v/>
      </c>
      <c r="P83" s="125"/>
      <c r="Q83" s="126"/>
      <c r="R83" s="126"/>
      <c r="S83" s="127"/>
      <c r="T83" s="137" t="str">
        <v/>
      </c>
      <c r="U83" s="129"/>
      <c r="V83" s="130"/>
      <c r="W83" s="130"/>
      <c r="X83" s="131"/>
      <c r="Y83" s="138" t="str">
        <v/>
      </c>
      <c r="Z83" s="129"/>
      <c r="AA83" s="130"/>
      <c r="AB83" s="130"/>
      <c r="AC83" s="131"/>
      <c r="AD83" s="138" t="str">
        <v/>
      </c>
      <c r="AE83" s="129"/>
      <c r="AF83" s="130"/>
      <c r="AG83" s="130"/>
      <c r="AH83" s="131"/>
      <c r="AI83" s="138" t="str">
        <v/>
      </c>
      <c r="AJ83" s="129"/>
      <c r="AK83" s="130"/>
      <c r="AL83" s="130"/>
      <c r="AM83" s="131"/>
      <c r="AN83" s="138" t="str">
        <v/>
      </c>
      <c r="AO83" s="129"/>
      <c r="AP83" s="130"/>
      <c r="AQ83" s="130"/>
      <c r="AR83" s="131"/>
      <c r="AS83" s="138" t="str">
        <v/>
      </c>
      <c r="AT83" s="129"/>
      <c r="AU83" s="130"/>
      <c r="AV83" s="130"/>
      <c r="AW83" s="131"/>
      <c r="AX83" s="138" t="str">
        <v/>
      </c>
      <c r="AY83" s="129"/>
      <c r="AZ83" s="130"/>
      <c r="BA83" s="130"/>
      <c r="BB83" s="131"/>
      <c r="BC83" s="138" t="str">
        <v/>
      </c>
      <c r="BD83" s="146" t="str">
        <v/>
      </c>
      <c r="BE83" s="133"/>
    </row>
    <row r="84" spans="1:57">
      <c r="A84" s="48"/>
      <c r="B84" s="147"/>
      <c r="C84" s="148"/>
      <c r="D84" s="149"/>
      <c r="E84" s="124"/>
      <c r="F84" s="125"/>
      <c r="G84" s="126"/>
      <c r="H84" s="126"/>
      <c r="I84" s="127"/>
      <c r="J84" s="137" t="str">
        <v/>
      </c>
      <c r="K84" s="125"/>
      <c r="L84" s="126"/>
      <c r="M84" s="126"/>
      <c r="N84" s="127"/>
      <c r="O84" s="137" t="str">
        <v/>
      </c>
      <c r="P84" s="125"/>
      <c r="Q84" s="126"/>
      <c r="R84" s="126"/>
      <c r="S84" s="127"/>
      <c r="T84" s="137" t="str">
        <v/>
      </c>
      <c r="U84" s="129"/>
      <c r="V84" s="130"/>
      <c r="W84" s="130"/>
      <c r="X84" s="131"/>
      <c r="Y84" s="138" t="str">
        <v/>
      </c>
      <c r="Z84" s="129"/>
      <c r="AA84" s="130"/>
      <c r="AB84" s="130"/>
      <c r="AC84" s="131"/>
      <c r="AD84" s="138" t="str">
        <v/>
      </c>
      <c r="AE84" s="129"/>
      <c r="AF84" s="130"/>
      <c r="AG84" s="130"/>
      <c r="AH84" s="131"/>
      <c r="AI84" s="138" t="str">
        <v/>
      </c>
      <c r="AJ84" s="129"/>
      <c r="AK84" s="130"/>
      <c r="AL84" s="130"/>
      <c r="AM84" s="131"/>
      <c r="AN84" s="138" t="str">
        <v/>
      </c>
      <c r="AO84" s="129"/>
      <c r="AP84" s="130"/>
      <c r="AQ84" s="130"/>
      <c r="AR84" s="131"/>
      <c r="AS84" s="138" t="str">
        <v/>
      </c>
      <c r="AT84" s="129"/>
      <c r="AU84" s="130"/>
      <c r="AV84" s="130"/>
      <c r="AW84" s="131"/>
      <c r="AX84" s="138" t="str">
        <v/>
      </c>
      <c r="AY84" s="129"/>
      <c r="AZ84" s="130"/>
      <c r="BA84" s="130"/>
      <c r="BB84" s="131"/>
      <c r="BC84" s="138" t="str">
        <v/>
      </c>
      <c r="BD84" s="146" t="str">
        <v/>
      </c>
      <c r="BE84" s="133"/>
    </row>
    <row r="85" spans="1:57">
      <c r="A85" s="48"/>
      <c r="B85" s="147"/>
      <c r="C85" s="148"/>
      <c r="D85" s="149"/>
      <c r="E85" s="124"/>
      <c r="F85" s="125"/>
      <c r="G85" s="126"/>
      <c r="H85" s="126"/>
      <c r="I85" s="127"/>
      <c r="J85" s="137" t="str">
        <v/>
      </c>
      <c r="K85" s="125"/>
      <c r="L85" s="126"/>
      <c r="M85" s="126"/>
      <c r="N85" s="127"/>
      <c r="O85" s="137" t="str">
        <v/>
      </c>
      <c r="P85" s="125"/>
      <c r="Q85" s="126"/>
      <c r="R85" s="126"/>
      <c r="S85" s="127"/>
      <c r="T85" s="137" t="str">
        <v/>
      </c>
      <c r="U85" s="129"/>
      <c r="V85" s="130"/>
      <c r="W85" s="130"/>
      <c r="X85" s="131"/>
      <c r="Y85" s="138" t="str">
        <v/>
      </c>
      <c r="Z85" s="129"/>
      <c r="AA85" s="130"/>
      <c r="AB85" s="130"/>
      <c r="AC85" s="131"/>
      <c r="AD85" s="138" t="str">
        <v/>
      </c>
      <c r="AE85" s="129"/>
      <c r="AF85" s="130"/>
      <c r="AG85" s="130"/>
      <c r="AH85" s="131"/>
      <c r="AI85" s="138" t="str">
        <v/>
      </c>
      <c r="AJ85" s="129"/>
      <c r="AK85" s="130"/>
      <c r="AL85" s="130"/>
      <c r="AM85" s="131"/>
      <c r="AN85" s="138" t="str">
        <v/>
      </c>
      <c r="AO85" s="129"/>
      <c r="AP85" s="130"/>
      <c r="AQ85" s="130"/>
      <c r="AR85" s="131"/>
      <c r="AS85" s="138" t="str">
        <v/>
      </c>
      <c r="AT85" s="129"/>
      <c r="AU85" s="130"/>
      <c r="AV85" s="130"/>
      <c r="AW85" s="131"/>
      <c r="AX85" s="138" t="str">
        <v/>
      </c>
      <c r="AY85" s="129"/>
      <c r="AZ85" s="130"/>
      <c r="BA85" s="130"/>
      <c r="BB85" s="131"/>
      <c r="BC85" s="138" t="str">
        <v/>
      </c>
      <c r="BD85" s="146" t="str">
        <v/>
      </c>
      <c r="BE85" s="133"/>
    </row>
    <row r="86" spans="1:57">
      <c r="A86" s="48"/>
      <c r="B86" s="147"/>
      <c r="C86" s="148"/>
      <c r="D86" s="149"/>
      <c r="E86" s="124"/>
      <c r="F86" s="125"/>
      <c r="G86" s="126"/>
      <c r="H86" s="126"/>
      <c r="I86" s="127"/>
      <c r="J86" s="137" t="str">
        <v/>
      </c>
      <c r="K86" s="125"/>
      <c r="L86" s="126"/>
      <c r="M86" s="126"/>
      <c r="N86" s="127"/>
      <c r="O86" s="137" t="str">
        <v/>
      </c>
      <c r="P86" s="125"/>
      <c r="Q86" s="126"/>
      <c r="R86" s="126"/>
      <c r="S86" s="127"/>
      <c r="T86" s="137" t="str">
        <v/>
      </c>
      <c r="U86" s="129"/>
      <c r="V86" s="130"/>
      <c r="W86" s="130"/>
      <c r="X86" s="131"/>
      <c r="Y86" s="138" t="str">
        <v/>
      </c>
      <c r="Z86" s="129"/>
      <c r="AA86" s="130"/>
      <c r="AB86" s="130"/>
      <c r="AC86" s="131"/>
      <c r="AD86" s="138" t="str">
        <v/>
      </c>
      <c r="AE86" s="129"/>
      <c r="AF86" s="130"/>
      <c r="AG86" s="130"/>
      <c r="AH86" s="131"/>
      <c r="AI86" s="138" t="str">
        <v/>
      </c>
      <c r="AJ86" s="129"/>
      <c r="AK86" s="130"/>
      <c r="AL86" s="130"/>
      <c r="AM86" s="131"/>
      <c r="AN86" s="138" t="str">
        <v/>
      </c>
      <c r="AO86" s="129"/>
      <c r="AP86" s="130"/>
      <c r="AQ86" s="130"/>
      <c r="AR86" s="131"/>
      <c r="AS86" s="138" t="str">
        <v/>
      </c>
      <c r="AT86" s="129"/>
      <c r="AU86" s="130"/>
      <c r="AV86" s="130"/>
      <c r="AW86" s="131"/>
      <c r="AX86" s="138" t="str">
        <v/>
      </c>
      <c r="AY86" s="129"/>
      <c r="AZ86" s="130"/>
      <c r="BA86" s="130"/>
      <c r="BB86" s="131"/>
      <c r="BC86" s="138" t="str">
        <v/>
      </c>
      <c r="BD86" s="146" t="str">
        <v/>
      </c>
      <c r="BE86" s="133"/>
    </row>
    <row r="87" spans="1:57">
      <c r="A87" s="48"/>
      <c r="B87" s="147"/>
      <c r="C87" s="148"/>
      <c r="D87" s="149"/>
      <c r="E87" s="124"/>
      <c r="F87" s="125"/>
      <c r="G87" s="126"/>
      <c r="H87" s="126"/>
      <c r="I87" s="127"/>
      <c r="J87" s="137" t="str">
        <v/>
      </c>
      <c r="K87" s="125"/>
      <c r="L87" s="126"/>
      <c r="M87" s="126"/>
      <c r="N87" s="127"/>
      <c r="O87" s="137" t="str">
        <v/>
      </c>
      <c r="P87" s="125"/>
      <c r="Q87" s="126"/>
      <c r="R87" s="126"/>
      <c r="S87" s="127"/>
      <c r="T87" s="137" t="str">
        <v/>
      </c>
      <c r="U87" s="129"/>
      <c r="V87" s="130"/>
      <c r="W87" s="130"/>
      <c r="X87" s="131"/>
      <c r="Y87" s="138" t="str">
        <v/>
      </c>
      <c r="Z87" s="129"/>
      <c r="AA87" s="130"/>
      <c r="AB87" s="130"/>
      <c r="AC87" s="131"/>
      <c r="AD87" s="138" t="str">
        <v/>
      </c>
      <c r="AE87" s="129"/>
      <c r="AF87" s="130"/>
      <c r="AG87" s="130"/>
      <c r="AH87" s="131"/>
      <c r="AI87" s="138" t="str">
        <v/>
      </c>
      <c r="AJ87" s="129"/>
      <c r="AK87" s="130"/>
      <c r="AL87" s="130"/>
      <c r="AM87" s="131"/>
      <c r="AN87" s="138" t="str">
        <v/>
      </c>
      <c r="AO87" s="129"/>
      <c r="AP87" s="130"/>
      <c r="AQ87" s="130"/>
      <c r="AR87" s="131"/>
      <c r="AS87" s="138" t="str">
        <v/>
      </c>
      <c r="AT87" s="129"/>
      <c r="AU87" s="130"/>
      <c r="AV87" s="130"/>
      <c r="AW87" s="131"/>
      <c r="AX87" s="138" t="str">
        <v/>
      </c>
      <c r="AY87" s="129"/>
      <c r="AZ87" s="130"/>
      <c r="BA87" s="130"/>
      <c r="BB87" s="131"/>
      <c r="BC87" s="138" t="str">
        <v/>
      </c>
      <c r="BD87" s="146" t="str">
        <v/>
      </c>
      <c r="BE87" s="133"/>
    </row>
    <row r="88" spans="1:57">
      <c r="A88" s="48"/>
      <c r="B88" s="147"/>
      <c r="C88" s="148"/>
      <c r="D88" s="149"/>
      <c r="E88" s="124"/>
      <c r="F88" s="125"/>
      <c r="G88" s="126"/>
      <c r="H88" s="126"/>
      <c r="I88" s="127"/>
      <c r="J88" s="137" t="str">
        <v/>
      </c>
      <c r="K88" s="125"/>
      <c r="L88" s="126"/>
      <c r="M88" s="126"/>
      <c r="N88" s="127"/>
      <c r="O88" s="137" t="str">
        <v/>
      </c>
      <c r="P88" s="125"/>
      <c r="Q88" s="126"/>
      <c r="R88" s="126"/>
      <c r="S88" s="127"/>
      <c r="T88" s="137" t="str">
        <v/>
      </c>
      <c r="U88" s="129"/>
      <c r="V88" s="130"/>
      <c r="W88" s="130"/>
      <c r="X88" s="131"/>
      <c r="Y88" s="138" t="str">
        <v/>
      </c>
      <c r="Z88" s="129"/>
      <c r="AA88" s="130"/>
      <c r="AB88" s="130"/>
      <c r="AC88" s="131"/>
      <c r="AD88" s="138" t="str">
        <v/>
      </c>
      <c r="AE88" s="129"/>
      <c r="AF88" s="130"/>
      <c r="AG88" s="130"/>
      <c r="AH88" s="131"/>
      <c r="AI88" s="138" t="str">
        <v/>
      </c>
      <c r="AJ88" s="129"/>
      <c r="AK88" s="130"/>
      <c r="AL88" s="130"/>
      <c r="AM88" s="131"/>
      <c r="AN88" s="138" t="str">
        <v/>
      </c>
      <c r="AO88" s="129"/>
      <c r="AP88" s="130"/>
      <c r="AQ88" s="130"/>
      <c r="AR88" s="131"/>
      <c r="AS88" s="138" t="str">
        <v/>
      </c>
      <c r="AT88" s="129"/>
      <c r="AU88" s="130"/>
      <c r="AV88" s="130"/>
      <c r="AW88" s="131"/>
      <c r="AX88" s="138" t="str">
        <v/>
      </c>
      <c r="AY88" s="129"/>
      <c r="AZ88" s="130"/>
      <c r="BA88" s="130"/>
      <c r="BB88" s="131"/>
      <c r="BC88" s="138" t="str">
        <v/>
      </c>
      <c r="BD88" s="146" t="str">
        <v/>
      </c>
      <c r="BE88" s="133"/>
    </row>
    <row r="89" spans="1:57">
      <c r="A89" s="48"/>
      <c r="B89" s="147"/>
      <c r="C89" s="148"/>
      <c r="D89" s="149"/>
      <c r="E89" s="124"/>
      <c r="F89" s="125"/>
      <c r="G89" s="126"/>
      <c r="H89" s="126"/>
      <c r="I89" s="127"/>
      <c r="J89" s="137" t="str">
        <v/>
      </c>
      <c r="K89" s="125"/>
      <c r="L89" s="126"/>
      <c r="M89" s="126"/>
      <c r="N89" s="127"/>
      <c r="O89" s="137" t="str">
        <v/>
      </c>
      <c r="P89" s="125"/>
      <c r="Q89" s="126"/>
      <c r="R89" s="126"/>
      <c r="S89" s="127"/>
      <c r="T89" s="137" t="str">
        <v/>
      </c>
      <c r="U89" s="129"/>
      <c r="V89" s="130"/>
      <c r="W89" s="130"/>
      <c r="X89" s="131"/>
      <c r="Y89" s="138" t="str">
        <v/>
      </c>
      <c r="Z89" s="129"/>
      <c r="AA89" s="130"/>
      <c r="AB89" s="130"/>
      <c r="AC89" s="131"/>
      <c r="AD89" s="138" t="str">
        <v/>
      </c>
      <c r="AE89" s="129"/>
      <c r="AF89" s="130"/>
      <c r="AG89" s="130"/>
      <c r="AH89" s="131"/>
      <c r="AI89" s="138" t="str">
        <v/>
      </c>
      <c r="AJ89" s="129"/>
      <c r="AK89" s="130"/>
      <c r="AL89" s="130"/>
      <c r="AM89" s="131"/>
      <c r="AN89" s="138" t="str">
        <v/>
      </c>
      <c r="AO89" s="129"/>
      <c r="AP89" s="130"/>
      <c r="AQ89" s="130"/>
      <c r="AR89" s="131"/>
      <c r="AS89" s="138" t="str">
        <v/>
      </c>
      <c r="AT89" s="129"/>
      <c r="AU89" s="130"/>
      <c r="AV89" s="130"/>
      <c r="AW89" s="131"/>
      <c r="AX89" s="138" t="str">
        <v/>
      </c>
      <c r="AY89" s="129"/>
      <c r="AZ89" s="130"/>
      <c r="BA89" s="130"/>
      <c r="BB89" s="131"/>
      <c r="BC89" s="138" t="str">
        <v/>
      </c>
      <c r="BD89" s="146" t="str">
        <v/>
      </c>
      <c r="BE89" s="133"/>
    </row>
    <row r="90" spans="1:57">
      <c r="A90" s="48"/>
      <c r="B90" s="147"/>
      <c r="C90" s="148"/>
      <c r="D90" s="149"/>
      <c r="E90" s="124"/>
      <c r="F90" s="125"/>
      <c r="G90" s="126"/>
      <c r="H90" s="126"/>
      <c r="I90" s="127"/>
      <c r="J90" s="137" t="str">
        <v/>
      </c>
      <c r="K90" s="125"/>
      <c r="L90" s="126"/>
      <c r="M90" s="126"/>
      <c r="N90" s="127"/>
      <c r="O90" s="137" t="str">
        <v/>
      </c>
      <c r="P90" s="125"/>
      <c r="Q90" s="126"/>
      <c r="R90" s="126"/>
      <c r="S90" s="127"/>
      <c r="T90" s="137" t="str">
        <v/>
      </c>
      <c r="U90" s="129"/>
      <c r="V90" s="130"/>
      <c r="W90" s="130"/>
      <c r="X90" s="131"/>
      <c r="Y90" s="138" t="str">
        <v/>
      </c>
      <c r="Z90" s="129"/>
      <c r="AA90" s="130"/>
      <c r="AB90" s="130"/>
      <c r="AC90" s="131"/>
      <c r="AD90" s="138" t="str">
        <v/>
      </c>
      <c r="AE90" s="129"/>
      <c r="AF90" s="130"/>
      <c r="AG90" s="130"/>
      <c r="AH90" s="131"/>
      <c r="AI90" s="138" t="str">
        <v/>
      </c>
      <c r="AJ90" s="129"/>
      <c r="AK90" s="130"/>
      <c r="AL90" s="130"/>
      <c r="AM90" s="131"/>
      <c r="AN90" s="138" t="str">
        <v/>
      </c>
      <c r="AO90" s="129"/>
      <c r="AP90" s="130"/>
      <c r="AQ90" s="130"/>
      <c r="AR90" s="131"/>
      <c r="AS90" s="138" t="str">
        <v/>
      </c>
      <c r="AT90" s="129"/>
      <c r="AU90" s="130"/>
      <c r="AV90" s="130"/>
      <c r="AW90" s="131"/>
      <c r="AX90" s="138" t="str">
        <v/>
      </c>
      <c r="AY90" s="129"/>
      <c r="AZ90" s="130"/>
      <c r="BA90" s="130"/>
      <c r="BB90" s="131"/>
      <c r="BC90" s="138" t="str">
        <v/>
      </c>
      <c r="BD90" s="146" t="str">
        <v/>
      </c>
      <c r="BE90" s="133"/>
    </row>
    <row r="91" spans="1:57">
      <c r="A91" s="48"/>
      <c r="B91" s="147"/>
      <c r="C91" s="148"/>
      <c r="D91" s="149"/>
      <c r="E91" s="124"/>
      <c r="F91" s="125"/>
      <c r="G91" s="126"/>
      <c r="H91" s="126"/>
      <c r="I91" s="127"/>
      <c r="J91" s="137" t="str">
        <v/>
      </c>
      <c r="K91" s="125"/>
      <c r="L91" s="126"/>
      <c r="M91" s="126"/>
      <c r="N91" s="127"/>
      <c r="O91" s="137" t="str">
        <v/>
      </c>
      <c r="P91" s="125"/>
      <c r="Q91" s="126"/>
      <c r="R91" s="126"/>
      <c r="S91" s="127"/>
      <c r="T91" s="137" t="str">
        <v/>
      </c>
      <c r="U91" s="129"/>
      <c r="V91" s="130"/>
      <c r="W91" s="130"/>
      <c r="X91" s="131"/>
      <c r="Y91" s="138" t="str">
        <v/>
      </c>
      <c r="Z91" s="129"/>
      <c r="AA91" s="130"/>
      <c r="AB91" s="130"/>
      <c r="AC91" s="131"/>
      <c r="AD91" s="138" t="str">
        <v/>
      </c>
      <c r="AE91" s="129"/>
      <c r="AF91" s="130"/>
      <c r="AG91" s="130"/>
      <c r="AH91" s="131"/>
      <c r="AI91" s="138" t="str">
        <v/>
      </c>
      <c r="AJ91" s="129"/>
      <c r="AK91" s="130"/>
      <c r="AL91" s="130"/>
      <c r="AM91" s="131"/>
      <c r="AN91" s="138" t="str">
        <v/>
      </c>
      <c r="AO91" s="129"/>
      <c r="AP91" s="130"/>
      <c r="AQ91" s="130"/>
      <c r="AR91" s="131"/>
      <c r="AS91" s="138" t="str">
        <v/>
      </c>
      <c r="AT91" s="129"/>
      <c r="AU91" s="130"/>
      <c r="AV91" s="130"/>
      <c r="AW91" s="131"/>
      <c r="AX91" s="138" t="str">
        <v/>
      </c>
      <c r="AY91" s="129"/>
      <c r="AZ91" s="130"/>
      <c r="BA91" s="130"/>
      <c r="BB91" s="131"/>
      <c r="BC91" s="138" t="str">
        <v/>
      </c>
      <c r="BD91" s="146" t="str">
        <v/>
      </c>
      <c r="BE91" s="133"/>
    </row>
    <row r="92" spans="1:57">
      <c r="A92" s="48"/>
      <c r="B92" s="147"/>
      <c r="C92" s="148"/>
      <c r="D92" s="149"/>
      <c r="E92" s="124"/>
      <c r="F92" s="125"/>
      <c r="G92" s="126"/>
      <c r="H92" s="126"/>
      <c r="I92" s="127"/>
      <c r="J92" s="137" t="str">
        <v/>
      </c>
      <c r="K92" s="125"/>
      <c r="L92" s="126"/>
      <c r="M92" s="126"/>
      <c r="N92" s="127"/>
      <c r="O92" s="137" t="str">
        <v/>
      </c>
      <c r="P92" s="125"/>
      <c r="Q92" s="126"/>
      <c r="R92" s="126"/>
      <c r="S92" s="127"/>
      <c r="T92" s="137" t="str">
        <v/>
      </c>
      <c r="U92" s="129"/>
      <c r="V92" s="130"/>
      <c r="W92" s="130"/>
      <c r="X92" s="131"/>
      <c r="Y92" s="138" t="str">
        <v/>
      </c>
      <c r="Z92" s="129"/>
      <c r="AA92" s="130"/>
      <c r="AB92" s="130"/>
      <c r="AC92" s="131"/>
      <c r="AD92" s="138" t="str">
        <v/>
      </c>
      <c r="AE92" s="129"/>
      <c r="AF92" s="130"/>
      <c r="AG92" s="130"/>
      <c r="AH92" s="131"/>
      <c r="AI92" s="138" t="str">
        <v/>
      </c>
      <c r="AJ92" s="129"/>
      <c r="AK92" s="130"/>
      <c r="AL92" s="130"/>
      <c r="AM92" s="131"/>
      <c r="AN92" s="138" t="str">
        <v/>
      </c>
      <c r="AO92" s="129"/>
      <c r="AP92" s="130"/>
      <c r="AQ92" s="130"/>
      <c r="AR92" s="131"/>
      <c r="AS92" s="138" t="str">
        <v/>
      </c>
      <c r="AT92" s="129"/>
      <c r="AU92" s="130"/>
      <c r="AV92" s="130"/>
      <c r="AW92" s="131"/>
      <c r="AX92" s="138" t="str">
        <v/>
      </c>
      <c r="AY92" s="129"/>
      <c r="AZ92" s="130"/>
      <c r="BA92" s="130"/>
      <c r="BB92" s="131"/>
      <c r="BC92" s="138" t="str">
        <v/>
      </c>
      <c r="BD92" s="146" t="str">
        <v/>
      </c>
      <c r="BE92" s="133"/>
    </row>
    <row r="93" spans="1:57">
      <c r="A93" s="48"/>
      <c r="B93" s="147"/>
      <c r="C93" s="148"/>
      <c r="D93" s="149"/>
      <c r="E93" s="124"/>
      <c r="F93" s="125"/>
      <c r="G93" s="126"/>
      <c r="H93" s="126"/>
      <c r="I93" s="127"/>
      <c r="J93" s="137" t="str">
        <v/>
      </c>
      <c r="K93" s="125"/>
      <c r="L93" s="126"/>
      <c r="M93" s="126"/>
      <c r="N93" s="127"/>
      <c r="O93" s="137" t="str">
        <v/>
      </c>
      <c r="P93" s="125"/>
      <c r="Q93" s="126"/>
      <c r="R93" s="126"/>
      <c r="S93" s="127"/>
      <c r="T93" s="137" t="str">
        <v/>
      </c>
      <c r="U93" s="129"/>
      <c r="V93" s="130"/>
      <c r="W93" s="130"/>
      <c r="X93" s="131"/>
      <c r="Y93" s="138" t="str">
        <v/>
      </c>
      <c r="Z93" s="129"/>
      <c r="AA93" s="130"/>
      <c r="AB93" s="130"/>
      <c r="AC93" s="131"/>
      <c r="AD93" s="138" t="str">
        <v/>
      </c>
      <c r="AE93" s="129"/>
      <c r="AF93" s="130"/>
      <c r="AG93" s="130"/>
      <c r="AH93" s="131"/>
      <c r="AI93" s="138" t="str">
        <v/>
      </c>
      <c r="AJ93" s="129"/>
      <c r="AK93" s="130"/>
      <c r="AL93" s="130"/>
      <c r="AM93" s="131"/>
      <c r="AN93" s="138" t="str">
        <v/>
      </c>
      <c r="AO93" s="129"/>
      <c r="AP93" s="130"/>
      <c r="AQ93" s="130"/>
      <c r="AR93" s="131"/>
      <c r="AS93" s="138" t="str">
        <v/>
      </c>
      <c r="AT93" s="129"/>
      <c r="AU93" s="130"/>
      <c r="AV93" s="130"/>
      <c r="AW93" s="131"/>
      <c r="AX93" s="138" t="str">
        <v/>
      </c>
      <c r="AY93" s="129"/>
      <c r="AZ93" s="130"/>
      <c r="BA93" s="130"/>
      <c r="BB93" s="131"/>
      <c r="BC93" s="138" t="str">
        <v/>
      </c>
      <c r="BD93" s="146" t="str">
        <v/>
      </c>
      <c r="BE93" s="133"/>
    </row>
    <row r="94" spans="1:57">
      <c r="A94" s="48"/>
      <c r="B94" s="147"/>
      <c r="C94" s="148"/>
      <c r="D94" s="149"/>
      <c r="E94" s="124"/>
      <c r="F94" s="125"/>
      <c r="G94" s="126"/>
      <c r="H94" s="126"/>
      <c r="I94" s="127"/>
      <c r="J94" s="137" t="str">
        <v/>
      </c>
      <c r="K94" s="125"/>
      <c r="L94" s="126"/>
      <c r="M94" s="126"/>
      <c r="N94" s="127"/>
      <c r="O94" s="137" t="str">
        <v/>
      </c>
      <c r="P94" s="125"/>
      <c r="Q94" s="126"/>
      <c r="R94" s="126"/>
      <c r="S94" s="127"/>
      <c r="T94" s="137" t="str">
        <v/>
      </c>
      <c r="U94" s="129"/>
      <c r="V94" s="130"/>
      <c r="W94" s="130"/>
      <c r="X94" s="131"/>
      <c r="Y94" s="138" t="str">
        <v/>
      </c>
      <c r="Z94" s="129"/>
      <c r="AA94" s="130"/>
      <c r="AB94" s="130"/>
      <c r="AC94" s="131"/>
      <c r="AD94" s="138" t="str">
        <v/>
      </c>
      <c r="AE94" s="129"/>
      <c r="AF94" s="130"/>
      <c r="AG94" s="130"/>
      <c r="AH94" s="131"/>
      <c r="AI94" s="138" t="str">
        <v/>
      </c>
      <c r="AJ94" s="129"/>
      <c r="AK94" s="130"/>
      <c r="AL94" s="130"/>
      <c r="AM94" s="131"/>
      <c r="AN94" s="138" t="str">
        <v/>
      </c>
      <c r="AO94" s="129"/>
      <c r="AP94" s="130"/>
      <c r="AQ94" s="130"/>
      <c r="AR94" s="131"/>
      <c r="AS94" s="138" t="str">
        <v/>
      </c>
      <c r="AT94" s="129"/>
      <c r="AU94" s="130"/>
      <c r="AV94" s="130"/>
      <c r="AW94" s="131"/>
      <c r="AX94" s="138" t="str">
        <v/>
      </c>
      <c r="AY94" s="129"/>
      <c r="AZ94" s="130"/>
      <c r="BA94" s="130"/>
      <c r="BB94" s="131"/>
      <c r="BC94" s="138" t="str">
        <v/>
      </c>
      <c r="BD94" s="146" t="str">
        <v/>
      </c>
      <c r="BE94" s="133"/>
    </row>
    <row r="95" spans="1:57">
      <c r="A95" s="48"/>
      <c r="B95" s="147"/>
      <c r="C95" s="148"/>
      <c r="D95" s="149"/>
      <c r="E95" s="124"/>
      <c r="F95" s="125"/>
      <c r="G95" s="126"/>
      <c r="H95" s="126"/>
      <c r="I95" s="127"/>
      <c r="J95" s="137" t="str">
        <v/>
      </c>
      <c r="K95" s="125"/>
      <c r="L95" s="126"/>
      <c r="M95" s="126"/>
      <c r="N95" s="127"/>
      <c r="O95" s="137" t="str">
        <v/>
      </c>
      <c r="P95" s="125"/>
      <c r="Q95" s="126"/>
      <c r="R95" s="126"/>
      <c r="S95" s="127"/>
      <c r="T95" s="137" t="str">
        <v/>
      </c>
      <c r="U95" s="129"/>
      <c r="V95" s="130"/>
      <c r="W95" s="130"/>
      <c r="X95" s="131"/>
      <c r="Y95" s="138" t="str">
        <v/>
      </c>
      <c r="Z95" s="129"/>
      <c r="AA95" s="130"/>
      <c r="AB95" s="130"/>
      <c r="AC95" s="131"/>
      <c r="AD95" s="138" t="str">
        <v/>
      </c>
      <c r="AE95" s="129"/>
      <c r="AF95" s="130"/>
      <c r="AG95" s="130"/>
      <c r="AH95" s="131"/>
      <c r="AI95" s="138" t="str">
        <v/>
      </c>
      <c r="AJ95" s="129"/>
      <c r="AK95" s="130"/>
      <c r="AL95" s="130"/>
      <c r="AM95" s="131"/>
      <c r="AN95" s="138" t="str">
        <v/>
      </c>
      <c r="AO95" s="129"/>
      <c r="AP95" s="130"/>
      <c r="AQ95" s="130"/>
      <c r="AR95" s="131"/>
      <c r="AS95" s="138" t="str">
        <v/>
      </c>
      <c r="AT95" s="129"/>
      <c r="AU95" s="130"/>
      <c r="AV95" s="130"/>
      <c r="AW95" s="131"/>
      <c r="AX95" s="138" t="str">
        <v/>
      </c>
      <c r="AY95" s="129"/>
      <c r="AZ95" s="130"/>
      <c r="BA95" s="130"/>
      <c r="BB95" s="131"/>
      <c r="BC95" s="138" t="str">
        <v/>
      </c>
      <c r="BD95" s="146" t="str">
        <v/>
      </c>
      <c r="BE95" s="133"/>
    </row>
    <row r="96" spans="1:57">
      <c r="A96" s="48"/>
      <c r="B96" s="147"/>
      <c r="C96" s="148"/>
      <c r="D96" s="149"/>
      <c r="E96" s="124"/>
      <c r="F96" s="125"/>
      <c r="G96" s="126"/>
      <c r="H96" s="126"/>
      <c r="I96" s="127"/>
      <c r="J96" s="137" t="str">
        <v/>
      </c>
      <c r="K96" s="125"/>
      <c r="L96" s="126"/>
      <c r="M96" s="126"/>
      <c r="N96" s="127"/>
      <c r="O96" s="137" t="str">
        <v/>
      </c>
      <c r="P96" s="125"/>
      <c r="Q96" s="126"/>
      <c r="R96" s="126"/>
      <c r="S96" s="127"/>
      <c r="T96" s="137" t="str">
        <v/>
      </c>
      <c r="U96" s="129"/>
      <c r="V96" s="130"/>
      <c r="W96" s="130"/>
      <c r="X96" s="131"/>
      <c r="Y96" s="138" t="str">
        <v/>
      </c>
      <c r="Z96" s="129"/>
      <c r="AA96" s="130"/>
      <c r="AB96" s="130"/>
      <c r="AC96" s="131"/>
      <c r="AD96" s="138" t="str">
        <v/>
      </c>
      <c r="AE96" s="129"/>
      <c r="AF96" s="130"/>
      <c r="AG96" s="130"/>
      <c r="AH96" s="131"/>
      <c r="AI96" s="138" t="str">
        <v/>
      </c>
      <c r="AJ96" s="129"/>
      <c r="AK96" s="130"/>
      <c r="AL96" s="130"/>
      <c r="AM96" s="131"/>
      <c r="AN96" s="138" t="str">
        <v/>
      </c>
      <c r="AO96" s="129"/>
      <c r="AP96" s="130"/>
      <c r="AQ96" s="130"/>
      <c r="AR96" s="131"/>
      <c r="AS96" s="138" t="str">
        <v/>
      </c>
      <c r="AT96" s="129"/>
      <c r="AU96" s="130"/>
      <c r="AV96" s="130"/>
      <c r="AW96" s="131"/>
      <c r="AX96" s="138" t="str">
        <v/>
      </c>
      <c r="AY96" s="129"/>
      <c r="AZ96" s="130"/>
      <c r="BA96" s="130"/>
      <c r="BB96" s="131"/>
      <c r="BC96" s="138" t="str">
        <v/>
      </c>
      <c r="BD96" s="146" t="str">
        <v/>
      </c>
      <c r="BE96" s="133"/>
    </row>
    <row r="97" spans="1:57">
      <c r="A97" s="48"/>
      <c r="B97" s="147"/>
      <c r="C97" s="148"/>
      <c r="D97" s="149"/>
      <c r="E97" s="124"/>
      <c r="F97" s="125"/>
      <c r="G97" s="126"/>
      <c r="H97" s="126"/>
      <c r="I97" s="127"/>
      <c r="J97" s="137" t="str">
        <v/>
      </c>
      <c r="K97" s="125"/>
      <c r="L97" s="126"/>
      <c r="M97" s="126"/>
      <c r="N97" s="127"/>
      <c r="O97" s="137" t="str">
        <v/>
      </c>
      <c r="P97" s="125"/>
      <c r="Q97" s="126"/>
      <c r="R97" s="126"/>
      <c r="S97" s="127"/>
      <c r="T97" s="137" t="str">
        <v/>
      </c>
      <c r="U97" s="129"/>
      <c r="V97" s="130"/>
      <c r="W97" s="130"/>
      <c r="X97" s="131"/>
      <c r="Y97" s="138" t="str">
        <v/>
      </c>
      <c r="Z97" s="129"/>
      <c r="AA97" s="130"/>
      <c r="AB97" s="130"/>
      <c r="AC97" s="131"/>
      <c r="AD97" s="138" t="str">
        <v/>
      </c>
      <c r="AE97" s="129"/>
      <c r="AF97" s="130"/>
      <c r="AG97" s="130"/>
      <c r="AH97" s="131"/>
      <c r="AI97" s="138" t="str">
        <v/>
      </c>
      <c r="AJ97" s="129"/>
      <c r="AK97" s="130"/>
      <c r="AL97" s="130"/>
      <c r="AM97" s="131"/>
      <c r="AN97" s="138" t="str">
        <v/>
      </c>
      <c r="AO97" s="129"/>
      <c r="AP97" s="130"/>
      <c r="AQ97" s="130"/>
      <c r="AR97" s="131"/>
      <c r="AS97" s="138" t="str">
        <v/>
      </c>
      <c r="AT97" s="129"/>
      <c r="AU97" s="130"/>
      <c r="AV97" s="130"/>
      <c r="AW97" s="131"/>
      <c r="AX97" s="138" t="str">
        <v/>
      </c>
      <c r="AY97" s="129"/>
      <c r="AZ97" s="130"/>
      <c r="BA97" s="130"/>
      <c r="BB97" s="131"/>
      <c r="BC97" s="138" t="str">
        <v/>
      </c>
      <c r="BD97" s="146" t="str">
        <v/>
      </c>
      <c r="BE97" s="133"/>
    </row>
    <row r="98" spans="1:57">
      <c r="A98" s="48"/>
      <c r="B98" s="147"/>
      <c r="C98" s="148"/>
      <c r="D98" s="149"/>
      <c r="E98" s="124"/>
      <c r="F98" s="125"/>
      <c r="G98" s="126"/>
      <c r="H98" s="126"/>
      <c r="I98" s="127"/>
      <c r="J98" s="137" t="str">
        <v/>
      </c>
      <c r="K98" s="125"/>
      <c r="L98" s="126"/>
      <c r="M98" s="126"/>
      <c r="N98" s="127"/>
      <c r="O98" s="137" t="str">
        <v/>
      </c>
      <c r="P98" s="125"/>
      <c r="Q98" s="126"/>
      <c r="R98" s="126"/>
      <c r="S98" s="127"/>
      <c r="T98" s="137" t="str">
        <v/>
      </c>
      <c r="U98" s="129"/>
      <c r="V98" s="130"/>
      <c r="W98" s="130"/>
      <c r="X98" s="131"/>
      <c r="Y98" s="138" t="str">
        <v/>
      </c>
      <c r="Z98" s="129"/>
      <c r="AA98" s="130"/>
      <c r="AB98" s="130"/>
      <c r="AC98" s="131"/>
      <c r="AD98" s="138" t="str">
        <v/>
      </c>
      <c r="AE98" s="129"/>
      <c r="AF98" s="130"/>
      <c r="AG98" s="130"/>
      <c r="AH98" s="131"/>
      <c r="AI98" s="138" t="str">
        <v/>
      </c>
      <c r="AJ98" s="129"/>
      <c r="AK98" s="130"/>
      <c r="AL98" s="130"/>
      <c r="AM98" s="131"/>
      <c r="AN98" s="138" t="str">
        <v/>
      </c>
      <c r="AO98" s="129"/>
      <c r="AP98" s="130"/>
      <c r="AQ98" s="130"/>
      <c r="AR98" s="131"/>
      <c r="AS98" s="138" t="str">
        <v/>
      </c>
      <c r="AT98" s="129"/>
      <c r="AU98" s="130"/>
      <c r="AV98" s="130"/>
      <c r="AW98" s="131"/>
      <c r="AX98" s="138" t="str">
        <v/>
      </c>
      <c r="AY98" s="129"/>
      <c r="AZ98" s="130"/>
      <c r="BA98" s="130"/>
      <c r="BB98" s="131"/>
      <c r="BC98" s="138" t="str">
        <v/>
      </c>
      <c r="BD98" s="146" t="str">
        <v/>
      </c>
      <c r="BE98" s="133"/>
    </row>
    <row r="99" spans="1:57">
      <c r="A99" s="48"/>
      <c r="B99" s="147"/>
      <c r="C99" s="148"/>
      <c r="D99" s="149"/>
      <c r="E99" s="124"/>
      <c r="F99" s="125"/>
      <c r="G99" s="126"/>
      <c r="H99" s="126"/>
      <c r="I99" s="127"/>
      <c r="J99" s="137" t="str">
        <v/>
      </c>
      <c r="K99" s="125"/>
      <c r="L99" s="126"/>
      <c r="M99" s="126"/>
      <c r="N99" s="127"/>
      <c r="O99" s="137" t="str">
        <v/>
      </c>
      <c r="P99" s="125"/>
      <c r="Q99" s="126"/>
      <c r="R99" s="126"/>
      <c r="S99" s="127"/>
      <c r="T99" s="137" t="str">
        <v/>
      </c>
      <c r="U99" s="129"/>
      <c r="V99" s="130"/>
      <c r="W99" s="130"/>
      <c r="X99" s="131"/>
      <c r="Y99" s="138" t="str">
        <v/>
      </c>
      <c r="Z99" s="129"/>
      <c r="AA99" s="130"/>
      <c r="AB99" s="130"/>
      <c r="AC99" s="131"/>
      <c r="AD99" s="138" t="str">
        <v/>
      </c>
      <c r="AE99" s="129"/>
      <c r="AF99" s="130"/>
      <c r="AG99" s="130"/>
      <c r="AH99" s="131"/>
      <c r="AI99" s="138" t="str">
        <v/>
      </c>
      <c r="AJ99" s="129"/>
      <c r="AK99" s="130"/>
      <c r="AL99" s="130"/>
      <c r="AM99" s="131"/>
      <c r="AN99" s="138" t="str">
        <v/>
      </c>
      <c r="AO99" s="129"/>
      <c r="AP99" s="130"/>
      <c r="AQ99" s="130"/>
      <c r="AR99" s="131"/>
      <c r="AS99" s="138" t="str">
        <v/>
      </c>
      <c r="AT99" s="129"/>
      <c r="AU99" s="130"/>
      <c r="AV99" s="130"/>
      <c r="AW99" s="131"/>
      <c r="AX99" s="138" t="str">
        <v/>
      </c>
      <c r="AY99" s="129"/>
      <c r="AZ99" s="130"/>
      <c r="BA99" s="130"/>
      <c r="BB99" s="131"/>
      <c r="BC99" s="138" t="str">
        <v/>
      </c>
      <c r="BD99" s="146" t="str">
        <v/>
      </c>
      <c r="BE99" s="133"/>
    </row>
    <row r="100" spans="1:57">
      <c r="A100" s="48"/>
      <c r="B100" s="147"/>
      <c r="C100" s="148"/>
      <c r="D100" s="149"/>
      <c r="E100" s="124"/>
      <c r="F100" s="125"/>
      <c r="G100" s="126"/>
      <c r="H100" s="126"/>
      <c r="I100" s="127"/>
      <c r="J100" s="137" t="str">
        <v/>
      </c>
      <c r="K100" s="125"/>
      <c r="L100" s="126"/>
      <c r="M100" s="126"/>
      <c r="N100" s="127"/>
      <c r="O100" s="137" t="str">
        <v/>
      </c>
      <c r="P100" s="125"/>
      <c r="Q100" s="126"/>
      <c r="R100" s="126"/>
      <c r="S100" s="127"/>
      <c r="T100" s="137" t="str">
        <v/>
      </c>
      <c r="U100" s="129"/>
      <c r="V100" s="130"/>
      <c r="W100" s="130"/>
      <c r="X100" s="131"/>
      <c r="Y100" s="138" t="str">
        <v/>
      </c>
      <c r="Z100" s="129"/>
      <c r="AA100" s="130"/>
      <c r="AB100" s="130"/>
      <c r="AC100" s="131"/>
      <c r="AD100" s="138" t="str">
        <v/>
      </c>
      <c r="AE100" s="129"/>
      <c r="AF100" s="130"/>
      <c r="AG100" s="130"/>
      <c r="AH100" s="131"/>
      <c r="AI100" s="138" t="str">
        <v/>
      </c>
      <c r="AJ100" s="129"/>
      <c r="AK100" s="130"/>
      <c r="AL100" s="130"/>
      <c r="AM100" s="131"/>
      <c r="AN100" s="138" t="str">
        <v/>
      </c>
      <c r="AO100" s="129"/>
      <c r="AP100" s="130"/>
      <c r="AQ100" s="130"/>
      <c r="AR100" s="131"/>
      <c r="AS100" s="138" t="str">
        <v/>
      </c>
      <c r="AT100" s="129"/>
      <c r="AU100" s="130"/>
      <c r="AV100" s="130"/>
      <c r="AW100" s="131"/>
      <c r="AX100" s="138" t="str">
        <v/>
      </c>
      <c r="AY100" s="129"/>
      <c r="AZ100" s="130"/>
      <c r="BA100" s="130"/>
      <c r="BB100" s="131"/>
      <c r="BC100" s="138" t="str">
        <v/>
      </c>
      <c r="BD100" s="146" t="str">
        <v/>
      </c>
      <c r="BE100" s="13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xr:uid="{00000000-0002-0000-0200-000000000000}">
          <x14:formula1>
            <xm:f>Actividad_data!$A$2:$A$100</xm:f>
          </x14:formula1>
          <xm:sqref>F3:F100 K3:K100 P3:P100 U3:U100 Z3:Z100 AE3:AE100 AJ3:AJ100 AO3:AO100 AT3:AT100 AY3:AY100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6D7A8"/>
    <outlinePr summaryBelow="0" summaryRight="0"/>
  </sheetPr>
  <dimension ref="A1:O5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sheetData>
    <row r="1" spans="1:15">
      <c r="A1" s="151" t="s">
        <v>196</v>
      </c>
      <c r="B1" s="151" t="s">
        <v>71</v>
      </c>
      <c r="C1" s="151" t="s">
        <v>197</v>
      </c>
      <c r="D1" s="151" t="s">
        <v>72</v>
      </c>
      <c r="E1" s="151" t="s">
        <v>198</v>
      </c>
      <c r="F1" s="151" t="s">
        <v>199</v>
      </c>
      <c r="G1" s="151" t="s">
        <v>200</v>
      </c>
      <c r="H1" s="151" t="s">
        <v>201</v>
      </c>
      <c r="I1" s="151" t="s">
        <v>202</v>
      </c>
      <c r="J1" s="151" t="s">
        <v>203</v>
      </c>
      <c r="K1" s="151" t="s">
        <v>204</v>
      </c>
      <c r="L1" s="151" t="s">
        <v>205</v>
      </c>
      <c r="M1" s="151" t="s">
        <v>206</v>
      </c>
      <c r="N1" s="151" t="s">
        <v>207</v>
      </c>
      <c r="O1" s="97"/>
    </row>
    <row r="2" spans="1:15">
      <c r="A2" s="151" t="s">
        <v>208</v>
      </c>
      <c r="B2" s="151" t="s">
        <v>209</v>
      </c>
      <c r="C2" s="151" t="s">
        <v>210</v>
      </c>
      <c r="D2" s="151" t="s">
        <v>211</v>
      </c>
      <c r="E2" s="151" t="s">
        <v>212</v>
      </c>
      <c r="F2" s="151">
        <v>19</v>
      </c>
      <c r="G2" s="152">
        <v>1.8</v>
      </c>
      <c r="H2" s="152">
        <v>3.7</v>
      </c>
      <c r="I2" s="152">
        <v>0.2</v>
      </c>
      <c r="J2" s="152">
        <v>0</v>
      </c>
      <c r="K2" s="152">
        <v>1.6</v>
      </c>
      <c r="L2" s="152">
        <v>1.1000000000000001</v>
      </c>
      <c r="M2" s="151">
        <v>210</v>
      </c>
      <c r="N2" s="151">
        <v>0</v>
      </c>
      <c r="O2" s="97"/>
    </row>
    <row r="3" spans="1:15">
      <c r="A3" s="151" t="s">
        <v>213</v>
      </c>
      <c r="B3" s="151" t="s">
        <v>214</v>
      </c>
      <c r="C3" s="151" t="s">
        <v>210</v>
      </c>
      <c r="D3" s="151" t="s">
        <v>211</v>
      </c>
      <c r="E3" s="151" t="s">
        <v>212</v>
      </c>
      <c r="F3" s="151">
        <v>149</v>
      </c>
      <c r="G3" s="152">
        <v>6.4</v>
      </c>
      <c r="H3" s="152">
        <v>33.1</v>
      </c>
      <c r="I3" s="152">
        <v>0.5</v>
      </c>
      <c r="J3" s="152">
        <v>0.1</v>
      </c>
      <c r="K3" s="152">
        <v>2.1</v>
      </c>
      <c r="L3" s="152">
        <v>1</v>
      </c>
      <c r="M3" s="151">
        <v>17</v>
      </c>
      <c r="N3" s="151">
        <v>0</v>
      </c>
      <c r="O3" s="97"/>
    </row>
    <row r="4" spans="1:15">
      <c r="A4" s="151" t="s">
        <v>215</v>
      </c>
      <c r="B4" s="151" t="s">
        <v>216</v>
      </c>
      <c r="C4" s="151" t="s">
        <v>210</v>
      </c>
      <c r="D4" s="151" t="s">
        <v>211</v>
      </c>
      <c r="E4" s="151" t="s">
        <v>212</v>
      </c>
      <c r="F4" s="151">
        <v>47</v>
      </c>
      <c r="G4" s="152">
        <v>3.3</v>
      </c>
      <c r="H4" s="152">
        <v>10.5</v>
      </c>
      <c r="I4" s="152">
        <v>0.2</v>
      </c>
      <c r="J4" s="152">
        <v>0</v>
      </c>
      <c r="K4" s="152">
        <v>5.4</v>
      </c>
      <c r="L4" s="152">
        <v>1</v>
      </c>
      <c r="M4" s="151">
        <v>94</v>
      </c>
      <c r="N4" s="151">
        <v>0</v>
      </c>
      <c r="O4" s="97"/>
    </row>
    <row r="5" spans="1:15">
      <c r="A5" s="151" t="s">
        <v>217</v>
      </c>
      <c r="B5" s="151" t="s">
        <v>218</v>
      </c>
      <c r="C5" s="151" t="s">
        <v>210</v>
      </c>
      <c r="D5" s="151" t="s">
        <v>211</v>
      </c>
      <c r="E5" s="151" t="s">
        <v>212</v>
      </c>
      <c r="F5" s="151">
        <v>16</v>
      </c>
      <c r="G5" s="152">
        <v>0.7</v>
      </c>
      <c r="H5" s="152">
        <v>3</v>
      </c>
      <c r="I5" s="152">
        <v>0.2</v>
      </c>
      <c r="J5" s="152">
        <v>0</v>
      </c>
      <c r="K5" s="152">
        <v>1.6</v>
      </c>
      <c r="L5" s="152">
        <v>1.3</v>
      </c>
      <c r="M5" s="151">
        <v>80</v>
      </c>
      <c r="N5" s="151">
        <v>0</v>
      </c>
      <c r="O5" s="97"/>
    </row>
    <row r="6" spans="1:15">
      <c r="A6" s="151" t="s">
        <v>219</v>
      </c>
      <c r="B6" s="151" t="s">
        <v>220</v>
      </c>
      <c r="C6" s="151" t="s">
        <v>210</v>
      </c>
      <c r="D6" s="151" t="s">
        <v>211</v>
      </c>
      <c r="E6" s="151" t="s">
        <v>212</v>
      </c>
      <c r="F6" s="151">
        <v>25</v>
      </c>
      <c r="G6" s="152">
        <v>1</v>
      </c>
      <c r="H6" s="152">
        <v>6</v>
      </c>
      <c r="I6" s="152">
        <v>0.2</v>
      </c>
      <c r="J6" s="152">
        <v>0</v>
      </c>
      <c r="K6" s="152">
        <v>3</v>
      </c>
      <c r="L6" s="152">
        <v>3.5</v>
      </c>
      <c r="M6" s="151">
        <v>2</v>
      </c>
      <c r="N6" s="151">
        <v>0</v>
      </c>
      <c r="O6" s="97"/>
    </row>
    <row r="7" spans="1:15">
      <c r="A7" s="151" t="s">
        <v>221</v>
      </c>
      <c r="B7" s="151" t="s">
        <v>222</v>
      </c>
      <c r="C7" s="151" t="s">
        <v>210</v>
      </c>
      <c r="D7" s="151" t="s">
        <v>211</v>
      </c>
      <c r="E7" s="151" t="s">
        <v>212</v>
      </c>
      <c r="F7" s="151">
        <v>34</v>
      </c>
      <c r="G7" s="152">
        <v>2.8</v>
      </c>
      <c r="H7" s="152">
        <v>6.6</v>
      </c>
      <c r="I7" s="152">
        <v>0.4</v>
      </c>
      <c r="J7" s="152">
        <v>0.1</v>
      </c>
      <c r="K7" s="152">
        <v>2.6</v>
      </c>
      <c r="L7" s="152">
        <v>1.7</v>
      </c>
      <c r="M7" s="151">
        <v>33</v>
      </c>
      <c r="N7" s="151">
        <v>0</v>
      </c>
      <c r="O7" s="97"/>
    </row>
    <row r="8" spans="1:15">
      <c r="A8" s="151" t="s">
        <v>223</v>
      </c>
      <c r="B8" s="151" t="s">
        <v>224</v>
      </c>
      <c r="C8" s="151" t="s">
        <v>210</v>
      </c>
      <c r="D8" s="151" t="s">
        <v>211</v>
      </c>
      <c r="E8" s="151" t="s">
        <v>212</v>
      </c>
      <c r="F8" s="151">
        <v>17</v>
      </c>
      <c r="G8" s="152">
        <v>1.2</v>
      </c>
      <c r="H8" s="152">
        <v>3.1</v>
      </c>
      <c r="I8" s="152">
        <v>0.3</v>
      </c>
      <c r="J8" s="152">
        <v>0.1</v>
      </c>
      <c r="K8" s="152">
        <v>1</v>
      </c>
      <c r="L8" s="152">
        <v>2.5</v>
      </c>
      <c r="M8" s="151">
        <v>8</v>
      </c>
      <c r="N8" s="151">
        <v>0</v>
      </c>
      <c r="O8" s="97"/>
    </row>
    <row r="9" spans="1:15">
      <c r="A9" s="151" t="s">
        <v>225</v>
      </c>
      <c r="B9" s="151" t="s">
        <v>226</v>
      </c>
      <c r="C9" s="151" t="s">
        <v>210</v>
      </c>
      <c r="D9" s="151" t="s">
        <v>211</v>
      </c>
      <c r="E9" s="151" t="s">
        <v>212</v>
      </c>
      <c r="F9" s="151">
        <v>26</v>
      </c>
      <c r="G9" s="152">
        <v>1</v>
      </c>
      <c r="H9" s="152">
        <v>6.5</v>
      </c>
      <c r="I9" s="152">
        <v>0.1</v>
      </c>
      <c r="J9" s="152">
        <v>0</v>
      </c>
      <c r="K9" s="152">
        <v>0.5</v>
      </c>
      <c r="L9" s="152">
        <v>2.8</v>
      </c>
      <c r="M9" s="151">
        <v>1</v>
      </c>
      <c r="N9" s="151">
        <v>0</v>
      </c>
      <c r="O9" s="97"/>
    </row>
    <row r="10" spans="1:15">
      <c r="A10" s="151" t="s">
        <v>227</v>
      </c>
      <c r="B10" s="151" t="s">
        <v>228</v>
      </c>
      <c r="C10" s="151" t="s">
        <v>210</v>
      </c>
      <c r="D10" s="151" t="s">
        <v>211</v>
      </c>
      <c r="E10" s="151" t="s">
        <v>212</v>
      </c>
      <c r="F10" s="151">
        <v>40</v>
      </c>
      <c r="G10" s="152">
        <v>1.1000000000000001</v>
      </c>
      <c r="H10" s="152">
        <v>9.3000000000000007</v>
      </c>
      <c r="I10" s="152">
        <v>0.1</v>
      </c>
      <c r="J10" s="152">
        <v>0</v>
      </c>
      <c r="K10" s="152">
        <v>1.7</v>
      </c>
      <c r="L10" s="152">
        <v>4.2</v>
      </c>
      <c r="M10" s="151">
        <v>4</v>
      </c>
      <c r="N10" s="151">
        <v>0</v>
      </c>
      <c r="O10" s="97"/>
    </row>
    <row r="11" spans="1:15">
      <c r="A11" s="151" t="s">
        <v>229</v>
      </c>
      <c r="B11" s="151" t="s">
        <v>230</v>
      </c>
      <c r="C11" s="151" t="s">
        <v>210</v>
      </c>
      <c r="D11" s="151" t="s">
        <v>211</v>
      </c>
      <c r="E11" s="151" t="s">
        <v>212</v>
      </c>
      <c r="F11" s="151">
        <v>22</v>
      </c>
      <c r="G11" s="152">
        <v>3.1</v>
      </c>
      <c r="H11" s="152">
        <v>3.3</v>
      </c>
      <c r="I11" s="152">
        <v>0.3</v>
      </c>
      <c r="J11" s="152">
        <v>0.1</v>
      </c>
      <c r="K11" s="152">
        <v>1</v>
      </c>
      <c r="L11" s="152">
        <v>2</v>
      </c>
      <c r="M11" s="151">
        <v>5</v>
      </c>
      <c r="N11" s="151">
        <v>0</v>
      </c>
      <c r="O11" s="97"/>
    </row>
    <row r="12" spans="1:15">
      <c r="A12" s="151" t="s">
        <v>231</v>
      </c>
      <c r="B12" s="151" t="s">
        <v>232</v>
      </c>
      <c r="C12" s="151" t="s">
        <v>210</v>
      </c>
      <c r="D12" s="151" t="s">
        <v>211</v>
      </c>
      <c r="E12" s="151" t="s">
        <v>212</v>
      </c>
      <c r="F12" s="151">
        <v>25</v>
      </c>
      <c r="G12" s="152">
        <v>1.3</v>
      </c>
      <c r="H12" s="152">
        <v>5.8</v>
      </c>
      <c r="I12" s="152">
        <v>0.1</v>
      </c>
      <c r="J12" s="152">
        <v>0</v>
      </c>
      <c r="K12" s="152">
        <v>2.5</v>
      </c>
      <c r="L12" s="152">
        <v>3.2</v>
      </c>
      <c r="M12" s="151">
        <v>18</v>
      </c>
      <c r="N12" s="151">
        <v>0</v>
      </c>
      <c r="O12" s="97"/>
    </row>
    <row r="13" spans="1:15">
      <c r="A13" s="151" t="s">
        <v>233</v>
      </c>
      <c r="B13" s="151" t="s">
        <v>234</v>
      </c>
      <c r="C13" s="151" t="s">
        <v>210</v>
      </c>
      <c r="D13" s="151" t="s">
        <v>211</v>
      </c>
      <c r="E13" s="151" t="s">
        <v>212</v>
      </c>
      <c r="F13" s="151">
        <v>49</v>
      </c>
      <c r="G13" s="152">
        <v>4.3</v>
      </c>
      <c r="H13" s="152">
        <v>8.8000000000000007</v>
      </c>
      <c r="I13" s="152">
        <v>0.9</v>
      </c>
      <c r="J13" s="152">
        <v>0.1</v>
      </c>
      <c r="K13" s="152">
        <v>3.6</v>
      </c>
      <c r="L13" s="152">
        <v>2.2999999999999998</v>
      </c>
      <c r="M13" s="151">
        <v>38</v>
      </c>
      <c r="N13" s="151">
        <v>0</v>
      </c>
      <c r="O13" s="97"/>
    </row>
    <row r="14" spans="1:15">
      <c r="A14" s="151" t="s">
        <v>235</v>
      </c>
      <c r="B14" s="151" t="s">
        <v>236</v>
      </c>
      <c r="C14" s="151" t="s">
        <v>210</v>
      </c>
      <c r="D14" s="151" t="s">
        <v>211</v>
      </c>
      <c r="E14" s="151" t="s">
        <v>212</v>
      </c>
      <c r="F14" s="151">
        <v>43</v>
      </c>
      <c r="G14" s="152">
        <v>3.4</v>
      </c>
      <c r="H14" s="152">
        <v>9</v>
      </c>
      <c r="I14" s="152">
        <v>0.3</v>
      </c>
      <c r="J14" s="152">
        <v>0.1</v>
      </c>
      <c r="K14" s="152">
        <v>3.8</v>
      </c>
      <c r="L14" s="152">
        <v>2.2000000000000002</v>
      </c>
      <c r="M14" s="151">
        <v>25</v>
      </c>
      <c r="N14" s="151">
        <v>0</v>
      </c>
      <c r="O14" s="97"/>
    </row>
    <row r="15" spans="1:15">
      <c r="A15" s="151" t="s">
        <v>237</v>
      </c>
      <c r="B15" s="151" t="s">
        <v>238</v>
      </c>
      <c r="C15" s="151" t="s">
        <v>210</v>
      </c>
      <c r="D15" s="151" t="s">
        <v>211</v>
      </c>
      <c r="E15" s="151" t="s">
        <v>212</v>
      </c>
      <c r="F15" s="151">
        <v>25</v>
      </c>
      <c r="G15" s="152">
        <v>1.9</v>
      </c>
      <c r="H15" s="152">
        <v>5</v>
      </c>
      <c r="I15" s="152">
        <v>0.3</v>
      </c>
      <c r="J15" s="152">
        <v>0.1</v>
      </c>
      <c r="K15" s="152">
        <v>2</v>
      </c>
      <c r="L15" s="152">
        <v>1.9</v>
      </c>
      <c r="M15" s="151">
        <v>30</v>
      </c>
      <c r="N15" s="151">
        <v>0</v>
      </c>
      <c r="O15" s="97"/>
    </row>
    <row r="16" spans="1:15">
      <c r="A16" s="151" t="s">
        <v>239</v>
      </c>
      <c r="B16" s="151" t="s">
        <v>240</v>
      </c>
      <c r="C16" s="151" t="s">
        <v>210</v>
      </c>
      <c r="D16" s="151" t="s">
        <v>211</v>
      </c>
      <c r="E16" s="151" t="s">
        <v>212</v>
      </c>
      <c r="F16" s="151">
        <v>17</v>
      </c>
      <c r="G16" s="152">
        <v>1.3</v>
      </c>
      <c r="H16" s="152">
        <v>3.4</v>
      </c>
      <c r="I16" s="152">
        <v>0.2</v>
      </c>
      <c r="J16" s="152">
        <v>0</v>
      </c>
      <c r="K16" s="152">
        <v>3.1</v>
      </c>
      <c r="L16" s="152">
        <v>0.3</v>
      </c>
      <c r="M16" s="151">
        <v>22</v>
      </c>
      <c r="N16" s="151">
        <v>0</v>
      </c>
      <c r="O16" s="97"/>
    </row>
    <row r="17" spans="1:15">
      <c r="A17" s="151" t="s">
        <v>241</v>
      </c>
      <c r="B17" s="151" t="s">
        <v>242</v>
      </c>
      <c r="C17" s="151" t="s">
        <v>210</v>
      </c>
      <c r="D17" s="151" t="s">
        <v>211</v>
      </c>
      <c r="E17" s="151" t="s">
        <v>212</v>
      </c>
      <c r="F17" s="151">
        <v>20</v>
      </c>
      <c r="G17" s="152">
        <v>2.2000000000000002</v>
      </c>
      <c r="H17" s="152">
        <v>3.9</v>
      </c>
      <c r="I17" s="152">
        <v>0.1</v>
      </c>
      <c r="J17" s="152">
        <v>0</v>
      </c>
      <c r="K17" s="152">
        <v>2.1</v>
      </c>
      <c r="L17" s="152">
        <v>1.9</v>
      </c>
      <c r="M17" s="151">
        <v>2</v>
      </c>
      <c r="N17" s="151">
        <v>0</v>
      </c>
      <c r="O17" s="97"/>
    </row>
    <row r="18" spans="1:15">
      <c r="A18" s="151" t="s">
        <v>243</v>
      </c>
      <c r="B18" s="151" t="s">
        <v>244</v>
      </c>
      <c r="C18" s="151" t="s">
        <v>210</v>
      </c>
      <c r="D18" s="151" t="s">
        <v>211</v>
      </c>
      <c r="E18" s="151" t="s">
        <v>212</v>
      </c>
      <c r="F18" s="151">
        <v>23</v>
      </c>
      <c r="G18" s="152">
        <v>2.9</v>
      </c>
      <c r="H18" s="152">
        <v>3.6</v>
      </c>
      <c r="I18" s="152">
        <v>0.4</v>
      </c>
      <c r="J18" s="152">
        <v>0.1</v>
      </c>
      <c r="K18" s="152">
        <v>2.2000000000000002</v>
      </c>
      <c r="L18" s="152">
        <v>0.4</v>
      </c>
      <c r="M18" s="151">
        <v>79</v>
      </c>
      <c r="N18" s="151">
        <v>0</v>
      </c>
      <c r="O18" s="97"/>
    </row>
    <row r="19" spans="1:15">
      <c r="A19" s="151" t="s">
        <v>245</v>
      </c>
      <c r="B19" s="151" t="s">
        <v>246</v>
      </c>
      <c r="C19" s="151" t="s">
        <v>210</v>
      </c>
      <c r="D19" s="151" t="s">
        <v>211</v>
      </c>
      <c r="E19" s="151" t="s">
        <v>212</v>
      </c>
      <c r="F19" s="151">
        <v>81</v>
      </c>
      <c r="G19" s="152">
        <v>5.4</v>
      </c>
      <c r="H19" s="152">
        <v>14.5</v>
      </c>
      <c r="I19" s="152">
        <v>0.4</v>
      </c>
      <c r="J19" s="152">
        <v>0.1</v>
      </c>
      <c r="K19" s="152">
        <v>5.0999999999999996</v>
      </c>
      <c r="L19" s="152">
        <v>5.7</v>
      </c>
      <c r="M19" s="151">
        <v>5</v>
      </c>
      <c r="N19" s="151">
        <v>0</v>
      </c>
      <c r="O19" s="97"/>
    </row>
    <row r="20" spans="1:15">
      <c r="A20" s="151" t="s">
        <v>247</v>
      </c>
      <c r="B20" s="151" t="s">
        <v>248</v>
      </c>
      <c r="C20" s="151" t="s">
        <v>210</v>
      </c>
      <c r="D20" s="151" t="s">
        <v>211</v>
      </c>
      <c r="E20" s="151" t="s">
        <v>212</v>
      </c>
      <c r="F20" s="151">
        <v>31</v>
      </c>
      <c r="G20" s="152">
        <v>1.8</v>
      </c>
      <c r="H20" s="152">
        <v>7</v>
      </c>
      <c r="I20" s="152">
        <v>0.1</v>
      </c>
      <c r="J20" s="152">
        <v>0</v>
      </c>
      <c r="K20" s="152">
        <v>3.4</v>
      </c>
      <c r="L20" s="152">
        <v>3.3</v>
      </c>
      <c r="M20" s="151">
        <v>6</v>
      </c>
      <c r="N20" s="151">
        <v>0</v>
      </c>
      <c r="O20" s="97"/>
    </row>
    <row r="21" spans="1:15">
      <c r="A21" s="151" t="s">
        <v>249</v>
      </c>
      <c r="B21" s="151" t="s">
        <v>250</v>
      </c>
      <c r="C21" s="151" t="s">
        <v>210</v>
      </c>
      <c r="D21" s="151" t="s">
        <v>211</v>
      </c>
      <c r="E21" s="151" t="s">
        <v>212</v>
      </c>
      <c r="F21" s="151">
        <v>15</v>
      </c>
      <c r="G21" s="152">
        <v>1.4</v>
      </c>
      <c r="H21" s="152">
        <v>2.9</v>
      </c>
      <c r="I21" s="152">
        <v>0.2</v>
      </c>
      <c r="J21" s="152">
        <v>0</v>
      </c>
      <c r="K21" s="152">
        <v>1.3</v>
      </c>
      <c r="L21" s="152">
        <v>0.8</v>
      </c>
      <c r="M21" s="151">
        <v>28</v>
      </c>
      <c r="N21" s="151">
        <v>0</v>
      </c>
      <c r="O21" s="97"/>
    </row>
    <row r="22" spans="1:15">
      <c r="A22" s="151" t="s">
        <v>251</v>
      </c>
      <c r="B22" s="151" t="s">
        <v>252</v>
      </c>
      <c r="C22" s="151" t="s">
        <v>210</v>
      </c>
      <c r="D22" s="151" t="s">
        <v>211</v>
      </c>
      <c r="E22" s="151" t="s">
        <v>212</v>
      </c>
      <c r="F22" s="151">
        <v>96</v>
      </c>
      <c r="G22" s="152">
        <v>3.4</v>
      </c>
      <c r="H22" s="152">
        <v>21</v>
      </c>
      <c r="I22" s="152">
        <v>1.5</v>
      </c>
      <c r="J22" s="152">
        <v>0.2</v>
      </c>
      <c r="K22" s="152">
        <v>2.4</v>
      </c>
      <c r="L22" s="152">
        <v>4.5</v>
      </c>
      <c r="M22" s="151">
        <v>15</v>
      </c>
      <c r="N22" s="151">
        <v>2</v>
      </c>
      <c r="O22" s="97"/>
    </row>
    <row r="23" spans="1:15">
      <c r="A23" s="151" t="s">
        <v>253</v>
      </c>
      <c r="B23" s="151" t="s">
        <v>254</v>
      </c>
      <c r="C23" s="151" t="s">
        <v>210</v>
      </c>
      <c r="D23" s="151" t="s">
        <v>211</v>
      </c>
      <c r="E23" s="151" t="s">
        <v>212</v>
      </c>
      <c r="F23" s="151">
        <v>15</v>
      </c>
      <c r="G23" s="152">
        <v>0.7</v>
      </c>
      <c r="H23" s="152">
        <v>3.6</v>
      </c>
      <c r="I23" s="152">
        <v>0.1</v>
      </c>
      <c r="J23" s="152">
        <v>0</v>
      </c>
      <c r="K23" s="152">
        <v>0.5</v>
      </c>
      <c r="L23" s="152">
        <v>1.7</v>
      </c>
      <c r="M23" s="151">
        <v>2</v>
      </c>
      <c r="N23" s="151">
        <v>0</v>
      </c>
      <c r="O23" s="97"/>
    </row>
    <row r="24" spans="1:15">
      <c r="A24" s="151" t="s">
        <v>255</v>
      </c>
      <c r="B24" s="151" t="s">
        <v>256</v>
      </c>
      <c r="C24" s="151" t="s">
        <v>210</v>
      </c>
      <c r="D24" s="151" t="s">
        <v>211</v>
      </c>
      <c r="E24" s="151" t="s">
        <v>212</v>
      </c>
      <c r="F24" s="151">
        <v>31</v>
      </c>
      <c r="G24" s="152">
        <v>1</v>
      </c>
      <c r="H24" s="152">
        <v>6</v>
      </c>
      <c r="I24" s="152">
        <v>0.3</v>
      </c>
      <c r="J24" s="152">
        <v>0</v>
      </c>
      <c r="K24" s="152">
        <v>2.1</v>
      </c>
      <c r="L24" s="152">
        <v>4.2</v>
      </c>
      <c r="M24" s="151">
        <v>2</v>
      </c>
      <c r="N24" s="151">
        <v>0</v>
      </c>
      <c r="O24" s="97"/>
    </row>
    <row r="25" spans="1:15">
      <c r="A25" s="151" t="s">
        <v>257</v>
      </c>
      <c r="B25" s="151" t="s">
        <v>258</v>
      </c>
      <c r="C25" s="151" t="s">
        <v>210</v>
      </c>
      <c r="D25" s="151" t="s">
        <v>211</v>
      </c>
      <c r="E25" s="151" t="s">
        <v>212</v>
      </c>
      <c r="F25" s="151">
        <v>61</v>
      </c>
      <c r="G25" s="152">
        <v>1.5</v>
      </c>
      <c r="H25" s="152">
        <v>14</v>
      </c>
      <c r="I25" s="152">
        <v>0.3</v>
      </c>
      <c r="J25" s="152">
        <v>0</v>
      </c>
      <c r="K25" s="152">
        <v>1.8</v>
      </c>
      <c r="L25" s="152">
        <v>3.9</v>
      </c>
      <c r="M25" s="151">
        <v>20</v>
      </c>
      <c r="N25" s="151">
        <v>0</v>
      </c>
      <c r="O25" s="97"/>
    </row>
    <row r="26" spans="1:15">
      <c r="A26" s="151" t="s">
        <v>259</v>
      </c>
      <c r="B26" s="151" t="s">
        <v>260</v>
      </c>
      <c r="C26" s="151" t="s">
        <v>210</v>
      </c>
      <c r="D26" s="151" t="s">
        <v>211</v>
      </c>
      <c r="E26" s="151" t="s">
        <v>212</v>
      </c>
      <c r="F26" s="151">
        <v>16</v>
      </c>
      <c r="G26" s="152">
        <v>0.7</v>
      </c>
      <c r="H26" s="152">
        <v>3.4</v>
      </c>
      <c r="I26" s="152">
        <v>0.1</v>
      </c>
      <c r="J26" s="152">
        <v>0</v>
      </c>
      <c r="K26" s="152">
        <v>1.6</v>
      </c>
      <c r="L26" s="152">
        <v>1.9</v>
      </c>
      <c r="M26" s="151">
        <v>39</v>
      </c>
      <c r="N26" s="151">
        <v>0</v>
      </c>
      <c r="O26" s="97"/>
    </row>
    <row r="27" spans="1:15">
      <c r="A27" s="151" t="s">
        <v>261</v>
      </c>
      <c r="B27" s="151" t="s">
        <v>262</v>
      </c>
      <c r="C27" s="151" t="s">
        <v>210</v>
      </c>
      <c r="D27" s="151" t="s">
        <v>211</v>
      </c>
      <c r="E27" s="151" t="s">
        <v>212</v>
      </c>
      <c r="F27" s="151">
        <v>44</v>
      </c>
      <c r="G27" s="152">
        <v>1.7</v>
      </c>
      <c r="H27" s="152">
        <v>10</v>
      </c>
      <c r="I27" s="152">
        <v>0.2</v>
      </c>
      <c r="J27" s="152">
        <v>0</v>
      </c>
      <c r="K27" s="152">
        <v>2</v>
      </c>
      <c r="L27" s="152">
        <v>7</v>
      </c>
      <c r="M27" s="151">
        <v>78</v>
      </c>
      <c r="N27" s="151">
        <v>1</v>
      </c>
      <c r="O27" s="97"/>
    </row>
    <row r="28" spans="1:15">
      <c r="A28" s="151" t="s">
        <v>263</v>
      </c>
      <c r="B28" s="151" t="s">
        <v>264</v>
      </c>
      <c r="C28" s="151" t="s">
        <v>210</v>
      </c>
      <c r="D28" s="151" t="s">
        <v>211</v>
      </c>
      <c r="E28" s="151" t="s">
        <v>212</v>
      </c>
      <c r="F28" s="151">
        <v>18</v>
      </c>
      <c r="G28" s="152">
        <v>0.9</v>
      </c>
      <c r="H28" s="152">
        <v>3.9</v>
      </c>
      <c r="I28" s="152">
        <v>0.2</v>
      </c>
      <c r="J28" s="152">
        <v>0</v>
      </c>
      <c r="K28" s="152">
        <v>1.2</v>
      </c>
      <c r="L28" s="152">
        <v>2.6</v>
      </c>
      <c r="M28" s="151">
        <v>5</v>
      </c>
      <c r="N28" s="151">
        <v>0</v>
      </c>
      <c r="O28" s="97"/>
    </row>
    <row r="29" spans="1:15">
      <c r="A29" s="151" t="s">
        <v>265</v>
      </c>
      <c r="B29" s="151" t="s">
        <v>266</v>
      </c>
      <c r="C29" s="151" t="s">
        <v>210</v>
      </c>
      <c r="D29" s="151" t="s">
        <v>211</v>
      </c>
      <c r="E29" s="151" t="s">
        <v>212</v>
      </c>
      <c r="F29" s="151">
        <v>41</v>
      </c>
      <c r="G29" s="152">
        <v>0.9</v>
      </c>
      <c r="H29" s="152">
        <v>9.6</v>
      </c>
      <c r="I29" s="152">
        <v>0.2</v>
      </c>
      <c r="J29" s="152">
        <v>0</v>
      </c>
      <c r="K29" s="152">
        <v>2.8</v>
      </c>
      <c r="L29" s="152">
        <v>4.7</v>
      </c>
      <c r="M29" s="151">
        <v>69</v>
      </c>
      <c r="N29" s="151">
        <v>0</v>
      </c>
      <c r="O29" s="97"/>
    </row>
    <row r="30" spans="1:15">
      <c r="A30" s="151" t="s">
        <v>267</v>
      </c>
      <c r="B30" s="151" t="s">
        <v>268</v>
      </c>
      <c r="C30" s="151" t="s">
        <v>269</v>
      </c>
      <c r="D30" s="151" t="s">
        <v>211</v>
      </c>
      <c r="E30" s="151" t="s">
        <v>212</v>
      </c>
      <c r="F30" s="151">
        <v>160</v>
      </c>
      <c r="G30" s="152">
        <v>2</v>
      </c>
      <c r="H30" s="152">
        <v>8.5</v>
      </c>
      <c r="I30" s="152">
        <v>14.7</v>
      </c>
      <c r="J30" s="152">
        <v>2.1</v>
      </c>
      <c r="K30" s="152">
        <v>6.7</v>
      </c>
      <c r="L30" s="152">
        <v>0.7</v>
      </c>
      <c r="M30" s="151">
        <v>7</v>
      </c>
      <c r="N30" s="151">
        <v>0</v>
      </c>
      <c r="O30" s="97"/>
    </row>
    <row r="31" spans="1:15">
      <c r="A31" s="151" t="s">
        <v>270</v>
      </c>
      <c r="B31" s="151" t="s">
        <v>271</v>
      </c>
      <c r="C31" s="151" t="s">
        <v>269</v>
      </c>
      <c r="D31" s="151" t="s">
        <v>211</v>
      </c>
      <c r="E31" s="151" t="s">
        <v>212</v>
      </c>
      <c r="F31" s="151">
        <v>48</v>
      </c>
      <c r="G31" s="152">
        <v>1.4</v>
      </c>
      <c r="H31" s="152">
        <v>11.1</v>
      </c>
      <c r="I31" s="152">
        <v>0.4</v>
      </c>
      <c r="J31" s="152">
        <v>0</v>
      </c>
      <c r="K31" s="152">
        <v>2</v>
      </c>
      <c r="L31" s="152">
        <v>9.1999999999999993</v>
      </c>
      <c r="M31" s="151">
        <v>1</v>
      </c>
      <c r="N31" s="151">
        <v>0</v>
      </c>
      <c r="O31" s="97"/>
    </row>
    <row r="32" spans="1:15">
      <c r="A32" s="151" t="s">
        <v>272</v>
      </c>
      <c r="B32" s="151" t="s">
        <v>273</v>
      </c>
      <c r="C32" s="151" t="s">
        <v>269</v>
      </c>
      <c r="D32" s="151" t="s">
        <v>211</v>
      </c>
      <c r="E32" s="151" t="s">
        <v>212</v>
      </c>
      <c r="F32" s="151">
        <v>57</v>
      </c>
      <c r="G32" s="152">
        <v>0.7</v>
      </c>
      <c r="H32" s="152">
        <v>14.5</v>
      </c>
      <c r="I32" s="152">
        <v>0.3</v>
      </c>
      <c r="J32" s="152">
        <v>0</v>
      </c>
      <c r="K32" s="152">
        <v>2.4</v>
      </c>
      <c r="L32" s="152">
        <v>10</v>
      </c>
      <c r="M32" s="151">
        <v>1</v>
      </c>
      <c r="N32" s="151">
        <v>0</v>
      </c>
      <c r="O32" s="97"/>
    </row>
    <row r="33" spans="1:15">
      <c r="A33" s="151" t="s">
        <v>274</v>
      </c>
      <c r="B33" s="151" t="s">
        <v>275</v>
      </c>
      <c r="C33" s="151" t="s">
        <v>269</v>
      </c>
      <c r="D33" s="151" t="s">
        <v>211</v>
      </c>
      <c r="E33" s="151" t="s">
        <v>212</v>
      </c>
      <c r="F33" s="151">
        <v>46</v>
      </c>
      <c r="G33" s="152">
        <v>0.7</v>
      </c>
      <c r="H33" s="152">
        <v>11.4</v>
      </c>
      <c r="I33" s="152">
        <v>0.3</v>
      </c>
      <c r="J33" s="152">
        <v>0</v>
      </c>
      <c r="K33" s="152">
        <v>1.4</v>
      </c>
      <c r="L33" s="152">
        <v>9.9</v>
      </c>
      <c r="M33" s="151">
        <v>0</v>
      </c>
      <c r="N33" s="151">
        <v>0</v>
      </c>
      <c r="O33" s="97"/>
    </row>
    <row r="34" spans="1:15">
      <c r="A34" s="151" t="s">
        <v>276</v>
      </c>
      <c r="B34" s="151" t="s">
        <v>277</v>
      </c>
      <c r="C34" s="151" t="s">
        <v>269</v>
      </c>
      <c r="D34" s="151" t="s">
        <v>211</v>
      </c>
      <c r="E34" s="151" t="s">
        <v>212</v>
      </c>
      <c r="F34" s="151">
        <v>32</v>
      </c>
      <c r="G34" s="152">
        <v>0.7</v>
      </c>
      <c r="H34" s="152">
        <v>7.7</v>
      </c>
      <c r="I34" s="152">
        <v>0.3</v>
      </c>
      <c r="J34" s="152">
        <v>0</v>
      </c>
      <c r="K34" s="152">
        <v>2</v>
      </c>
      <c r="L34" s="152">
        <v>4.9000000000000004</v>
      </c>
      <c r="M34" s="151">
        <v>1</v>
      </c>
      <c r="N34" s="151">
        <v>0</v>
      </c>
      <c r="O34" s="97"/>
    </row>
    <row r="35" spans="1:15">
      <c r="A35" s="151" t="s">
        <v>278</v>
      </c>
      <c r="B35" s="151" t="s">
        <v>279</v>
      </c>
      <c r="C35" s="151" t="s">
        <v>269</v>
      </c>
      <c r="D35" s="151" t="s">
        <v>211</v>
      </c>
      <c r="E35" s="151" t="s">
        <v>212</v>
      </c>
      <c r="F35" s="151">
        <v>45</v>
      </c>
      <c r="G35" s="152">
        <v>1</v>
      </c>
      <c r="H35" s="152">
        <v>10</v>
      </c>
      <c r="I35" s="152">
        <v>0.5</v>
      </c>
      <c r="J35" s="152">
        <v>0</v>
      </c>
      <c r="K35" s="152">
        <v>3.5</v>
      </c>
      <c r="L35" s="152">
        <v>6</v>
      </c>
      <c r="M35" s="151">
        <v>1</v>
      </c>
      <c r="N35" s="151">
        <v>0</v>
      </c>
      <c r="O35" s="97"/>
    </row>
    <row r="36" spans="1:15">
      <c r="A36" s="151" t="s">
        <v>280</v>
      </c>
      <c r="B36" s="151" t="s">
        <v>281</v>
      </c>
      <c r="C36" s="151" t="s">
        <v>269</v>
      </c>
      <c r="D36" s="151" t="s">
        <v>211</v>
      </c>
      <c r="E36" s="151" t="s">
        <v>212</v>
      </c>
      <c r="F36" s="151">
        <v>83</v>
      </c>
      <c r="G36" s="152">
        <v>1.7</v>
      </c>
      <c r="H36" s="152">
        <v>18.7</v>
      </c>
      <c r="I36" s="152">
        <v>1.2</v>
      </c>
      <c r="J36" s="152">
        <v>0.1</v>
      </c>
      <c r="K36" s="152">
        <v>4</v>
      </c>
      <c r="L36" s="152">
        <v>13.7</v>
      </c>
      <c r="M36" s="151">
        <v>3</v>
      </c>
      <c r="N36" s="151">
        <v>0</v>
      </c>
      <c r="O36" s="97"/>
    </row>
    <row r="37" spans="1:15">
      <c r="A37" s="151" t="s">
        <v>282</v>
      </c>
      <c r="B37" s="151" t="s">
        <v>283</v>
      </c>
      <c r="C37" s="151" t="s">
        <v>269</v>
      </c>
      <c r="D37" s="151" t="s">
        <v>211</v>
      </c>
      <c r="E37" s="151" t="s">
        <v>212</v>
      </c>
      <c r="F37" s="151">
        <v>61</v>
      </c>
      <c r="G37" s="152">
        <v>1.1000000000000001</v>
      </c>
      <c r="H37" s="152">
        <v>14.7</v>
      </c>
      <c r="I37" s="152">
        <v>0.5</v>
      </c>
      <c r="J37" s="152">
        <v>0</v>
      </c>
      <c r="K37" s="152">
        <v>3</v>
      </c>
      <c r="L37" s="152">
        <v>9</v>
      </c>
      <c r="M37" s="151">
        <v>3</v>
      </c>
      <c r="N37" s="151">
        <v>0</v>
      </c>
      <c r="O37" s="97"/>
    </row>
    <row r="38" spans="1:15">
      <c r="A38" s="151" t="s">
        <v>284</v>
      </c>
      <c r="B38" s="151" t="s">
        <v>285</v>
      </c>
      <c r="C38" s="151" t="s">
        <v>269</v>
      </c>
      <c r="D38" s="151" t="s">
        <v>211</v>
      </c>
      <c r="E38" s="151" t="s">
        <v>212</v>
      </c>
      <c r="F38" s="151">
        <v>29</v>
      </c>
      <c r="G38" s="152">
        <v>1.1000000000000001</v>
      </c>
      <c r="H38" s="152">
        <v>9.3000000000000007</v>
      </c>
      <c r="I38" s="152">
        <v>0.3</v>
      </c>
      <c r="J38" s="152">
        <v>0</v>
      </c>
      <c r="K38" s="152">
        <v>2.8</v>
      </c>
      <c r="L38" s="152">
        <v>2.5</v>
      </c>
      <c r="M38" s="151">
        <v>2</v>
      </c>
      <c r="N38" s="151">
        <v>0</v>
      </c>
      <c r="O38" s="97"/>
    </row>
    <row r="39" spans="1:15">
      <c r="A39" s="151" t="s">
        <v>286</v>
      </c>
      <c r="B39" s="151" t="s">
        <v>287</v>
      </c>
      <c r="C39" s="151" t="s">
        <v>269</v>
      </c>
      <c r="D39" s="151" t="s">
        <v>211</v>
      </c>
      <c r="E39" s="151" t="s">
        <v>212</v>
      </c>
      <c r="F39" s="151">
        <v>53</v>
      </c>
      <c r="G39" s="152">
        <v>0.8</v>
      </c>
      <c r="H39" s="152">
        <v>13.3</v>
      </c>
      <c r="I39" s="152">
        <v>0.3</v>
      </c>
      <c r="J39" s="152">
        <v>0</v>
      </c>
      <c r="K39" s="152">
        <v>1.8</v>
      </c>
      <c r="L39" s="152">
        <v>10.6</v>
      </c>
      <c r="M39" s="151">
        <v>2</v>
      </c>
      <c r="N39" s="151">
        <v>0</v>
      </c>
      <c r="O39" s="97"/>
    </row>
    <row r="40" spans="1:15">
      <c r="A40" s="151" t="s">
        <v>288</v>
      </c>
      <c r="B40" s="151" t="s">
        <v>289</v>
      </c>
      <c r="C40" s="151" t="s">
        <v>269</v>
      </c>
      <c r="D40" s="151" t="s">
        <v>211</v>
      </c>
      <c r="E40" s="151" t="s">
        <v>212</v>
      </c>
      <c r="F40" s="151">
        <v>52</v>
      </c>
      <c r="G40" s="152">
        <v>0.3</v>
      </c>
      <c r="H40" s="152">
        <v>13.8</v>
      </c>
      <c r="I40" s="152">
        <v>0.2</v>
      </c>
      <c r="J40" s="152">
        <v>0</v>
      </c>
      <c r="K40" s="152">
        <v>2.4</v>
      </c>
      <c r="L40" s="152">
        <v>10.4</v>
      </c>
      <c r="M40" s="151">
        <v>1</v>
      </c>
      <c r="N40" s="151">
        <v>0</v>
      </c>
      <c r="O40" s="97"/>
    </row>
    <row r="41" spans="1:15">
      <c r="A41" s="151" t="s">
        <v>290</v>
      </c>
      <c r="B41" s="151" t="s">
        <v>291</v>
      </c>
      <c r="C41" s="151" t="s">
        <v>269</v>
      </c>
      <c r="D41" s="151" t="s">
        <v>211</v>
      </c>
      <c r="E41" s="151" t="s">
        <v>212</v>
      </c>
      <c r="F41" s="151">
        <v>60</v>
      </c>
      <c r="G41" s="152">
        <v>0.8</v>
      </c>
      <c r="H41" s="152">
        <v>15</v>
      </c>
      <c r="I41" s="152">
        <v>0.4</v>
      </c>
      <c r="J41" s="152">
        <v>0.1</v>
      </c>
      <c r="K41" s="152">
        <v>1.6</v>
      </c>
      <c r="L41" s="152">
        <v>13.7</v>
      </c>
      <c r="M41" s="151">
        <v>1</v>
      </c>
      <c r="N41" s="151">
        <v>0</v>
      </c>
      <c r="O41" s="97"/>
    </row>
    <row r="42" spans="1:15">
      <c r="A42" s="151" t="s">
        <v>292</v>
      </c>
      <c r="B42" s="151" t="s">
        <v>293</v>
      </c>
      <c r="C42" s="151" t="s">
        <v>269</v>
      </c>
      <c r="D42" s="151" t="s">
        <v>211</v>
      </c>
      <c r="E42" s="151" t="s">
        <v>212</v>
      </c>
      <c r="F42" s="151">
        <v>34</v>
      </c>
      <c r="G42" s="152">
        <v>0.8</v>
      </c>
      <c r="H42" s="152">
        <v>8.1999999999999993</v>
      </c>
      <c r="I42" s="152">
        <v>0.2</v>
      </c>
      <c r="J42" s="152">
        <v>0</v>
      </c>
      <c r="K42" s="152">
        <v>0.9</v>
      </c>
      <c r="L42" s="152">
        <v>7.9</v>
      </c>
      <c r="M42" s="151">
        <v>16</v>
      </c>
      <c r="N42" s="151">
        <v>0</v>
      </c>
      <c r="O42" s="97"/>
    </row>
    <row r="43" spans="1:15">
      <c r="A43" s="151" t="s">
        <v>294</v>
      </c>
      <c r="B43" s="151" t="s">
        <v>295</v>
      </c>
      <c r="C43" s="151" t="s">
        <v>269</v>
      </c>
      <c r="D43" s="151" t="s">
        <v>211</v>
      </c>
      <c r="E43" s="151" t="s">
        <v>212</v>
      </c>
      <c r="F43" s="151">
        <v>39</v>
      </c>
      <c r="G43" s="152">
        <v>0.9</v>
      </c>
      <c r="H43" s="152">
        <v>9.5</v>
      </c>
      <c r="I43" s="152">
        <v>0.3</v>
      </c>
      <c r="J43" s="152">
        <v>0</v>
      </c>
      <c r="K43" s="152">
        <v>1.5</v>
      </c>
      <c r="L43" s="152">
        <v>8.4</v>
      </c>
      <c r="M43" s="151">
        <v>0</v>
      </c>
      <c r="N43" s="151">
        <v>0</v>
      </c>
      <c r="O43" s="97"/>
    </row>
    <row r="44" spans="1:15">
      <c r="A44" s="151" t="s">
        <v>296</v>
      </c>
      <c r="B44" s="151" t="s">
        <v>297</v>
      </c>
      <c r="C44" s="151" t="s">
        <v>269</v>
      </c>
      <c r="D44" s="151" t="s">
        <v>211</v>
      </c>
      <c r="E44" s="151" t="s">
        <v>212</v>
      </c>
      <c r="F44" s="151">
        <v>47</v>
      </c>
      <c r="G44" s="152">
        <v>0.9</v>
      </c>
      <c r="H44" s="152">
        <v>11.8</v>
      </c>
      <c r="I44" s="152">
        <v>0.1</v>
      </c>
      <c r="J44" s="152">
        <v>0</v>
      </c>
      <c r="K44" s="152">
        <v>2.4</v>
      </c>
      <c r="L44" s="152">
        <v>9.4</v>
      </c>
      <c r="M44" s="151">
        <v>0</v>
      </c>
      <c r="N44" s="151">
        <v>0</v>
      </c>
      <c r="O44" s="97"/>
    </row>
    <row r="45" spans="1:15">
      <c r="A45" s="151" t="s">
        <v>298</v>
      </c>
      <c r="B45" s="151" t="s">
        <v>299</v>
      </c>
      <c r="C45" s="151" t="s">
        <v>269</v>
      </c>
      <c r="D45" s="151" t="s">
        <v>211</v>
      </c>
      <c r="E45" s="151" t="s">
        <v>212</v>
      </c>
      <c r="F45" s="151">
        <v>57</v>
      </c>
      <c r="G45" s="152">
        <v>0.4</v>
      </c>
      <c r="H45" s="152">
        <v>15.2</v>
      </c>
      <c r="I45" s="152">
        <v>0.1</v>
      </c>
      <c r="J45" s="152">
        <v>0</v>
      </c>
      <c r="K45" s="152">
        <v>3.1</v>
      </c>
      <c r="L45" s="152">
        <v>10</v>
      </c>
      <c r="M45" s="151">
        <v>1</v>
      </c>
      <c r="N45" s="151">
        <v>0</v>
      </c>
      <c r="O45" s="97"/>
    </row>
    <row r="46" spans="1:15">
      <c r="A46" s="151" t="s">
        <v>300</v>
      </c>
      <c r="B46" s="151" t="s">
        <v>301</v>
      </c>
      <c r="C46" s="151" t="s">
        <v>269</v>
      </c>
      <c r="D46" s="151" t="s">
        <v>211</v>
      </c>
      <c r="E46" s="151" t="s">
        <v>212</v>
      </c>
      <c r="F46" s="151">
        <v>50</v>
      </c>
      <c r="G46" s="152">
        <v>0.5</v>
      </c>
      <c r="H46" s="152">
        <v>13.1</v>
      </c>
      <c r="I46" s="152">
        <v>0.1</v>
      </c>
      <c r="J46" s="152">
        <v>0</v>
      </c>
      <c r="K46" s="152">
        <v>1.4</v>
      </c>
      <c r="L46" s="152">
        <v>9.9</v>
      </c>
      <c r="M46" s="151">
        <v>1</v>
      </c>
      <c r="N46" s="151">
        <v>0</v>
      </c>
      <c r="O46" s="97"/>
    </row>
    <row r="47" spans="1:15">
      <c r="A47" s="151" t="s">
        <v>302</v>
      </c>
      <c r="B47" s="151" t="s">
        <v>303</v>
      </c>
      <c r="C47" s="151" t="s">
        <v>269</v>
      </c>
      <c r="D47" s="151" t="s">
        <v>211</v>
      </c>
      <c r="E47" s="151" t="s">
        <v>212</v>
      </c>
      <c r="F47" s="151">
        <v>89</v>
      </c>
      <c r="G47" s="152">
        <v>1.1000000000000001</v>
      </c>
      <c r="H47" s="152">
        <v>22.8</v>
      </c>
      <c r="I47" s="152">
        <v>0.3</v>
      </c>
      <c r="J47" s="152">
        <v>0.1</v>
      </c>
      <c r="K47" s="152">
        <v>2.6</v>
      </c>
      <c r="L47" s="152">
        <v>12.2</v>
      </c>
      <c r="M47" s="151">
        <v>1</v>
      </c>
      <c r="N47" s="151">
        <v>0</v>
      </c>
      <c r="O47" s="97"/>
    </row>
    <row r="48" spans="1:15">
      <c r="A48" s="151" t="s">
        <v>304</v>
      </c>
      <c r="B48" s="151" t="s">
        <v>305</v>
      </c>
      <c r="C48" s="151" t="s">
        <v>269</v>
      </c>
      <c r="D48" s="151" t="s">
        <v>211</v>
      </c>
      <c r="E48" s="151" t="s">
        <v>212</v>
      </c>
      <c r="F48" s="151">
        <v>42</v>
      </c>
      <c r="G48" s="152">
        <v>0.8</v>
      </c>
      <c r="H48" s="152">
        <v>10.7</v>
      </c>
      <c r="I48" s="152">
        <v>0.1</v>
      </c>
      <c r="J48" s="152">
        <v>0</v>
      </c>
      <c r="K48" s="152">
        <v>1.6</v>
      </c>
      <c r="L48" s="152">
        <v>6.9</v>
      </c>
      <c r="M48" s="151">
        <v>0</v>
      </c>
      <c r="N48" s="151">
        <v>0</v>
      </c>
      <c r="O48" s="97"/>
    </row>
    <row r="49" spans="1:15">
      <c r="A49" s="151" t="s">
        <v>306</v>
      </c>
      <c r="B49" s="151" t="s">
        <v>307</v>
      </c>
      <c r="C49" s="151" t="s">
        <v>269</v>
      </c>
      <c r="D49" s="151" t="s">
        <v>211</v>
      </c>
      <c r="E49" s="151" t="s">
        <v>212</v>
      </c>
      <c r="F49" s="151">
        <v>30</v>
      </c>
      <c r="G49" s="152">
        <v>0.6</v>
      </c>
      <c r="H49" s="152">
        <v>7.6</v>
      </c>
      <c r="I49" s="152">
        <v>0.2</v>
      </c>
      <c r="J49" s="152">
        <v>0</v>
      </c>
      <c r="K49" s="152">
        <v>0.4</v>
      </c>
      <c r="L49" s="152">
        <v>6.2</v>
      </c>
      <c r="M49" s="151">
        <v>2</v>
      </c>
      <c r="N49" s="151">
        <v>0</v>
      </c>
      <c r="O49" s="97"/>
    </row>
    <row r="50" spans="1:15">
      <c r="A50" s="151" t="s">
        <v>308</v>
      </c>
      <c r="B50" s="151" t="s">
        <v>309</v>
      </c>
      <c r="C50" s="151" t="s">
        <v>269</v>
      </c>
      <c r="D50" s="151" t="s">
        <v>211</v>
      </c>
      <c r="E50" s="151" t="s">
        <v>212</v>
      </c>
      <c r="F50" s="151">
        <v>69</v>
      </c>
      <c r="G50" s="152">
        <v>0.7</v>
      </c>
      <c r="H50" s="152">
        <v>18.100000000000001</v>
      </c>
      <c r="I50" s="152">
        <v>0.2</v>
      </c>
      <c r="J50" s="152">
        <v>0.1</v>
      </c>
      <c r="K50" s="152">
        <v>0.9</v>
      </c>
      <c r="L50" s="152">
        <v>15.5</v>
      </c>
      <c r="M50" s="151">
        <v>2</v>
      </c>
      <c r="N50" s="151">
        <v>0</v>
      </c>
      <c r="O50" s="97"/>
    </row>
    <row r="51" spans="1:15">
      <c r="A51" s="151" t="s">
        <v>310</v>
      </c>
      <c r="B51" s="151" t="s">
        <v>311</v>
      </c>
      <c r="C51" s="151" t="s">
        <v>312</v>
      </c>
      <c r="D51" s="151" t="s">
        <v>211</v>
      </c>
      <c r="E51" s="151" t="s">
        <v>212</v>
      </c>
      <c r="F51" s="151">
        <v>110</v>
      </c>
      <c r="G51" s="152">
        <v>7.5</v>
      </c>
      <c r="H51" s="152">
        <v>19.7</v>
      </c>
      <c r="I51" s="152">
        <v>0.5</v>
      </c>
      <c r="J51" s="152">
        <v>0.1</v>
      </c>
      <c r="K51" s="152">
        <v>6.3</v>
      </c>
      <c r="L51" s="152">
        <v>0.6</v>
      </c>
      <c r="M51" s="151">
        <v>5</v>
      </c>
      <c r="N51" s="151">
        <v>1</v>
      </c>
      <c r="O51" s="97"/>
    </row>
    <row r="52" spans="1:15">
      <c r="A52" s="151" t="s">
        <v>313</v>
      </c>
      <c r="B52" s="151" t="s">
        <v>314</v>
      </c>
      <c r="C52" s="151" t="s">
        <v>312</v>
      </c>
      <c r="D52" s="151" t="s">
        <v>211</v>
      </c>
      <c r="E52" s="151" t="s">
        <v>212</v>
      </c>
      <c r="F52" s="151">
        <v>121</v>
      </c>
      <c r="G52" s="152">
        <v>11.9</v>
      </c>
      <c r="H52" s="152">
        <v>8.9</v>
      </c>
      <c r="I52" s="152">
        <v>5.2</v>
      </c>
      <c r="J52" s="152">
        <v>0.7</v>
      </c>
      <c r="K52" s="152">
        <v>5.2</v>
      </c>
      <c r="L52" s="152">
        <v>2.2000000000000002</v>
      </c>
      <c r="M52" s="151">
        <v>6</v>
      </c>
      <c r="N52" s="151">
        <v>2</v>
      </c>
      <c r="O52" s="97"/>
    </row>
    <row r="53" spans="1:15">
      <c r="A53" s="151" t="s">
        <v>315</v>
      </c>
      <c r="B53" s="151" t="s">
        <v>316</v>
      </c>
      <c r="C53" s="151" t="s">
        <v>312</v>
      </c>
      <c r="D53" s="151" t="s">
        <v>211</v>
      </c>
      <c r="E53" s="151" t="s">
        <v>212</v>
      </c>
      <c r="F53" s="151">
        <v>164</v>
      </c>
      <c r="G53" s="152">
        <v>8.9</v>
      </c>
      <c r="H53" s="152">
        <v>27.4</v>
      </c>
      <c r="I53" s="152">
        <v>2.6</v>
      </c>
      <c r="J53" s="152">
        <v>0.3</v>
      </c>
      <c r="K53" s="152">
        <v>7.6</v>
      </c>
      <c r="L53" s="152">
        <v>4.8</v>
      </c>
      <c r="M53" s="151">
        <v>7</v>
      </c>
      <c r="N53" s="151">
        <v>1</v>
      </c>
      <c r="O53" s="97"/>
    </row>
    <row r="54" spans="1:15">
      <c r="A54" s="151" t="s">
        <v>317</v>
      </c>
      <c r="B54" s="151" t="s">
        <v>318</v>
      </c>
      <c r="C54" s="151" t="s">
        <v>312</v>
      </c>
      <c r="D54" s="151" t="s">
        <v>211</v>
      </c>
      <c r="E54" s="151" t="s">
        <v>212</v>
      </c>
      <c r="F54" s="151">
        <v>166</v>
      </c>
      <c r="G54" s="152">
        <v>7.9</v>
      </c>
      <c r="H54" s="152">
        <v>14.3</v>
      </c>
      <c r="I54" s="152">
        <v>9.6</v>
      </c>
      <c r="J54" s="152">
        <v>1.4</v>
      </c>
      <c r="K54" s="152">
        <v>6</v>
      </c>
      <c r="L54" s="152">
        <v>0.3</v>
      </c>
      <c r="M54" s="151">
        <v>300</v>
      </c>
      <c r="N54" s="151">
        <v>4</v>
      </c>
      <c r="O54" s="97"/>
    </row>
    <row r="55" spans="1:15">
      <c r="A55" s="151" t="s">
        <v>319</v>
      </c>
      <c r="B55" s="151" t="s">
        <v>320</v>
      </c>
      <c r="C55" s="151" t="s">
        <v>312</v>
      </c>
      <c r="D55" s="151" t="s">
        <v>211</v>
      </c>
      <c r="E55" s="151" t="s">
        <v>212</v>
      </c>
      <c r="F55" s="151">
        <v>116</v>
      </c>
      <c r="G55" s="152">
        <v>9</v>
      </c>
      <c r="H55" s="152">
        <v>20.100000000000001</v>
      </c>
      <c r="I55" s="152">
        <v>0.4</v>
      </c>
      <c r="J55" s="152">
        <v>0.1</v>
      </c>
      <c r="K55" s="152">
        <v>7.9</v>
      </c>
      <c r="L55" s="152">
        <v>1.8</v>
      </c>
      <c r="M55" s="151">
        <v>2</v>
      </c>
      <c r="N55" s="151">
        <v>1</v>
      </c>
      <c r="O55" s="97"/>
    </row>
    <row r="56" spans="1:15">
      <c r="A56" s="151" t="s">
        <v>321</v>
      </c>
      <c r="B56" s="151" t="s">
        <v>322</v>
      </c>
      <c r="C56" s="151" t="s">
        <v>312</v>
      </c>
      <c r="D56" s="151" t="s">
        <v>211</v>
      </c>
      <c r="E56" s="151" t="s">
        <v>212</v>
      </c>
      <c r="F56" s="151">
        <v>130</v>
      </c>
      <c r="G56" s="152">
        <v>2.7</v>
      </c>
      <c r="H56" s="152">
        <v>28.2</v>
      </c>
      <c r="I56" s="152">
        <v>0.3</v>
      </c>
      <c r="J56" s="152">
        <v>0.1</v>
      </c>
      <c r="K56" s="152">
        <v>0.4</v>
      </c>
      <c r="L56" s="152">
        <v>0.1</v>
      </c>
      <c r="M56" s="151">
        <v>1</v>
      </c>
      <c r="N56" s="151">
        <v>1</v>
      </c>
      <c r="O56" s="97"/>
    </row>
    <row r="57" spans="1:15">
      <c r="A57" s="151" t="s">
        <v>323</v>
      </c>
      <c r="B57" s="151" t="s">
        <v>324</v>
      </c>
      <c r="C57" s="151" t="s">
        <v>312</v>
      </c>
      <c r="D57" s="151" t="s">
        <v>211</v>
      </c>
      <c r="E57" s="151" t="s">
        <v>212</v>
      </c>
      <c r="F57" s="151">
        <v>123</v>
      </c>
      <c r="G57" s="152">
        <v>2.7</v>
      </c>
      <c r="H57" s="152">
        <v>25.6</v>
      </c>
      <c r="I57" s="152">
        <v>1</v>
      </c>
      <c r="J57" s="152">
        <v>0.2</v>
      </c>
      <c r="K57" s="152">
        <v>1.8</v>
      </c>
      <c r="L57" s="152">
        <v>0.4</v>
      </c>
      <c r="M57" s="151">
        <v>2</v>
      </c>
      <c r="N57" s="151">
        <v>1</v>
      </c>
      <c r="O57" s="97"/>
    </row>
    <row r="58" spans="1:15">
      <c r="A58" s="151" t="s">
        <v>325</v>
      </c>
      <c r="B58" s="151" t="s">
        <v>326</v>
      </c>
      <c r="C58" s="151" t="s">
        <v>312</v>
      </c>
      <c r="D58" s="151" t="s">
        <v>211</v>
      </c>
      <c r="E58" s="151" t="s">
        <v>212</v>
      </c>
      <c r="F58" s="151">
        <v>389</v>
      </c>
      <c r="G58" s="152">
        <v>16.899999999999999</v>
      </c>
      <c r="H58" s="152">
        <v>66.3</v>
      </c>
      <c r="I58" s="152">
        <v>6.9</v>
      </c>
      <c r="J58" s="152">
        <v>1.2</v>
      </c>
      <c r="K58" s="152">
        <v>10.6</v>
      </c>
      <c r="L58" s="152">
        <v>0.9</v>
      </c>
      <c r="M58" s="151">
        <v>2</v>
      </c>
      <c r="N58" s="151">
        <v>1</v>
      </c>
      <c r="O58" s="97"/>
    </row>
    <row r="59" spans="1:15">
      <c r="A59" s="151" t="s">
        <v>327</v>
      </c>
      <c r="B59" s="151" t="s">
        <v>328</v>
      </c>
      <c r="C59" s="151" t="s">
        <v>312</v>
      </c>
      <c r="D59" s="151" t="s">
        <v>211</v>
      </c>
      <c r="E59" s="151" t="s">
        <v>212</v>
      </c>
      <c r="F59" s="151">
        <v>90</v>
      </c>
      <c r="G59" s="152">
        <v>2</v>
      </c>
      <c r="H59" s="152">
        <v>21</v>
      </c>
      <c r="I59" s="152">
        <v>0.2</v>
      </c>
      <c r="J59" s="152">
        <v>0</v>
      </c>
      <c r="K59" s="152">
        <v>3</v>
      </c>
      <c r="L59" s="152">
        <v>4.2</v>
      </c>
      <c r="M59" s="151">
        <v>36</v>
      </c>
      <c r="N59" s="151">
        <v>0</v>
      </c>
      <c r="O59" s="97"/>
    </row>
    <row r="60" spans="1:15">
      <c r="A60" s="151" t="s">
        <v>329</v>
      </c>
      <c r="B60" s="151" t="s">
        <v>330</v>
      </c>
      <c r="C60" s="151" t="s">
        <v>312</v>
      </c>
      <c r="D60" s="151" t="s">
        <v>211</v>
      </c>
      <c r="E60" s="151" t="s">
        <v>212</v>
      </c>
      <c r="F60" s="151">
        <v>112</v>
      </c>
      <c r="G60" s="152">
        <v>3.8</v>
      </c>
      <c r="H60" s="152">
        <v>23.2</v>
      </c>
      <c r="I60" s="152">
        <v>0.2</v>
      </c>
      <c r="J60" s="152">
        <v>0</v>
      </c>
      <c r="K60" s="152">
        <v>1.4</v>
      </c>
      <c r="L60" s="152">
        <v>0.1</v>
      </c>
      <c r="M60" s="151">
        <v>5</v>
      </c>
      <c r="N60" s="151">
        <v>2</v>
      </c>
      <c r="O60" s="97"/>
    </row>
    <row r="61" spans="1:15">
      <c r="A61" s="151" t="s">
        <v>331</v>
      </c>
      <c r="B61" s="151" t="s">
        <v>332</v>
      </c>
      <c r="C61" s="151" t="s">
        <v>312</v>
      </c>
      <c r="D61" s="151" t="s">
        <v>211</v>
      </c>
      <c r="E61" s="151" t="s">
        <v>212</v>
      </c>
      <c r="F61" s="151">
        <v>250</v>
      </c>
      <c r="G61" s="152">
        <v>9</v>
      </c>
      <c r="H61" s="152">
        <v>49</v>
      </c>
      <c r="I61" s="152">
        <v>3.2</v>
      </c>
      <c r="J61" s="152">
        <v>0.7</v>
      </c>
      <c r="K61" s="152">
        <v>2.7</v>
      </c>
      <c r="L61" s="152">
        <v>5</v>
      </c>
      <c r="M61" s="151">
        <v>490</v>
      </c>
      <c r="N61" s="151">
        <v>5</v>
      </c>
      <c r="O61" s="97"/>
    </row>
    <row r="62" spans="1:15">
      <c r="A62" s="151" t="s">
        <v>333</v>
      </c>
      <c r="B62" s="151" t="s">
        <v>334</v>
      </c>
      <c r="C62" s="151" t="s">
        <v>312</v>
      </c>
      <c r="D62" s="151" t="s">
        <v>211</v>
      </c>
      <c r="E62" s="151" t="s">
        <v>212</v>
      </c>
      <c r="F62" s="151">
        <v>259</v>
      </c>
      <c r="G62" s="152">
        <v>8.5</v>
      </c>
      <c r="H62" s="152">
        <v>48</v>
      </c>
      <c r="I62" s="152">
        <v>3.3</v>
      </c>
      <c r="J62" s="152">
        <v>0.6</v>
      </c>
      <c r="K62" s="152">
        <v>6</v>
      </c>
      <c r="L62" s="152">
        <v>5</v>
      </c>
      <c r="M62" s="151">
        <v>600</v>
      </c>
      <c r="N62" s="151">
        <v>5</v>
      </c>
      <c r="O62" s="97"/>
    </row>
    <row r="63" spans="1:15">
      <c r="A63" s="151" t="s">
        <v>335</v>
      </c>
      <c r="B63" s="151" t="s">
        <v>336</v>
      </c>
      <c r="C63" s="151" t="s">
        <v>312</v>
      </c>
      <c r="D63" s="151" t="s">
        <v>211</v>
      </c>
      <c r="E63" s="151" t="s">
        <v>212</v>
      </c>
      <c r="F63" s="151">
        <v>240</v>
      </c>
      <c r="G63" s="152">
        <v>9</v>
      </c>
      <c r="H63" s="152">
        <v>42</v>
      </c>
      <c r="I63" s="152">
        <v>4</v>
      </c>
      <c r="J63" s="152">
        <v>0.8</v>
      </c>
      <c r="K63" s="152">
        <v>6</v>
      </c>
      <c r="L63" s="152">
        <v>5</v>
      </c>
      <c r="M63" s="151">
        <v>450</v>
      </c>
      <c r="N63" s="151">
        <v>4</v>
      </c>
      <c r="O63" s="97"/>
    </row>
    <row r="64" spans="1:15">
      <c r="A64" s="151" t="s">
        <v>337</v>
      </c>
      <c r="B64" s="151" t="s">
        <v>338</v>
      </c>
      <c r="C64" s="151" t="s">
        <v>312</v>
      </c>
      <c r="D64" s="151" t="s">
        <v>211</v>
      </c>
      <c r="E64" s="151" t="s">
        <v>212</v>
      </c>
      <c r="F64" s="151">
        <v>124</v>
      </c>
      <c r="G64" s="152">
        <v>5</v>
      </c>
      <c r="H64" s="152">
        <v>26</v>
      </c>
      <c r="I64" s="152">
        <v>0.9</v>
      </c>
      <c r="J64" s="152">
        <v>0.2</v>
      </c>
      <c r="K64" s="152">
        <v>3</v>
      </c>
      <c r="L64" s="152">
        <v>1</v>
      </c>
      <c r="M64" s="151">
        <v>6</v>
      </c>
      <c r="N64" s="151">
        <v>3</v>
      </c>
      <c r="O64" s="97"/>
    </row>
    <row r="65" spans="1:15">
      <c r="A65" s="151" t="s">
        <v>339</v>
      </c>
      <c r="B65" s="151" t="s">
        <v>340</v>
      </c>
      <c r="C65" s="151" t="s">
        <v>312</v>
      </c>
      <c r="D65" s="151" t="s">
        <v>211</v>
      </c>
      <c r="E65" s="151" t="s">
        <v>212</v>
      </c>
      <c r="F65" s="151">
        <v>87</v>
      </c>
      <c r="G65" s="152">
        <v>2</v>
      </c>
      <c r="H65" s="152">
        <v>20.100000000000001</v>
      </c>
      <c r="I65" s="152">
        <v>0.1</v>
      </c>
      <c r="J65" s="152">
        <v>0</v>
      </c>
      <c r="K65" s="152">
        <v>1.8</v>
      </c>
      <c r="L65" s="152">
        <v>0.9</v>
      </c>
      <c r="M65" s="151">
        <v>7</v>
      </c>
      <c r="N65" s="151">
        <v>0</v>
      </c>
      <c r="O65" s="97"/>
    </row>
    <row r="66" spans="1:15">
      <c r="A66" s="151" t="s">
        <v>341</v>
      </c>
      <c r="B66" s="151" t="s">
        <v>342</v>
      </c>
      <c r="C66" s="151" t="s">
        <v>312</v>
      </c>
      <c r="D66" s="151" t="s">
        <v>211</v>
      </c>
      <c r="E66" s="151" t="s">
        <v>212</v>
      </c>
      <c r="F66" s="151">
        <v>120</v>
      </c>
      <c r="G66" s="152">
        <v>4.4000000000000004</v>
      </c>
      <c r="H66" s="152">
        <v>21.3</v>
      </c>
      <c r="I66" s="152">
        <v>1.9</v>
      </c>
      <c r="J66" s="152">
        <v>0.2</v>
      </c>
      <c r="K66" s="152">
        <v>2.8</v>
      </c>
      <c r="L66" s="152">
        <v>0.9</v>
      </c>
      <c r="M66" s="151">
        <v>7</v>
      </c>
      <c r="N66" s="151">
        <v>1</v>
      </c>
      <c r="O66" s="97"/>
    </row>
    <row r="67" spans="1:15">
      <c r="A67" s="151" t="s">
        <v>343</v>
      </c>
      <c r="B67" s="151" t="s">
        <v>344</v>
      </c>
      <c r="C67" s="151" t="s">
        <v>345</v>
      </c>
      <c r="D67" s="151" t="s">
        <v>211</v>
      </c>
      <c r="E67" s="151" t="s">
        <v>212</v>
      </c>
      <c r="F67" s="151">
        <v>109</v>
      </c>
      <c r="G67" s="152">
        <v>24</v>
      </c>
      <c r="H67" s="152">
        <v>0</v>
      </c>
      <c r="I67" s="152">
        <v>1</v>
      </c>
      <c r="J67" s="152">
        <v>0.3</v>
      </c>
      <c r="K67" s="152">
        <v>0</v>
      </c>
      <c r="L67" s="152">
        <v>0</v>
      </c>
      <c r="M67" s="151">
        <v>50</v>
      </c>
      <c r="N67" s="151">
        <v>2</v>
      </c>
      <c r="O67" s="97"/>
    </row>
    <row r="68" spans="1:15">
      <c r="A68" s="151" t="s">
        <v>346</v>
      </c>
      <c r="B68" s="151" t="s">
        <v>347</v>
      </c>
      <c r="C68" s="151" t="s">
        <v>345</v>
      </c>
      <c r="D68" s="151" t="s">
        <v>211</v>
      </c>
      <c r="E68" s="151" t="s">
        <v>212</v>
      </c>
      <c r="F68" s="151">
        <v>116</v>
      </c>
      <c r="G68" s="152">
        <v>26</v>
      </c>
      <c r="H68" s="152">
        <v>0</v>
      </c>
      <c r="I68" s="152">
        <v>1</v>
      </c>
      <c r="J68" s="152">
        <v>0.3</v>
      </c>
      <c r="K68" s="152">
        <v>0</v>
      </c>
      <c r="L68" s="152">
        <v>0</v>
      </c>
      <c r="M68" s="151">
        <v>300</v>
      </c>
      <c r="N68" s="151">
        <v>5</v>
      </c>
      <c r="O68" s="97"/>
    </row>
    <row r="69" spans="1:15">
      <c r="A69" s="151" t="s">
        <v>348</v>
      </c>
      <c r="B69" s="151" t="s">
        <v>349</v>
      </c>
      <c r="C69" s="151" t="s">
        <v>345</v>
      </c>
      <c r="D69" s="151" t="s">
        <v>211</v>
      </c>
      <c r="E69" s="151" t="s">
        <v>212</v>
      </c>
      <c r="F69" s="151">
        <v>82</v>
      </c>
      <c r="G69" s="152">
        <v>18</v>
      </c>
      <c r="H69" s="152">
        <v>0</v>
      </c>
      <c r="I69" s="152">
        <v>0.7</v>
      </c>
      <c r="J69" s="152">
        <v>0.1</v>
      </c>
      <c r="K69" s="152">
        <v>0</v>
      </c>
      <c r="L69" s="152">
        <v>0</v>
      </c>
      <c r="M69" s="151">
        <v>54</v>
      </c>
      <c r="N69" s="151">
        <v>1</v>
      </c>
      <c r="O69" s="97"/>
    </row>
    <row r="70" spans="1:15">
      <c r="A70" s="151" t="s">
        <v>350</v>
      </c>
      <c r="B70" s="151" t="s">
        <v>351</v>
      </c>
      <c r="C70" s="151" t="s">
        <v>345</v>
      </c>
      <c r="D70" s="151" t="s">
        <v>211</v>
      </c>
      <c r="E70" s="151" t="s">
        <v>212</v>
      </c>
      <c r="F70" s="151">
        <v>140</v>
      </c>
      <c r="G70" s="152">
        <v>24</v>
      </c>
      <c r="H70" s="152">
        <v>0</v>
      </c>
      <c r="I70" s="152">
        <v>5</v>
      </c>
      <c r="J70" s="152">
        <v>1.3</v>
      </c>
      <c r="K70" s="152">
        <v>0</v>
      </c>
      <c r="L70" s="152">
        <v>0</v>
      </c>
      <c r="M70" s="151">
        <v>60</v>
      </c>
      <c r="N70" s="151">
        <v>1</v>
      </c>
      <c r="O70" s="97"/>
    </row>
    <row r="71" spans="1:15">
      <c r="A71" s="151" t="s">
        <v>352</v>
      </c>
      <c r="B71" s="151" t="s">
        <v>353</v>
      </c>
      <c r="C71" s="151" t="s">
        <v>345</v>
      </c>
      <c r="D71" s="151" t="s">
        <v>211</v>
      </c>
      <c r="E71" s="151" t="s">
        <v>212</v>
      </c>
      <c r="F71" s="151">
        <v>92</v>
      </c>
      <c r="G71" s="152">
        <v>15.6</v>
      </c>
      <c r="H71" s="152">
        <v>3.1</v>
      </c>
      <c r="I71" s="152">
        <v>1.4</v>
      </c>
      <c r="J71" s="152">
        <v>0.4</v>
      </c>
      <c r="K71" s="152">
        <v>0</v>
      </c>
      <c r="L71" s="152">
        <v>0</v>
      </c>
      <c r="M71" s="151">
        <v>44</v>
      </c>
      <c r="N71" s="151">
        <v>1</v>
      </c>
      <c r="O71" s="97"/>
    </row>
    <row r="72" spans="1:15">
      <c r="A72" s="151" t="s">
        <v>354</v>
      </c>
      <c r="B72" s="151" t="s">
        <v>355</v>
      </c>
      <c r="C72" s="151" t="s">
        <v>345</v>
      </c>
      <c r="D72" s="151" t="s">
        <v>211</v>
      </c>
      <c r="E72" s="151" t="s">
        <v>212</v>
      </c>
      <c r="F72" s="151">
        <v>136</v>
      </c>
      <c r="G72" s="152">
        <v>21</v>
      </c>
      <c r="H72" s="152">
        <v>0</v>
      </c>
      <c r="I72" s="152">
        <v>5.5</v>
      </c>
      <c r="J72" s="152">
        <v>1.5</v>
      </c>
      <c r="K72" s="152">
        <v>0</v>
      </c>
      <c r="L72" s="152">
        <v>0</v>
      </c>
      <c r="M72" s="151">
        <v>45</v>
      </c>
      <c r="N72" s="151">
        <v>1</v>
      </c>
      <c r="O72" s="97"/>
    </row>
    <row r="73" spans="1:15">
      <c r="A73" s="151" t="s">
        <v>356</v>
      </c>
      <c r="B73" s="151" t="s">
        <v>357</v>
      </c>
      <c r="C73" s="151" t="s">
        <v>345</v>
      </c>
      <c r="D73" s="151" t="s">
        <v>211</v>
      </c>
      <c r="E73" s="151" t="s">
        <v>212</v>
      </c>
      <c r="F73" s="151">
        <v>250</v>
      </c>
      <c r="G73" s="152">
        <v>25</v>
      </c>
      <c r="H73" s="152">
        <v>0</v>
      </c>
      <c r="I73" s="152">
        <v>20</v>
      </c>
      <c r="J73" s="152">
        <v>9</v>
      </c>
      <c r="K73" s="152">
        <v>0</v>
      </c>
      <c r="L73" s="152">
        <v>0</v>
      </c>
      <c r="M73" s="151">
        <v>70</v>
      </c>
      <c r="N73" s="151">
        <v>2</v>
      </c>
      <c r="O73" s="97"/>
    </row>
    <row r="74" spans="1:15">
      <c r="A74" s="151" t="s">
        <v>358</v>
      </c>
      <c r="B74" s="151" t="s">
        <v>359</v>
      </c>
      <c r="C74" s="151" t="s">
        <v>345</v>
      </c>
      <c r="D74" s="151" t="s">
        <v>211</v>
      </c>
      <c r="E74" s="151" t="s">
        <v>212</v>
      </c>
      <c r="F74" s="151">
        <v>140</v>
      </c>
      <c r="G74" s="152">
        <v>26</v>
      </c>
      <c r="H74" s="152">
        <v>0</v>
      </c>
      <c r="I74" s="152">
        <v>4</v>
      </c>
      <c r="J74" s="152">
        <v>1.5</v>
      </c>
      <c r="K74" s="152">
        <v>0</v>
      </c>
      <c r="L74" s="152">
        <v>0</v>
      </c>
      <c r="M74" s="151">
        <v>70</v>
      </c>
      <c r="N74" s="151">
        <v>2</v>
      </c>
      <c r="O74" s="97"/>
    </row>
    <row r="75" spans="1:15">
      <c r="A75" s="151" t="s">
        <v>360</v>
      </c>
      <c r="B75" s="151" t="s">
        <v>361</v>
      </c>
      <c r="C75" s="151" t="s">
        <v>345</v>
      </c>
      <c r="D75" s="151" t="s">
        <v>211</v>
      </c>
      <c r="E75" s="151" t="s">
        <v>212</v>
      </c>
      <c r="F75" s="151">
        <v>52</v>
      </c>
      <c r="G75" s="152">
        <v>11</v>
      </c>
      <c r="H75" s="152">
        <v>1</v>
      </c>
      <c r="I75" s="152">
        <v>0.2</v>
      </c>
      <c r="J75" s="152">
        <v>0</v>
      </c>
      <c r="K75" s="152">
        <v>0</v>
      </c>
      <c r="L75" s="152">
        <v>1</v>
      </c>
      <c r="M75" s="151">
        <v>166</v>
      </c>
      <c r="N75" s="151">
        <v>3</v>
      </c>
      <c r="O75" s="97"/>
    </row>
    <row r="76" spans="1:15">
      <c r="A76" s="151" t="s">
        <v>362</v>
      </c>
      <c r="B76" s="151" t="s">
        <v>363</v>
      </c>
      <c r="C76" s="151" t="s">
        <v>345</v>
      </c>
      <c r="D76" s="151" t="s">
        <v>211</v>
      </c>
      <c r="E76" s="151" t="s">
        <v>212</v>
      </c>
      <c r="F76" s="151">
        <v>99</v>
      </c>
      <c r="G76" s="152">
        <v>24</v>
      </c>
      <c r="H76" s="152">
        <v>0.2</v>
      </c>
      <c r="I76" s="152">
        <v>0.3</v>
      </c>
      <c r="J76" s="152">
        <v>0.1</v>
      </c>
      <c r="K76" s="152">
        <v>0</v>
      </c>
      <c r="L76" s="152">
        <v>0</v>
      </c>
      <c r="M76" s="151">
        <v>150</v>
      </c>
      <c r="N76" s="151">
        <v>1</v>
      </c>
      <c r="O76" s="97"/>
    </row>
    <row r="77" spans="1:15">
      <c r="A77" s="151" t="s">
        <v>364</v>
      </c>
      <c r="B77" s="151" t="s">
        <v>365</v>
      </c>
      <c r="C77" s="151" t="s">
        <v>345</v>
      </c>
      <c r="D77" s="151" t="s">
        <v>211</v>
      </c>
      <c r="E77" s="151" t="s">
        <v>212</v>
      </c>
      <c r="F77" s="151">
        <v>170</v>
      </c>
      <c r="G77" s="152">
        <v>20</v>
      </c>
      <c r="H77" s="152">
        <v>2</v>
      </c>
      <c r="I77" s="152">
        <v>10</v>
      </c>
      <c r="J77" s="152">
        <v>4</v>
      </c>
      <c r="K77" s="152">
        <v>0</v>
      </c>
      <c r="L77" s="152">
        <v>0.5</v>
      </c>
      <c r="M77" s="151">
        <v>450</v>
      </c>
      <c r="N77" s="151">
        <v>6</v>
      </c>
      <c r="O77" s="97"/>
    </row>
    <row r="78" spans="1:15">
      <c r="A78" s="151" t="s">
        <v>366</v>
      </c>
      <c r="B78" s="151" t="s">
        <v>367</v>
      </c>
      <c r="C78" s="151" t="s">
        <v>345</v>
      </c>
      <c r="D78" s="151" t="s">
        <v>368</v>
      </c>
      <c r="E78" s="151" t="s">
        <v>369</v>
      </c>
      <c r="F78" s="151">
        <v>78</v>
      </c>
      <c r="G78" s="152">
        <v>6.5</v>
      </c>
      <c r="H78" s="152">
        <v>0.6</v>
      </c>
      <c r="I78" s="152">
        <v>5.3</v>
      </c>
      <c r="J78" s="152">
        <v>1.6</v>
      </c>
      <c r="K78" s="152">
        <v>0</v>
      </c>
      <c r="L78" s="152">
        <v>0.6</v>
      </c>
      <c r="M78" s="151">
        <v>62</v>
      </c>
      <c r="N78" s="151">
        <v>1</v>
      </c>
      <c r="O78" s="97"/>
    </row>
    <row r="79" spans="1:15">
      <c r="A79" s="151" t="s">
        <v>370</v>
      </c>
      <c r="B79" s="151" t="s">
        <v>371</v>
      </c>
      <c r="C79" s="151" t="s">
        <v>345</v>
      </c>
      <c r="D79" s="151" t="s">
        <v>211</v>
      </c>
      <c r="E79" s="151" t="s">
        <v>212</v>
      </c>
      <c r="F79" s="151">
        <v>143</v>
      </c>
      <c r="G79" s="152">
        <v>22</v>
      </c>
      <c r="H79" s="152">
        <v>0</v>
      </c>
      <c r="I79" s="152">
        <v>5.9</v>
      </c>
      <c r="J79" s="152">
        <v>2</v>
      </c>
      <c r="K79" s="152">
        <v>0</v>
      </c>
      <c r="L79" s="152">
        <v>0</v>
      </c>
      <c r="M79" s="151">
        <v>62</v>
      </c>
      <c r="N79" s="151">
        <v>2</v>
      </c>
      <c r="O79" s="97"/>
    </row>
    <row r="80" spans="1:15">
      <c r="A80" s="151" t="s">
        <v>372</v>
      </c>
      <c r="B80" s="151" t="s">
        <v>373</v>
      </c>
      <c r="C80" s="151" t="s">
        <v>345</v>
      </c>
      <c r="D80" s="151" t="s">
        <v>211</v>
      </c>
      <c r="E80" s="151" t="s">
        <v>212</v>
      </c>
      <c r="F80" s="151">
        <v>172</v>
      </c>
      <c r="G80" s="152">
        <v>24</v>
      </c>
      <c r="H80" s="152">
        <v>7.4</v>
      </c>
      <c r="I80" s="152">
        <v>4.5</v>
      </c>
      <c r="J80" s="152">
        <v>1.2</v>
      </c>
      <c r="K80" s="152">
        <v>0</v>
      </c>
      <c r="L80" s="152">
        <v>0</v>
      </c>
      <c r="M80" s="151">
        <v>286</v>
      </c>
      <c r="N80" s="151">
        <v>1</v>
      </c>
      <c r="O80" s="97"/>
    </row>
    <row r="81" spans="1:15">
      <c r="A81" s="151" t="s">
        <v>374</v>
      </c>
      <c r="B81" s="151" t="s">
        <v>375</v>
      </c>
      <c r="C81" s="151" t="s">
        <v>345</v>
      </c>
      <c r="D81" s="151" t="s">
        <v>211</v>
      </c>
      <c r="E81" s="151" t="s">
        <v>212</v>
      </c>
      <c r="F81" s="151">
        <v>73</v>
      </c>
      <c r="G81" s="152">
        <v>16</v>
      </c>
      <c r="H81" s="152">
        <v>0</v>
      </c>
      <c r="I81" s="152">
        <v>1</v>
      </c>
      <c r="J81" s="152">
        <v>0.2</v>
      </c>
      <c r="K81" s="152">
        <v>0</v>
      </c>
      <c r="L81" s="152">
        <v>0</v>
      </c>
      <c r="M81" s="151">
        <v>60</v>
      </c>
      <c r="N81" s="151">
        <v>1</v>
      </c>
      <c r="O81" s="97"/>
    </row>
    <row r="82" spans="1:15">
      <c r="A82" s="151" t="s">
        <v>376</v>
      </c>
      <c r="B82" s="151" t="s">
        <v>377</v>
      </c>
      <c r="C82" s="151" t="s">
        <v>345</v>
      </c>
      <c r="D82" s="151" t="s">
        <v>211</v>
      </c>
      <c r="E82" s="151" t="s">
        <v>212</v>
      </c>
      <c r="F82" s="151">
        <v>110</v>
      </c>
      <c r="G82" s="152">
        <v>24</v>
      </c>
      <c r="H82" s="152">
        <v>0</v>
      </c>
      <c r="I82" s="152">
        <v>1</v>
      </c>
      <c r="J82" s="152">
        <v>0.3</v>
      </c>
      <c r="K82" s="152">
        <v>0</v>
      </c>
      <c r="L82" s="152">
        <v>0</v>
      </c>
      <c r="M82" s="151">
        <v>70</v>
      </c>
      <c r="N82" s="151">
        <v>1</v>
      </c>
      <c r="O82" s="97"/>
    </row>
    <row r="83" spans="1:15">
      <c r="A83" s="151" t="s">
        <v>378</v>
      </c>
      <c r="B83" s="151" t="s">
        <v>379</v>
      </c>
      <c r="C83" s="151" t="s">
        <v>345</v>
      </c>
      <c r="D83" s="151" t="s">
        <v>211</v>
      </c>
      <c r="E83" s="151" t="s">
        <v>212</v>
      </c>
      <c r="F83" s="151">
        <v>165</v>
      </c>
      <c r="G83" s="152">
        <v>31</v>
      </c>
      <c r="H83" s="152">
        <v>0</v>
      </c>
      <c r="I83" s="152">
        <v>2</v>
      </c>
      <c r="J83" s="152">
        <v>1</v>
      </c>
      <c r="K83" s="152">
        <v>0</v>
      </c>
      <c r="L83" s="152">
        <v>0</v>
      </c>
      <c r="M83" s="151">
        <v>74</v>
      </c>
      <c r="N83" s="151">
        <v>1</v>
      </c>
      <c r="O83" s="97"/>
    </row>
    <row r="84" spans="1:15">
      <c r="A84" s="151" t="s">
        <v>380</v>
      </c>
      <c r="B84" s="151" t="s">
        <v>381</v>
      </c>
      <c r="C84" s="151" t="s">
        <v>345</v>
      </c>
      <c r="D84" s="151" t="s">
        <v>211</v>
      </c>
      <c r="E84" s="151" t="s">
        <v>212</v>
      </c>
      <c r="F84" s="151">
        <v>135</v>
      </c>
      <c r="G84" s="152">
        <v>29</v>
      </c>
      <c r="H84" s="152">
        <v>0</v>
      </c>
      <c r="I84" s="152">
        <v>1.6</v>
      </c>
      <c r="J84" s="152">
        <v>0.4</v>
      </c>
      <c r="K84" s="152">
        <v>0</v>
      </c>
      <c r="L84" s="152">
        <v>0</v>
      </c>
      <c r="M84" s="151">
        <v>80</v>
      </c>
      <c r="N84" s="151">
        <v>2</v>
      </c>
      <c r="O84" s="97"/>
    </row>
    <row r="85" spans="1:15">
      <c r="A85" s="151" t="s">
        <v>382</v>
      </c>
      <c r="B85" s="151" t="s">
        <v>383</v>
      </c>
      <c r="C85" s="151" t="s">
        <v>345</v>
      </c>
      <c r="D85" s="151" t="s">
        <v>211</v>
      </c>
      <c r="E85" s="151" t="s">
        <v>212</v>
      </c>
      <c r="F85" s="151">
        <v>200</v>
      </c>
      <c r="G85" s="152">
        <v>20</v>
      </c>
      <c r="H85" s="152">
        <v>0</v>
      </c>
      <c r="I85" s="152">
        <v>13</v>
      </c>
      <c r="J85" s="152">
        <v>3</v>
      </c>
      <c r="K85" s="152">
        <v>0</v>
      </c>
      <c r="L85" s="152">
        <v>0</v>
      </c>
      <c r="M85" s="151">
        <v>70</v>
      </c>
      <c r="N85" s="151">
        <v>1</v>
      </c>
      <c r="O85" s="97"/>
    </row>
    <row r="86" spans="1:15">
      <c r="A86" s="151" t="s">
        <v>384</v>
      </c>
      <c r="B86" s="151" t="s">
        <v>385</v>
      </c>
      <c r="C86" s="151" t="s">
        <v>345</v>
      </c>
      <c r="D86" s="151" t="s">
        <v>211</v>
      </c>
      <c r="E86" s="151" t="s">
        <v>212</v>
      </c>
      <c r="F86" s="151">
        <v>90</v>
      </c>
      <c r="G86" s="152">
        <v>20</v>
      </c>
      <c r="H86" s="152">
        <v>0</v>
      </c>
      <c r="I86" s="152">
        <v>1</v>
      </c>
      <c r="J86" s="152">
        <v>0.2</v>
      </c>
      <c r="K86" s="152">
        <v>0</v>
      </c>
      <c r="L86" s="152">
        <v>0</v>
      </c>
      <c r="M86" s="151">
        <v>70</v>
      </c>
      <c r="N86" s="151">
        <v>1</v>
      </c>
      <c r="O86" s="97"/>
    </row>
    <row r="87" spans="1:15">
      <c r="A87" s="151" t="s">
        <v>386</v>
      </c>
      <c r="B87" s="151" t="s">
        <v>387</v>
      </c>
      <c r="C87" s="151" t="s">
        <v>345</v>
      </c>
      <c r="D87" s="151" t="s">
        <v>211</v>
      </c>
      <c r="E87" s="151" t="s">
        <v>212</v>
      </c>
      <c r="F87" s="151">
        <v>165</v>
      </c>
      <c r="G87" s="152">
        <v>31</v>
      </c>
      <c r="H87" s="152">
        <v>0</v>
      </c>
      <c r="I87" s="152">
        <v>3.6</v>
      </c>
      <c r="J87" s="152">
        <v>1</v>
      </c>
      <c r="K87" s="152">
        <v>0</v>
      </c>
      <c r="L87" s="152">
        <v>0</v>
      </c>
      <c r="M87" s="151">
        <v>74</v>
      </c>
      <c r="N87" s="151">
        <v>1</v>
      </c>
      <c r="O87" s="97"/>
    </row>
    <row r="88" spans="1:15">
      <c r="A88" s="151" t="s">
        <v>388</v>
      </c>
      <c r="B88" s="151" t="s">
        <v>389</v>
      </c>
      <c r="C88" s="151" t="s">
        <v>345</v>
      </c>
      <c r="D88" s="151" t="s">
        <v>211</v>
      </c>
      <c r="E88" s="151" t="s">
        <v>212</v>
      </c>
      <c r="F88" s="151">
        <v>82</v>
      </c>
      <c r="G88" s="152">
        <v>15</v>
      </c>
      <c r="H88" s="152">
        <v>2</v>
      </c>
      <c r="I88" s="152">
        <v>1</v>
      </c>
      <c r="J88" s="152">
        <v>0.2</v>
      </c>
      <c r="K88" s="152">
        <v>0</v>
      </c>
      <c r="L88" s="152">
        <v>0</v>
      </c>
      <c r="M88" s="151">
        <v>230</v>
      </c>
      <c r="N88" s="151">
        <v>1</v>
      </c>
      <c r="O88" s="97"/>
    </row>
    <row r="89" spans="1:15">
      <c r="A89" s="151" t="s">
        <v>390</v>
      </c>
      <c r="B89" s="151" t="s">
        <v>391</v>
      </c>
      <c r="C89" s="151" t="s">
        <v>345</v>
      </c>
      <c r="D89" s="151" t="s">
        <v>211</v>
      </c>
      <c r="E89" s="151" t="s">
        <v>212</v>
      </c>
      <c r="F89" s="151">
        <v>208</v>
      </c>
      <c r="G89" s="152">
        <v>20</v>
      </c>
      <c r="H89" s="152">
        <v>0</v>
      </c>
      <c r="I89" s="152">
        <v>13</v>
      </c>
      <c r="J89" s="152">
        <v>3.1</v>
      </c>
      <c r="K89" s="152">
        <v>0</v>
      </c>
      <c r="L89" s="152">
        <v>0</v>
      </c>
      <c r="M89" s="151">
        <v>59</v>
      </c>
      <c r="N89" s="151">
        <v>1</v>
      </c>
      <c r="O89" s="97"/>
    </row>
    <row r="90" spans="1:15">
      <c r="A90" s="151" t="s">
        <v>392</v>
      </c>
      <c r="B90" s="151" t="s">
        <v>393</v>
      </c>
      <c r="C90" s="151" t="s">
        <v>345</v>
      </c>
      <c r="D90" s="151" t="s">
        <v>211</v>
      </c>
      <c r="E90" s="151" t="s">
        <v>212</v>
      </c>
      <c r="F90" s="151">
        <v>208</v>
      </c>
      <c r="G90" s="152">
        <v>25</v>
      </c>
      <c r="H90" s="152">
        <v>0</v>
      </c>
      <c r="I90" s="152">
        <v>11</v>
      </c>
      <c r="J90" s="152">
        <v>2</v>
      </c>
      <c r="K90" s="152">
        <v>0</v>
      </c>
      <c r="L90" s="152">
        <v>0</v>
      </c>
      <c r="M90" s="151">
        <v>120</v>
      </c>
      <c r="N90" s="151">
        <v>2</v>
      </c>
      <c r="O90" s="97"/>
    </row>
    <row r="91" spans="1:15">
      <c r="A91" s="151" t="s">
        <v>394</v>
      </c>
      <c r="B91" s="151" t="s">
        <v>395</v>
      </c>
      <c r="C91" s="151" t="s">
        <v>345</v>
      </c>
      <c r="D91" s="151" t="s">
        <v>211</v>
      </c>
      <c r="E91" s="151" t="s">
        <v>212</v>
      </c>
      <c r="F91" s="151">
        <v>193</v>
      </c>
      <c r="G91" s="152">
        <v>20</v>
      </c>
      <c r="H91" s="152">
        <v>9</v>
      </c>
      <c r="I91" s="152">
        <v>11</v>
      </c>
      <c r="J91" s="152">
        <v>2.2000000000000002</v>
      </c>
      <c r="K91" s="152">
        <v>1.4</v>
      </c>
      <c r="L91" s="152">
        <v>0.5</v>
      </c>
      <c r="M91" s="151">
        <v>9</v>
      </c>
      <c r="N91" s="151">
        <v>3</v>
      </c>
      <c r="O91" s="97"/>
    </row>
    <row r="92" spans="1:15">
      <c r="A92" s="151" t="s">
        <v>396</v>
      </c>
      <c r="B92" s="151" t="s">
        <v>397</v>
      </c>
      <c r="C92" s="151" t="s">
        <v>345</v>
      </c>
      <c r="D92" s="151" t="s">
        <v>211</v>
      </c>
      <c r="E92" s="151" t="s">
        <v>212</v>
      </c>
      <c r="F92" s="151">
        <v>170</v>
      </c>
      <c r="G92" s="152">
        <v>26</v>
      </c>
      <c r="H92" s="152">
        <v>0</v>
      </c>
      <c r="I92" s="152">
        <v>7</v>
      </c>
      <c r="J92" s="152">
        <v>3</v>
      </c>
      <c r="K92" s="152">
        <v>0</v>
      </c>
      <c r="L92" s="152">
        <v>0</v>
      </c>
      <c r="M92" s="151">
        <v>72</v>
      </c>
      <c r="N92" s="151">
        <v>2</v>
      </c>
      <c r="O92" s="97"/>
    </row>
    <row r="93" spans="1:15">
      <c r="A93" s="151" t="s">
        <v>398</v>
      </c>
      <c r="B93" s="151" t="s">
        <v>399</v>
      </c>
      <c r="C93" s="151" t="s">
        <v>345</v>
      </c>
      <c r="D93" s="151" t="s">
        <v>211</v>
      </c>
      <c r="E93" s="151" t="s">
        <v>212</v>
      </c>
      <c r="F93" s="151">
        <v>76</v>
      </c>
      <c r="G93" s="152">
        <v>8</v>
      </c>
      <c r="H93" s="152">
        <v>1.9</v>
      </c>
      <c r="I93" s="152">
        <v>4.8</v>
      </c>
      <c r="J93" s="152">
        <v>0.7</v>
      </c>
      <c r="K93" s="152">
        <v>0.3</v>
      </c>
      <c r="L93" s="152">
        <v>0.3</v>
      </c>
      <c r="M93" s="151">
        <v>7</v>
      </c>
      <c r="N93" s="151">
        <v>2</v>
      </c>
      <c r="O93" s="97"/>
    </row>
    <row r="94" spans="1:15">
      <c r="A94" s="151" t="s">
        <v>400</v>
      </c>
      <c r="B94" s="151" t="s">
        <v>401</v>
      </c>
      <c r="C94" s="151" t="s">
        <v>402</v>
      </c>
      <c r="D94" s="151" t="s">
        <v>211</v>
      </c>
      <c r="E94" s="151" t="s">
        <v>212</v>
      </c>
      <c r="F94" s="151">
        <v>60</v>
      </c>
      <c r="G94" s="152">
        <v>3.5</v>
      </c>
      <c r="H94" s="152">
        <v>4.8</v>
      </c>
      <c r="I94" s="152">
        <v>3.3</v>
      </c>
      <c r="J94" s="152">
        <v>2.1</v>
      </c>
      <c r="K94" s="152">
        <v>0</v>
      </c>
      <c r="L94" s="152">
        <v>4.8</v>
      </c>
      <c r="M94" s="151">
        <v>40</v>
      </c>
      <c r="N94" s="151">
        <v>4</v>
      </c>
      <c r="O94" s="97"/>
    </row>
    <row r="95" spans="1:15">
      <c r="A95" s="151" t="s">
        <v>403</v>
      </c>
      <c r="B95" s="151" t="s">
        <v>404</v>
      </c>
      <c r="C95" s="151" t="s">
        <v>402</v>
      </c>
      <c r="D95" s="151" t="s">
        <v>211</v>
      </c>
      <c r="E95" s="151" t="s">
        <v>212</v>
      </c>
      <c r="F95" s="151">
        <v>42</v>
      </c>
      <c r="G95" s="152">
        <v>3.4</v>
      </c>
      <c r="H95" s="152">
        <v>5</v>
      </c>
      <c r="I95" s="152">
        <v>1</v>
      </c>
      <c r="J95" s="152">
        <v>0.6</v>
      </c>
      <c r="K95" s="152">
        <v>0</v>
      </c>
      <c r="L95" s="152">
        <v>5</v>
      </c>
      <c r="M95" s="151">
        <v>44</v>
      </c>
      <c r="N95" s="151">
        <v>2</v>
      </c>
      <c r="O95" s="97"/>
    </row>
    <row r="96" spans="1:15">
      <c r="A96" s="151" t="s">
        <v>405</v>
      </c>
      <c r="B96" s="151" t="s">
        <v>406</v>
      </c>
      <c r="C96" s="151" t="s">
        <v>402</v>
      </c>
      <c r="D96" s="151" t="s">
        <v>211</v>
      </c>
      <c r="E96" s="151" t="s">
        <v>212</v>
      </c>
      <c r="F96" s="151">
        <v>280</v>
      </c>
      <c r="G96" s="152">
        <v>28</v>
      </c>
      <c r="H96" s="152">
        <v>3</v>
      </c>
      <c r="I96" s="152">
        <v>17</v>
      </c>
      <c r="J96" s="152">
        <v>10</v>
      </c>
      <c r="K96" s="152">
        <v>0</v>
      </c>
      <c r="L96" s="152">
        <v>1</v>
      </c>
      <c r="M96" s="151">
        <v>620</v>
      </c>
      <c r="N96" s="151">
        <v>6</v>
      </c>
      <c r="O96" s="97"/>
    </row>
    <row r="97" spans="1:15">
      <c r="A97" s="151" t="s">
        <v>407</v>
      </c>
      <c r="B97" s="151" t="s">
        <v>408</v>
      </c>
      <c r="C97" s="151" t="s">
        <v>402</v>
      </c>
      <c r="D97" s="151" t="s">
        <v>211</v>
      </c>
      <c r="E97" s="151" t="s">
        <v>212</v>
      </c>
      <c r="F97" s="151">
        <v>380</v>
      </c>
      <c r="G97" s="152">
        <v>29</v>
      </c>
      <c r="H97" s="152">
        <v>4</v>
      </c>
      <c r="I97" s="152">
        <v>29</v>
      </c>
      <c r="J97" s="152">
        <v>18</v>
      </c>
      <c r="K97" s="152">
        <v>0</v>
      </c>
      <c r="L97" s="152">
        <v>0.5</v>
      </c>
      <c r="M97" s="151">
        <v>300</v>
      </c>
      <c r="N97" s="151">
        <v>6</v>
      </c>
      <c r="O97" s="97"/>
    </row>
    <row r="98" spans="1:15">
      <c r="A98" s="151" t="s">
        <v>409</v>
      </c>
      <c r="B98" s="151" t="s">
        <v>410</v>
      </c>
      <c r="C98" s="151" t="s">
        <v>402</v>
      </c>
      <c r="D98" s="151" t="s">
        <v>211</v>
      </c>
      <c r="E98" s="151" t="s">
        <v>212</v>
      </c>
      <c r="F98" s="151">
        <v>98</v>
      </c>
      <c r="G98" s="152">
        <v>11</v>
      </c>
      <c r="H98" s="152">
        <v>3</v>
      </c>
      <c r="I98" s="152">
        <v>4</v>
      </c>
      <c r="J98" s="152">
        <v>2.5</v>
      </c>
      <c r="K98" s="152">
        <v>0</v>
      </c>
      <c r="L98" s="152">
        <v>3</v>
      </c>
      <c r="M98" s="151">
        <v>400</v>
      </c>
      <c r="N98" s="151">
        <v>4</v>
      </c>
      <c r="O98" s="97"/>
    </row>
    <row r="99" spans="1:15">
      <c r="A99" s="151" t="s">
        <v>411</v>
      </c>
      <c r="B99" s="151" t="s">
        <v>412</v>
      </c>
      <c r="C99" s="151" t="s">
        <v>402</v>
      </c>
      <c r="D99" s="151" t="s">
        <v>211</v>
      </c>
      <c r="E99" s="151" t="s">
        <v>212</v>
      </c>
      <c r="F99" s="151">
        <v>120</v>
      </c>
      <c r="G99" s="152">
        <v>10</v>
      </c>
      <c r="H99" s="152">
        <v>4</v>
      </c>
      <c r="I99" s="152">
        <v>8</v>
      </c>
      <c r="J99" s="152">
        <v>5</v>
      </c>
      <c r="K99" s="152">
        <v>0</v>
      </c>
      <c r="L99" s="152">
        <v>4</v>
      </c>
      <c r="M99" s="151">
        <v>40</v>
      </c>
      <c r="N99" s="151">
        <v>4</v>
      </c>
      <c r="O99" s="97"/>
    </row>
    <row r="100" spans="1:15">
      <c r="A100" s="151" t="s">
        <v>413</v>
      </c>
      <c r="B100" s="151" t="s">
        <v>414</v>
      </c>
      <c r="C100" s="151" t="s">
        <v>402</v>
      </c>
      <c r="D100" s="151" t="s">
        <v>211</v>
      </c>
      <c r="E100" s="151" t="s">
        <v>212</v>
      </c>
      <c r="F100" s="151">
        <v>60</v>
      </c>
      <c r="G100" s="152">
        <v>4</v>
      </c>
      <c r="H100" s="152">
        <v>5</v>
      </c>
      <c r="I100" s="152">
        <v>3</v>
      </c>
      <c r="J100" s="152">
        <v>2</v>
      </c>
      <c r="K100" s="152">
        <v>0</v>
      </c>
      <c r="L100" s="152">
        <v>5</v>
      </c>
      <c r="M100" s="151">
        <v>36</v>
      </c>
      <c r="N100" s="151">
        <v>3</v>
      </c>
      <c r="O100" s="97"/>
    </row>
    <row r="101" spans="1:15">
      <c r="A101" s="151" t="s">
        <v>415</v>
      </c>
      <c r="B101" s="151" t="s">
        <v>416</v>
      </c>
      <c r="C101" s="151" t="s">
        <v>417</v>
      </c>
      <c r="D101" s="151" t="s">
        <v>211</v>
      </c>
      <c r="E101" s="151" t="s">
        <v>212</v>
      </c>
      <c r="F101" s="151">
        <v>900</v>
      </c>
      <c r="G101" s="152">
        <v>0</v>
      </c>
      <c r="H101" s="152">
        <v>0</v>
      </c>
      <c r="I101" s="152">
        <v>100</v>
      </c>
      <c r="J101" s="152">
        <v>14</v>
      </c>
      <c r="K101" s="152">
        <v>0</v>
      </c>
      <c r="L101" s="152">
        <v>0</v>
      </c>
      <c r="M101" s="151">
        <v>0</v>
      </c>
      <c r="N101" s="151">
        <v>2</v>
      </c>
      <c r="O101" s="97"/>
    </row>
    <row r="102" spans="1:15">
      <c r="A102" s="151" t="s">
        <v>418</v>
      </c>
      <c r="B102" s="151" t="s">
        <v>419</v>
      </c>
      <c r="C102" s="151" t="s">
        <v>417</v>
      </c>
      <c r="D102" s="151" t="s">
        <v>211</v>
      </c>
      <c r="E102" s="151" t="s">
        <v>212</v>
      </c>
      <c r="F102" s="151">
        <v>145</v>
      </c>
      <c r="G102" s="152">
        <v>1</v>
      </c>
      <c r="H102" s="152">
        <v>3.8</v>
      </c>
      <c r="I102" s="152">
        <v>15.3</v>
      </c>
      <c r="J102" s="152">
        <v>2</v>
      </c>
      <c r="K102" s="152">
        <v>3.3</v>
      </c>
      <c r="L102" s="152">
        <v>0</v>
      </c>
      <c r="M102" s="151">
        <v>735</v>
      </c>
      <c r="N102" s="151">
        <v>6</v>
      </c>
      <c r="O102" s="97"/>
    </row>
    <row r="103" spans="1:15">
      <c r="A103" s="151" t="s">
        <v>420</v>
      </c>
      <c r="B103" s="151" t="s">
        <v>421</v>
      </c>
      <c r="C103" s="151" t="s">
        <v>417</v>
      </c>
      <c r="D103" s="151" t="s">
        <v>211</v>
      </c>
      <c r="E103" s="151" t="s">
        <v>212</v>
      </c>
      <c r="F103" s="151">
        <v>579</v>
      </c>
      <c r="G103" s="152">
        <v>21</v>
      </c>
      <c r="H103" s="152">
        <v>22</v>
      </c>
      <c r="I103" s="152">
        <v>50</v>
      </c>
      <c r="J103" s="152">
        <v>3.8</v>
      </c>
      <c r="K103" s="152">
        <v>12.5</v>
      </c>
      <c r="L103" s="152">
        <v>4.4000000000000004</v>
      </c>
      <c r="M103" s="151">
        <v>1</v>
      </c>
      <c r="N103" s="151">
        <v>1</v>
      </c>
      <c r="O103" s="97"/>
    </row>
    <row r="104" spans="1:15">
      <c r="A104" s="151" t="s">
        <v>422</v>
      </c>
      <c r="B104" s="151" t="s">
        <v>423</v>
      </c>
      <c r="C104" s="151" t="s">
        <v>417</v>
      </c>
      <c r="D104" s="151" t="s">
        <v>211</v>
      </c>
      <c r="E104" s="151" t="s">
        <v>212</v>
      </c>
      <c r="F104" s="151">
        <v>567</v>
      </c>
      <c r="G104" s="152">
        <v>26</v>
      </c>
      <c r="H104" s="152">
        <v>16</v>
      </c>
      <c r="I104" s="152">
        <v>49</v>
      </c>
      <c r="J104" s="152">
        <v>7</v>
      </c>
      <c r="K104" s="152">
        <v>8.5</v>
      </c>
      <c r="L104" s="152">
        <v>4.7</v>
      </c>
      <c r="M104" s="151">
        <v>18</v>
      </c>
      <c r="N104" s="151">
        <v>3</v>
      </c>
      <c r="O104" s="97"/>
    </row>
    <row r="105" spans="1:15">
      <c r="A105" s="151" t="s">
        <v>424</v>
      </c>
      <c r="B105" s="151" t="s">
        <v>425</v>
      </c>
      <c r="C105" s="151" t="s">
        <v>417</v>
      </c>
      <c r="D105" s="151" t="s">
        <v>211</v>
      </c>
      <c r="E105" s="151" t="s">
        <v>212</v>
      </c>
      <c r="F105" s="151">
        <v>600</v>
      </c>
      <c r="G105" s="152">
        <v>18</v>
      </c>
      <c r="H105" s="152">
        <v>16</v>
      </c>
      <c r="I105" s="152">
        <v>55</v>
      </c>
      <c r="J105" s="152">
        <v>7</v>
      </c>
      <c r="K105" s="152">
        <v>8</v>
      </c>
      <c r="L105" s="152">
        <v>4</v>
      </c>
      <c r="M105" s="151">
        <v>5</v>
      </c>
      <c r="N105" s="151">
        <v>3</v>
      </c>
      <c r="O105" s="97"/>
    </row>
    <row r="106" spans="1:15">
      <c r="A106" s="151" t="s">
        <v>426</v>
      </c>
      <c r="B106" s="151" t="s">
        <v>427</v>
      </c>
      <c r="C106" s="151" t="s">
        <v>417</v>
      </c>
      <c r="D106" s="151" t="s">
        <v>211</v>
      </c>
      <c r="E106" s="151" t="s">
        <v>212</v>
      </c>
      <c r="F106" s="151">
        <v>717</v>
      </c>
      <c r="G106" s="152">
        <v>0.9</v>
      </c>
      <c r="H106" s="152">
        <v>0.1</v>
      </c>
      <c r="I106" s="152">
        <v>81</v>
      </c>
      <c r="J106" s="152">
        <v>51</v>
      </c>
      <c r="K106" s="152">
        <v>0</v>
      </c>
      <c r="L106" s="152">
        <v>0.1</v>
      </c>
      <c r="M106" s="151">
        <v>11</v>
      </c>
      <c r="N106" s="151">
        <v>6</v>
      </c>
      <c r="O106" s="97"/>
    </row>
    <row r="107" spans="1:15">
      <c r="A107" s="151" t="s">
        <v>428</v>
      </c>
      <c r="B107" s="151" t="s">
        <v>429</v>
      </c>
      <c r="C107" s="151" t="s">
        <v>417</v>
      </c>
      <c r="D107" s="151" t="s">
        <v>211</v>
      </c>
      <c r="E107" s="151" t="s">
        <v>212</v>
      </c>
      <c r="F107" s="151">
        <v>654</v>
      </c>
      <c r="G107" s="152">
        <v>15</v>
      </c>
      <c r="H107" s="152">
        <v>14</v>
      </c>
      <c r="I107" s="152">
        <v>65</v>
      </c>
      <c r="J107" s="152">
        <v>6</v>
      </c>
      <c r="K107" s="152">
        <v>6.7</v>
      </c>
      <c r="L107" s="152">
        <v>2.6</v>
      </c>
      <c r="M107" s="151">
        <v>2</v>
      </c>
      <c r="N107" s="151">
        <v>1</v>
      </c>
      <c r="O107" s="97"/>
    </row>
    <row r="108" spans="1:15">
      <c r="A108" s="151" t="s">
        <v>430</v>
      </c>
      <c r="B108" s="151" t="s">
        <v>431</v>
      </c>
      <c r="C108" s="151" t="s">
        <v>417</v>
      </c>
      <c r="D108" s="151" t="s">
        <v>211</v>
      </c>
      <c r="E108" s="151" t="s">
        <v>212</v>
      </c>
      <c r="F108" s="151">
        <v>486</v>
      </c>
      <c r="G108" s="152">
        <v>17</v>
      </c>
      <c r="H108" s="152">
        <v>42</v>
      </c>
      <c r="I108" s="152">
        <v>31</v>
      </c>
      <c r="J108" s="152">
        <v>3.3</v>
      </c>
      <c r="K108" s="152">
        <v>34</v>
      </c>
      <c r="L108" s="152">
        <v>0</v>
      </c>
      <c r="M108" s="151">
        <v>16</v>
      </c>
      <c r="N108" s="151">
        <v>1</v>
      </c>
      <c r="O108" s="97"/>
    </row>
    <row r="109" spans="1:15">
      <c r="A109" s="151" t="s">
        <v>432</v>
      </c>
      <c r="B109" s="151" t="s">
        <v>433</v>
      </c>
      <c r="C109" s="151" t="s">
        <v>434</v>
      </c>
      <c r="D109" s="151" t="s">
        <v>211</v>
      </c>
      <c r="E109" s="151" t="s">
        <v>212</v>
      </c>
      <c r="F109" s="151">
        <v>247</v>
      </c>
      <c r="G109" s="152">
        <v>4</v>
      </c>
      <c r="H109" s="152">
        <v>81</v>
      </c>
      <c r="I109" s="152">
        <v>1.2</v>
      </c>
      <c r="J109" s="152">
        <v>0.3</v>
      </c>
      <c r="K109" s="152">
        <v>53</v>
      </c>
      <c r="L109" s="152">
        <v>2.2000000000000002</v>
      </c>
      <c r="M109" s="151">
        <v>10</v>
      </c>
      <c r="N109" s="151">
        <v>2</v>
      </c>
      <c r="O109" s="97"/>
    </row>
    <row r="110" spans="1:15">
      <c r="A110" s="151" t="s">
        <v>435</v>
      </c>
      <c r="B110" s="151" t="s">
        <v>436</v>
      </c>
      <c r="C110" s="151" t="s">
        <v>434</v>
      </c>
      <c r="D110" s="151" t="s">
        <v>211</v>
      </c>
      <c r="E110" s="151" t="s">
        <v>212</v>
      </c>
      <c r="F110" s="151">
        <v>375</v>
      </c>
      <c r="G110" s="152">
        <v>18</v>
      </c>
      <c r="H110" s="152">
        <v>44</v>
      </c>
      <c r="I110" s="152">
        <v>22</v>
      </c>
      <c r="J110" s="152">
        <v>1.5</v>
      </c>
      <c r="K110" s="152">
        <v>10.5</v>
      </c>
      <c r="L110" s="152">
        <v>2.2999999999999998</v>
      </c>
      <c r="M110" s="151">
        <v>168</v>
      </c>
      <c r="N110" s="151">
        <v>2</v>
      </c>
      <c r="O110" s="97"/>
    </row>
    <row r="111" spans="1:15">
      <c r="A111" s="151" t="s">
        <v>437</v>
      </c>
      <c r="B111" s="151" t="s">
        <v>438</v>
      </c>
      <c r="C111" s="151" t="s">
        <v>434</v>
      </c>
      <c r="D111" s="151" t="s">
        <v>211</v>
      </c>
      <c r="E111" s="151" t="s">
        <v>212</v>
      </c>
      <c r="F111" s="151">
        <v>325</v>
      </c>
      <c r="G111" s="152">
        <v>14</v>
      </c>
      <c r="H111" s="152">
        <v>58</v>
      </c>
      <c r="I111" s="152">
        <v>14</v>
      </c>
      <c r="J111" s="152">
        <v>2.1</v>
      </c>
      <c r="K111" s="152">
        <v>33</v>
      </c>
      <c r="L111" s="152">
        <v>2.8</v>
      </c>
      <c r="M111" s="151">
        <v>52</v>
      </c>
      <c r="N111" s="151">
        <v>3</v>
      </c>
      <c r="O111" s="97"/>
    </row>
    <row r="112" spans="1:15">
      <c r="A112" s="151" t="s">
        <v>439</v>
      </c>
      <c r="B112" s="151" t="s">
        <v>440</v>
      </c>
      <c r="C112" s="151" t="s">
        <v>434</v>
      </c>
      <c r="D112" s="151" t="s">
        <v>211</v>
      </c>
      <c r="E112" s="151" t="s">
        <v>212</v>
      </c>
      <c r="F112" s="151">
        <v>66</v>
      </c>
      <c r="G112" s="152">
        <v>4.4000000000000004</v>
      </c>
      <c r="H112" s="152">
        <v>5.8</v>
      </c>
      <c r="I112" s="152">
        <v>4.4000000000000004</v>
      </c>
      <c r="J112" s="152">
        <v>0.2</v>
      </c>
      <c r="K112" s="152">
        <v>3.3</v>
      </c>
      <c r="L112" s="152">
        <v>1.8</v>
      </c>
      <c r="M112" s="151">
        <v>1135</v>
      </c>
      <c r="N112" s="151">
        <v>7</v>
      </c>
      <c r="O112" s="97"/>
    </row>
    <row r="113" spans="1:15">
      <c r="A113" s="151" t="s">
        <v>441</v>
      </c>
      <c r="B113" s="151" t="s">
        <v>442</v>
      </c>
      <c r="C113" s="151" t="s">
        <v>434</v>
      </c>
      <c r="D113" s="151" t="s">
        <v>211</v>
      </c>
      <c r="E113" s="151" t="s">
        <v>212</v>
      </c>
      <c r="F113" s="151">
        <v>265</v>
      </c>
      <c r="G113" s="152">
        <v>9</v>
      </c>
      <c r="H113" s="152">
        <v>69</v>
      </c>
      <c r="I113" s="152">
        <v>4.3</v>
      </c>
      <c r="J113" s="152">
        <v>1.6</v>
      </c>
      <c r="K113" s="152">
        <v>42</v>
      </c>
      <c r="L113" s="152">
        <v>4.0999999999999996</v>
      </c>
      <c r="M113" s="151">
        <v>25</v>
      </c>
      <c r="N113" s="151">
        <v>2</v>
      </c>
      <c r="O113" s="97"/>
    </row>
    <row r="114" spans="1:15">
      <c r="A114" s="151" t="s">
        <v>443</v>
      </c>
      <c r="B114" s="151" t="s">
        <v>444</v>
      </c>
      <c r="C114" s="151" t="s">
        <v>434</v>
      </c>
      <c r="D114" s="151" t="s">
        <v>211</v>
      </c>
      <c r="E114" s="151" t="s">
        <v>212</v>
      </c>
      <c r="F114" s="151">
        <v>282</v>
      </c>
      <c r="G114" s="152">
        <v>14</v>
      </c>
      <c r="H114" s="152">
        <v>54</v>
      </c>
      <c r="I114" s="152">
        <v>13</v>
      </c>
      <c r="J114" s="152">
        <v>2.1</v>
      </c>
      <c r="K114" s="152">
        <v>35</v>
      </c>
      <c r="L114" s="152">
        <v>10.3</v>
      </c>
      <c r="M114" s="151">
        <v>68</v>
      </c>
      <c r="N114" s="151">
        <v>2</v>
      </c>
      <c r="O114" s="97"/>
    </row>
    <row r="115" spans="1:15">
      <c r="A115" s="151" t="s">
        <v>445</v>
      </c>
      <c r="B115" s="151" t="s">
        <v>446</v>
      </c>
      <c r="C115" s="151" t="s">
        <v>434</v>
      </c>
      <c r="D115" s="151" t="s">
        <v>211</v>
      </c>
      <c r="E115" s="151" t="s">
        <v>212</v>
      </c>
      <c r="F115" s="151">
        <v>251</v>
      </c>
      <c r="G115" s="152">
        <v>10.4</v>
      </c>
      <c r="H115" s="152">
        <v>64</v>
      </c>
      <c r="I115" s="152">
        <v>3.3</v>
      </c>
      <c r="J115" s="152">
        <v>1.4</v>
      </c>
      <c r="K115" s="152">
        <v>26.5</v>
      </c>
      <c r="L115" s="152">
        <v>0.6</v>
      </c>
      <c r="M115" s="151">
        <v>20</v>
      </c>
      <c r="N115" s="151">
        <v>2</v>
      </c>
      <c r="O115" s="97"/>
    </row>
    <row r="116" spans="1:15">
      <c r="A116" s="151" t="s">
        <v>447</v>
      </c>
      <c r="B116" s="151" t="s">
        <v>448</v>
      </c>
      <c r="C116" s="151" t="s">
        <v>434</v>
      </c>
      <c r="D116" s="151" t="s">
        <v>211</v>
      </c>
      <c r="E116" s="151" t="s">
        <v>212</v>
      </c>
      <c r="F116" s="151">
        <v>0</v>
      </c>
      <c r="G116" s="152">
        <v>0</v>
      </c>
      <c r="H116" s="152">
        <v>0</v>
      </c>
      <c r="I116" s="152">
        <v>0</v>
      </c>
      <c r="J116" s="152">
        <v>0</v>
      </c>
      <c r="K116" s="152">
        <v>0</v>
      </c>
      <c r="L116" s="152">
        <v>0</v>
      </c>
      <c r="M116" s="151">
        <v>38758</v>
      </c>
      <c r="N116" s="151">
        <v>3</v>
      </c>
      <c r="O116" s="97"/>
    </row>
    <row r="117" spans="1:15">
      <c r="A117" s="151" t="s">
        <v>449</v>
      </c>
      <c r="B117" s="151" t="s">
        <v>450</v>
      </c>
      <c r="C117" s="151" t="s">
        <v>434</v>
      </c>
      <c r="D117" s="151" t="s">
        <v>211</v>
      </c>
      <c r="E117" s="151" t="s">
        <v>212</v>
      </c>
      <c r="F117" s="151">
        <v>18</v>
      </c>
      <c r="G117" s="152">
        <v>0</v>
      </c>
      <c r="H117" s="152">
        <v>0.04</v>
      </c>
      <c r="I117" s="152">
        <v>0</v>
      </c>
      <c r="J117" s="152">
        <v>0</v>
      </c>
      <c r="K117" s="152">
        <v>0</v>
      </c>
      <c r="L117" s="152">
        <v>0.04</v>
      </c>
      <c r="M117" s="151">
        <v>2</v>
      </c>
      <c r="N117" s="151">
        <v>2</v>
      </c>
      <c r="O117" s="97"/>
    </row>
    <row r="118" spans="1:15">
      <c r="A118" s="151" t="s">
        <v>451</v>
      </c>
      <c r="B118" s="151" t="s">
        <v>452</v>
      </c>
      <c r="C118" s="151" t="s">
        <v>434</v>
      </c>
      <c r="D118" s="151" t="s">
        <v>211</v>
      </c>
      <c r="E118" s="151" t="s">
        <v>212</v>
      </c>
      <c r="F118" s="151">
        <v>88</v>
      </c>
      <c r="G118" s="152">
        <v>0.5</v>
      </c>
      <c r="H118" s="152">
        <v>17</v>
      </c>
      <c r="I118" s="152">
        <v>0</v>
      </c>
      <c r="J118" s="152">
        <v>0</v>
      </c>
      <c r="K118" s="152">
        <v>0</v>
      </c>
      <c r="L118" s="152">
        <v>15</v>
      </c>
      <c r="M118" s="151">
        <v>23</v>
      </c>
      <c r="N118" s="151">
        <v>4</v>
      </c>
      <c r="O118" s="97"/>
    </row>
    <row r="119" spans="1:15">
      <c r="A119" s="151" t="s">
        <v>453</v>
      </c>
      <c r="B119" s="151" t="s">
        <v>454</v>
      </c>
      <c r="C119" s="151" t="s">
        <v>434</v>
      </c>
      <c r="D119" s="151" t="s">
        <v>211</v>
      </c>
      <c r="E119" s="151" t="s">
        <v>212</v>
      </c>
      <c r="F119" s="151">
        <v>304</v>
      </c>
      <c r="G119" s="152">
        <v>0.3</v>
      </c>
      <c r="H119" s="152">
        <v>82.4</v>
      </c>
      <c r="I119" s="152">
        <v>0</v>
      </c>
      <c r="J119" s="152">
        <v>0</v>
      </c>
      <c r="K119" s="152">
        <v>0.2</v>
      </c>
      <c r="L119" s="152">
        <v>82.1</v>
      </c>
      <c r="M119" s="151">
        <v>4</v>
      </c>
      <c r="N119" s="151">
        <v>2</v>
      </c>
      <c r="O119" s="97"/>
    </row>
    <row r="120" spans="1:15">
      <c r="A120" s="151" t="s">
        <v>455</v>
      </c>
      <c r="B120" s="151" t="s">
        <v>456</v>
      </c>
      <c r="C120" s="151" t="s">
        <v>457</v>
      </c>
      <c r="D120" s="151" t="s">
        <v>368</v>
      </c>
      <c r="E120" s="151" t="s">
        <v>369</v>
      </c>
      <c r="F120" s="151">
        <v>0</v>
      </c>
      <c r="G120" s="152">
        <v>0</v>
      </c>
      <c r="H120" s="152">
        <v>0</v>
      </c>
      <c r="I120" s="152">
        <v>0</v>
      </c>
      <c r="J120" s="152">
        <v>0</v>
      </c>
      <c r="K120" s="152">
        <v>0</v>
      </c>
      <c r="L120" s="152">
        <v>0</v>
      </c>
      <c r="M120" s="151">
        <v>5</v>
      </c>
      <c r="N120" s="151">
        <v>1</v>
      </c>
      <c r="O120" s="97"/>
    </row>
    <row r="121" spans="1:15">
      <c r="A121" s="151" t="s">
        <v>458</v>
      </c>
      <c r="B121" s="151" t="s">
        <v>459</v>
      </c>
      <c r="C121" s="151" t="s">
        <v>457</v>
      </c>
      <c r="D121" s="151" t="s">
        <v>368</v>
      </c>
      <c r="E121" s="151" t="s">
        <v>369</v>
      </c>
      <c r="F121" s="151">
        <v>0</v>
      </c>
      <c r="G121" s="152">
        <v>0</v>
      </c>
      <c r="H121" s="152">
        <v>0</v>
      </c>
      <c r="I121" s="152">
        <v>0</v>
      </c>
      <c r="J121" s="152">
        <v>0</v>
      </c>
      <c r="K121" s="152">
        <v>0</v>
      </c>
      <c r="L121" s="152">
        <v>0</v>
      </c>
      <c r="M121" s="151">
        <v>5</v>
      </c>
      <c r="N121" s="151">
        <v>1</v>
      </c>
      <c r="O121" s="97"/>
    </row>
    <row r="122" spans="1:15">
      <c r="A122" s="151" t="s">
        <v>460</v>
      </c>
      <c r="B122" s="151" t="s">
        <v>461</v>
      </c>
      <c r="C122" s="151" t="s">
        <v>210</v>
      </c>
      <c r="D122" s="151" t="s">
        <v>211</v>
      </c>
      <c r="E122" s="151" t="s">
        <v>212</v>
      </c>
      <c r="F122" s="151">
        <v>20</v>
      </c>
      <c r="G122" s="152">
        <v>1.2</v>
      </c>
      <c r="H122" s="152">
        <v>3.5</v>
      </c>
      <c r="I122" s="152">
        <v>0.2</v>
      </c>
      <c r="J122" s="152">
        <v>0</v>
      </c>
      <c r="K122" s="152">
        <v>1.5</v>
      </c>
      <c r="L122" s="152">
        <v>1.8</v>
      </c>
      <c r="M122" s="151">
        <v>25</v>
      </c>
      <c r="N122" s="151">
        <v>1</v>
      </c>
      <c r="O122" s="97"/>
    </row>
    <row r="123" spans="1:15">
      <c r="A123" s="151" t="s">
        <v>462</v>
      </c>
      <c r="B123" s="151" t="s">
        <v>463</v>
      </c>
      <c r="C123" s="151" t="s">
        <v>269</v>
      </c>
      <c r="D123" s="151" t="s">
        <v>211</v>
      </c>
      <c r="E123" s="151" t="s">
        <v>212</v>
      </c>
      <c r="F123" s="151">
        <v>55</v>
      </c>
      <c r="G123" s="152">
        <v>0.7</v>
      </c>
      <c r="H123" s="152">
        <v>13</v>
      </c>
      <c r="I123" s="152">
        <v>0.2</v>
      </c>
      <c r="J123" s="152">
        <v>0</v>
      </c>
      <c r="K123" s="152">
        <v>2</v>
      </c>
      <c r="L123" s="152">
        <v>10</v>
      </c>
      <c r="M123" s="151">
        <v>2</v>
      </c>
      <c r="N123" s="151">
        <v>1</v>
      </c>
      <c r="O123" s="97"/>
    </row>
    <row r="124" spans="1:15">
      <c r="A124" s="151" t="s">
        <v>464</v>
      </c>
      <c r="B124" s="151" t="s">
        <v>465</v>
      </c>
      <c r="C124" s="151" t="s">
        <v>210</v>
      </c>
      <c r="D124" s="151" t="s">
        <v>211</v>
      </c>
      <c r="E124" s="151" t="s">
        <v>212</v>
      </c>
      <c r="F124" s="151">
        <v>30</v>
      </c>
      <c r="G124" s="152">
        <v>2</v>
      </c>
      <c r="H124" s="152">
        <v>6</v>
      </c>
      <c r="I124" s="152">
        <v>0.3</v>
      </c>
      <c r="J124" s="152">
        <v>0</v>
      </c>
      <c r="K124" s="152">
        <v>2</v>
      </c>
      <c r="L124" s="152">
        <v>3</v>
      </c>
      <c r="M124" s="151">
        <v>20</v>
      </c>
      <c r="N124" s="151">
        <v>1</v>
      </c>
      <c r="O124" s="97"/>
    </row>
    <row r="125" spans="1:15">
      <c r="A125" s="151" t="s">
        <v>466</v>
      </c>
      <c r="B125" s="151" t="s">
        <v>467</v>
      </c>
      <c r="C125" s="151" t="s">
        <v>345</v>
      </c>
      <c r="D125" s="151" t="s">
        <v>211</v>
      </c>
      <c r="E125" s="151" t="s">
        <v>212</v>
      </c>
      <c r="F125" s="151">
        <v>250</v>
      </c>
      <c r="G125" s="152">
        <v>33</v>
      </c>
      <c r="H125" s="152">
        <v>0</v>
      </c>
      <c r="I125" s="152">
        <v>13</v>
      </c>
      <c r="J125" s="152">
        <v>4.5</v>
      </c>
      <c r="K125" s="152">
        <v>0</v>
      </c>
      <c r="L125" s="152">
        <v>0</v>
      </c>
      <c r="M125" s="151">
        <v>1800</v>
      </c>
      <c r="N125" s="151">
        <v>7</v>
      </c>
      <c r="O125" s="97"/>
    </row>
    <row r="126" spans="1:15">
      <c r="A126" s="151" t="s">
        <v>468</v>
      </c>
      <c r="B126" s="151" t="s">
        <v>469</v>
      </c>
      <c r="C126" s="151" t="s">
        <v>345</v>
      </c>
      <c r="D126" s="151" t="s">
        <v>211</v>
      </c>
      <c r="E126" s="151" t="s">
        <v>212</v>
      </c>
      <c r="F126" s="151">
        <v>110</v>
      </c>
      <c r="G126" s="152">
        <v>18</v>
      </c>
      <c r="H126" s="152">
        <v>2</v>
      </c>
      <c r="I126" s="152">
        <v>3</v>
      </c>
      <c r="J126" s="152">
        <v>1</v>
      </c>
      <c r="K126" s="152">
        <v>0</v>
      </c>
      <c r="L126" s="152">
        <v>1</v>
      </c>
      <c r="M126" s="151">
        <v>1000</v>
      </c>
      <c r="N126" s="151">
        <v>7</v>
      </c>
      <c r="O126" s="97"/>
    </row>
    <row r="127" spans="1:15">
      <c r="A127" s="151" t="s">
        <v>470</v>
      </c>
      <c r="B127" s="151" t="s">
        <v>471</v>
      </c>
      <c r="C127" s="151" t="s">
        <v>472</v>
      </c>
      <c r="D127" s="151" t="s">
        <v>211</v>
      </c>
      <c r="E127" s="151" t="s">
        <v>212</v>
      </c>
      <c r="F127" s="151">
        <v>536</v>
      </c>
      <c r="G127" s="152">
        <v>7</v>
      </c>
      <c r="H127" s="152">
        <v>53</v>
      </c>
      <c r="I127" s="152">
        <v>35</v>
      </c>
      <c r="J127" s="152">
        <v>5</v>
      </c>
      <c r="K127" s="152">
        <v>4</v>
      </c>
      <c r="L127" s="152">
        <v>0.5</v>
      </c>
      <c r="M127" s="151">
        <v>525</v>
      </c>
      <c r="N127" s="151">
        <v>9</v>
      </c>
      <c r="O127" s="97"/>
    </row>
    <row r="128" spans="1:15">
      <c r="A128" s="151" t="s">
        <v>473</v>
      </c>
      <c r="B128" s="151" t="s">
        <v>474</v>
      </c>
      <c r="C128" s="151" t="s">
        <v>210</v>
      </c>
      <c r="D128" s="151" t="s">
        <v>211</v>
      </c>
      <c r="E128" s="151" t="s">
        <v>212</v>
      </c>
      <c r="F128" s="151">
        <v>11</v>
      </c>
      <c r="G128" s="152">
        <v>0.5</v>
      </c>
      <c r="H128" s="152">
        <v>2.2999999999999998</v>
      </c>
      <c r="I128" s="152">
        <v>0.2</v>
      </c>
      <c r="J128" s="152">
        <v>0</v>
      </c>
      <c r="K128" s="152">
        <v>1.2</v>
      </c>
      <c r="L128" s="152">
        <v>1.2</v>
      </c>
      <c r="M128" s="151">
        <v>1200</v>
      </c>
      <c r="N128" s="151">
        <v>6</v>
      </c>
      <c r="O128" s="97"/>
    </row>
    <row r="129" spans="1:15">
      <c r="A129" s="151" t="s">
        <v>475</v>
      </c>
      <c r="B129" s="151" t="s">
        <v>476</v>
      </c>
      <c r="C129" s="151" t="s">
        <v>345</v>
      </c>
      <c r="D129" s="151" t="s">
        <v>211</v>
      </c>
      <c r="E129" s="151" t="s">
        <v>212</v>
      </c>
      <c r="F129" s="151">
        <v>117</v>
      </c>
      <c r="G129" s="152">
        <v>18.3</v>
      </c>
      <c r="H129" s="152">
        <v>0</v>
      </c>
      <c r="I129" s="152">
        <v>4.3</v>
      </c>
      <c r="J129" s="152">
        <v>0.9</v>
      </c>
      <c r="K129" s="152">
        <v>0</v>
      </c>
      <c r="L129" s="152">
        <v>0</v>
      </c>
      <c r="M129" s="151">
        <v>1200</v>
      </c>
      <c r="N129" s="151">
        <v>7</v>
      </c>
      <c r="O129" s="97"/>
    </row>
    <row r="130" spans="1:15">
      <c r="A130" s="151" t="s">
        <v>477</v>
      </c>
      <c r="B130" s="151" t="s">
        <v>478</v>
      </c>
      <c r="C130" s="151" t="s">
        <v>345</v>
      </c>
      <c r="D130" s="151" t="s">
        <v>211</v>
      </c>
      <c r="E130" s="151" t="s">
        <v>212</v>
      </c>
      <c r="F130" s="151">
        <v>95</v>
      </c>
      <c r="G130" s="152">
        <v>7.5</v>
      </c>
      <c r="H130" s="152">
        <v>15</v>
      </c>
      <c r="I130" s="152">
        <v>0.5</v>
      </c>
      <c r="J130" s="152">
        <v>0.1</v>
      </c>
      <c r="K130" s="152">
        <v>0.5</v>
      </c>
      <c r="L130" s="152">
        <v>6.5</v>
      </c>
      <c r="M130" s="151">
        <v>700</v>
      </c>
      <c r="N130" s="151">
        <v>8</v>
      </c>
      <c r="O130" s="97"/>
    </row>
    <row r="131" spans="1:15">
      <c r="A131" s="151" t="s">
        <v>479</v>
      </c>
      <c r="B131" s="151" t="s">
        <v>480</v>
      </c>
      <c r="C131" s="151" t="s">
        <v>481</v>
      </c>
      <c r="D131" s="151" t="s">
        <v>211</v>
      </c>
      <c r="E131" s="151" t="s">
        <v>212</v>
      </c>
      <c r="F131" s="151">
        <v>400</v>
      </c>
      <c r="G131" s="152">
        <v>80</v>
      </c>
      <c r="H131" s="152">
        <v>8</v>
      </c>
      <c r="I131" s="152">
        <v>6</v>
      </c>
      <c r="J131" s="152">
        <v>2</v>
      </c>
      <c r="K131" s="152">
        <v>2</v>
      </c>
      <c r="L131" s="152">
        <v>3</v>
      </c>
      <c r="M131" s="151">
        <v>500</v>
      </c>
      <c r="N131" s="151">
        <v>7</v>
      </c>
      <c r="O131" s="97"/>
    </row>
    <row r="132" spans="1:1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</row>
    <row r="133" spans="1:1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</row>
    <row r="134" spans="1:1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</row>
    <row r="135" spans="1:1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</row>
    <row r="136" spans="1:1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</row>
    <row r="137" spans="1:1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</row>
    <row r="138" spans="1:1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</row>
    <row r="139" spans="1:1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</row>
    <row r="140" spans="1:1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</row>
    <row r="141" spans="1:1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</row>
    <row r="142" spans="1:1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</row>
    <row r="143" spans="1:1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</row>
    <row r="144" spans="1:1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</row>
    <row r="145" spans="1:1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</row>
    <row r="146" spans="1:1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</row>
    <row r="147" spans="1:1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</row>
    <row r="148" spans="1:1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</row>
    <row r="149" spans="1:1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</row>
    <row r="150" spans="1:1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</row>
    <row r="151" spans="1:1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</row>
    <row r="152" spans="1:1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</row>
    <row r="153" spans="1:1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</row>
    <row r="154" spans="1:1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</row>
    <row r="155" spans="1:1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</row>
    <row r="156" spans="1:1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</row>
    <row r="157" spans="1:1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</row>
    <row r="158" spans="1:1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</row>
    <row r="159" spans="1:1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</row>
    <row r="160" spans="1:1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</row>
    <row r="161" spans="1:1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</row>
    <row r="162" spans="1:1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</row>
    <row r="163" spans="1:1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</row>
    <row r="164" spans="1:1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</row>
    <row r="165" spans="1:1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</row>
    <row r="166" spans="1:1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</row>
    <row r="167" spans="1:1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</row>
    <row r="168" spans="1:1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</row>
    <row r="169" spans="1:1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</row>
    <row r="170" spans="1:1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</row>
    <row r="171" spans="1:1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</row>
    <row r="172" spans="1:1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</row>
    <row r="173" spans="1:1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</row>
    <row r="174" spans="1:1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</row>
    <row r="175" spans="1:1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</row>
    <row r="176" spans="1:1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</row>
    <row r="177" spans="1:1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</row>
    <row r="178" spans="1:1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</row>
    <row r="179" spans="1:1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</row>
    <row r="180" spans="1:1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</row>
    <row r="181" spans="1:1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</row>
    <row r="182" spans="1:1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</row>
    <row r="183" spans="1:1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</row>
    <row r="184" spans="1:1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</row>
    <row r="185" spans="1:1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</row>
    <row r="186" spans="1:1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</row>
    <row r="187" spans="1:1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</row>
    <row r="188" spans="1:1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</row>
    <row r="189" spans="1:1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</row>
    <row r="190" spans="1:1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</row>
    <row r="191" spans="1:1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</row>
    <row r="192" spans="1:1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</row>
    <row r="193" spans="1:1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</row>
    <row r="194" spans="1:1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</row>
    <row r="195" spans="1:1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</row>
    <row r="196" spans="1:1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</row>
    <row r="197" spans="1:1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</row>
    <row r="198" spans="1:1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</row>
    <row r="199" spans="1:1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</row>
    <row r="200" spans="1:1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</row>
    <row r="201" spans="1:1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</row>
    <row r="202" spans="1:1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</row>
    <row r="203" spans="1:1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</row>
    <row r="204" spans="1:1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</row>
    <row r="205" spans="1:1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</row>
    <row r="206" spans="1:1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</row>
    <row r="207" spans="1:1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</row>
    <row r="208" spans="1:1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</row>
    <row r="209" spans="1:1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</row>
    <row r="210" spans="1:1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</row>
    <row r="211" spans="1:1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</row>
    <row r="212" spans="1:1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</row>
    <row r="213" spans="1:1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</row>
    <row r="214" spans="1:1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</row>
    <row r="215" spans="1:1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</row>
    <row r="216" spans="1:1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</row>
    <row r="217" spans="1:1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</row>
    <row r="218" spans="1:1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</row>
    <row r="219" spans="1:1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</row>
    <row r="220" spans="1:1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</row>
    <row r="221" spans="1:1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</row>
    <row r="222" spans="1:1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</row>
    <row r="223" spans="1:1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</row>
    <row r="224" spans="1:1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</row>
    <row r="225" spans="1:1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</row>
    <row r="226" spans="1:1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</row>
    <row r="227" spans="1:1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</row>
    <row r="228" spans="1:1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</row>
    <row r="229" spans="1:1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</row>
    <row r="230" spans="1:1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</row>
    <row r="231" spans="1:1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</row>
    <row r="232" spans="1:1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</row>
    <row r="233" spans="1:1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</row>
    <row r="234" spans="1:1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</row>
    <row r="235" spans="1:1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</row>
    <row r="236" spans="1:1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</row>
    <row r="237" spans="1:1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</row>
    <row r="238" spans="1:1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</row>
    <row r="239" spans="1:1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</row>
    <row r="240" spans="1:1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</row>
    <row r="241" spans="1:1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</row>
    <row r="242" spans="1:1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</row>
    <row r="243" spans="1:15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</row>
    <row r="244" spans="1:15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</row>
    <row r="245" spans="1:15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</row>
    <row r="246" spans="1:15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</row>
    <row r="247" spans="1:15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</row>
    <row r="248" spans="1:15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</row>
    <row r="249" spans="1:15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</row>
    <row r="250" spans="1:15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</row>
    <row r="251" spans="1:15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</row>
    <row r="252" spans="1:15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</row>
    <row r="253" spans="1:15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</row>
    <row r="254" spans="1:15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</row>
    <row r="255" spans="1:15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</row>
    <row r="256" spans="1:15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</row>
    <row r="257" spans="1:15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</row>
    <row r="258" spans="1:15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</row>
    <row r="259" spans="1:15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</row>
    <row r="260" spans="1:15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</row>
    <row r="261" spans="1:15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</row>
    <row r="262" spans="1:15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</row>
    <row r="263" spans="1:15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</row>
    <row r="264" spans="1:15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</row>
    <row r="265" spans="1:15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</row>
    <row r="266" spans="1:15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</row>
    <row r="267" spans="1:15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</row>
    <row r="268" spans="1:15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</row>
    <row r="269" spans="1:15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</row>
    <row r="270" spans="1:15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</row>
    <row r="271" spans="1:15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</row>
    <row r="272" spans="1:15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</row>
    <row r="273" spans="1:15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</row>
    <row r="274" spans="1:15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</row>
    <row r="275" spans="1:15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</row>
    <row r="276" spans="1:15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</row>
    <row r="277" spans="1:15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</row>
    <row r="278" spans="1:15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</row>
    <row r="279" spans="1:15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</row>
    <row r="280" spans="1:15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</row>
    <row r="281" spans="1:15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</row>
    <row r="282" spans="1:15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</row>
    <row r="283" spans="1:15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</row>
    <row r="284" spans="1:15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</row>
    <row r="285" spans="1:15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</row>
    <row r="286" spans="1:15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</row>
    <row r="287" spans="1:15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</row>
    <row r="288" spans="1:15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</row>
    <row r="289" spans="1:15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</row>
    <row r="290" spans="1:15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</row>
    <row r="291" spans="1:15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</row>
    <row r="292" spans="1:15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</row>
    <row r="293" spans="1:15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</row>
    <row r="294" spans="1:15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</row>
    <row r="295" spans="1:15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</row>
    <row r="296" spans="1:15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</row>
    <row r="297" spans="1:15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</row>
    <row r="298" spans="1:15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</row>
    <row r="299" spans="1:15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</row>
    <row r="300" spans="1:15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</row>
    <row r="301" spans="1:15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</row>
    <row r="302" spans="1:15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</row>
    <row r="303" spans="1:15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</row>
    <row r="304" spans="1:15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</row>
    <row r="305" spans="1:15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</row>
    <row r="306" spans="1:15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</row>
    <row r="307" spans="1:15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</row>
    <row r="308" spans="1:15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</row>
    <row r="309" spans="1:15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</row>
    <row r="310" spans="1:15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</row>
    <row r="311" spans="1:15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</row>
    <row r="312" spans="1:15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</row>
    <row r="313" spans="1:15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</row>
    <row r="314" spans="1:15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</row>
    <row r="315" spans="1:15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</row>
    <row r="316" spans="1:15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</row>
    <row r="317" spans="1:15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</row>
    <row r="318" spans="1:15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</row>
    <row r="319" spans="1:15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</row>
    <row r="320" spans="1:15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</row>
    <row r="321" spans="1:15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</row>
    <row r="322" spans="1:15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</row>
    <row r="323" spans="1:15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</row>
    <row r="324" spans="1:15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</row>
    <row r="325" spans="1:15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</row>
    <row r="326" spans="1:15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</row>
    <row r="327" spans="1:15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</row>
    <row r="328" spans="1:15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</row>
    <row r="329" spans="1:15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</row>
    <row r="330" spans="1:15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</row>
    <row r="331" spans="1:15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</row>
    <row r="332" spans="1:15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</row>
    <row r="333" spans="1:15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</row>
    <row r="334" spans="1:15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</row>
    <row r="335" spans="1:15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</row>
    <row r="336" spans="1:15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</row>
    <row r="337" spans="1:15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</row>
    <row r="338" spans="1:15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</row>
    <row r="339" spans="1:15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</row>
    <row r="340" spans="1:15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</row>
    <row r="341" spans="1:15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</row>
    <row r="342" spans="1:15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</row>
    <row r="343" spans="1:15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</row>
    <row r="344" spans="1:15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</row>
    <row r="345" spans="1:15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</row>
    <row r="346" spans="1:15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</row>
    <row r="347" spans="1:15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</row>
    <row r="348" spans="1:15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</row>
    <row r="349" spans="1:15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</row>
    <row r="350" spans="1:15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</row>
    <row r="351" spans="1:15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</row>
    <row r="352" spans="1:15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</row>
    <row r="353" spans="1:15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</row>
    <row r="354" spans="1:15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</row>
    <row r="355" spans="1:15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</row>
    <row r="356" spans="1:15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</row>
    <row r="357" spans="1:15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</row>
    <row r="358" spans="1:15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</row>
    <row r="359" spans="1:15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</row>
    <row r="360" spans="1:15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</row>
    <row r="361" spans="1:15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</row>
    <row r="362" spans="1:15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</row>
    <row r="363" spans="1:15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</row>
    <row r="364" spans="1:15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</row>
    <row r="365" spans="1:15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</row>
    <row r="366" spans="1:15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</row>
    <row r="367" spans="1:15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</row>
    <row r="368" spans="1:15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</row>
    <row r="369" spans="1:15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</row>
    <row r="370" spans="1:15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</row>
    <row r="371" spans="1:15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</row>
    <row r="372" spans="1:15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</row>
    <row r="373" spans="1:15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</row>
    <row r="374" spans="1:15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</row>
    <row r="375" spans="1:15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</row>
    <row r="376" spans="1:15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</row>
    <row r="377" spans="1:15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</row>
    <row r="378" spans="1:15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</row>
    <row r="379" spans="1:15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</row>
    <row r="380" spans="1:15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</row>
    <row r="381" spans="1:15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</row>
    <row r="382" spans="1:15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</row>
    <row r="383" spans="1:15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</row>
    <row r="384" spans="1:15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</row>
    <row r="385" spans="1:15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</row>
    <row r="386" spans="1:15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</row>
    <row r="387" spans="1:15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</row>
    <row r="388" spans="1:15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</row>
    <row r="389" spans="1:15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</row>
    <row r="390" spans="1:15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</row>
    <row r="391" spans="1:15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</row>
    <row r="392" spans="1:15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</row>
    <row r="393" spans="1:15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</row>
    <row r="394" spans="1:15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</row>
    <row r="395" spans="1:15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</row>
    <row r="396" spans="1:15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</row>
    <row r="397" spans="1:15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</row>
    <row r="398" spans="1:15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</row>
    <row r="399" spans="1:15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</row>
    <row r="400" spans="1:15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</row>
    <row r="401" spans="1:15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</row>
    <row r="402" spans="1:15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</row>
    <row r="403" spans="1:15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</row>
    <row r="404" spans="1:15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</row>
    <row r="405" spans="1:15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</row>
    <row r="406" spans="1:15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</row>
    <row r="407" spans="1:15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</row>
    <row r="408" spans="1:15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</row>
    <row r="409" spans="1:15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</row>
    <row r="410" spans="1:15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</row>
    <row r="411" spans="1:15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</row>
    <row r="412" spans="1:15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</row>
    <row r="413" spans="1:15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</row>
    <row r="414" spans="1:15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</row>
    <row r="415" spans="1:15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</row>
    <row r="416" spans="1:15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</row>
    <row r="417" spans="1:15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</row>
    <row r="418" spans="1:15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</row>
    <row r="419" spans="1:15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</row>
    <row r="420" spans="1:15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</row>
    <row r="421" spans="1:15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</row>
    <row r="422" spans="1:15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</row>
    <row r="423" spans="1:15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</row>
    <row r="424" spans="1:15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</row>
    <row r="425" spans="1:15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</row>
    <row r="426" spans="1:15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</row>
    <row r="427" spans="1:15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</row>
    <row r="428" spans="1:15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</row>
    <row r="429" spans="1:15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</row>
    <row r="430" spans="1:15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</row>
    <row r="431" spans="1:15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</row>
    <row r="432" spans="1:15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</row>
    <row r="433" spans="1:15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</row>
    <row r="434" spans="1:15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</row>
    <row r="435" spans="1:15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</row>
    <row r="436" spans="1:15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</row>
    <row r="437" spans="1:15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</row>
    <row r="438" spans="1:15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</row>
    <row r="439" spans="1:15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</row>
    <row r="440" spans="1:15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</row>
    <row r="441" spans="1:15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</row>
    <row r="442" spans="1:15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</row>
    <row r="443" spans="1:15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</row>
    <row r="444" spans="1:15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</row>
    <row r="445" spans="1:15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</row>
    <row r="446" spans="1:15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</row>
    <row r="447" spans="1:15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</row>
    <row r="448" spans="1:15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</row>
    <row r="449" spans="1:15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</row>
    <row r="450" spans="1:15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</row>
    <row r="451" spans="1:15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</row>
    <row r="452" spans="1:15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</row>
    <row r="453" spans="1:15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</row>
    <row r="454" spans="1:15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</row>
    <row r="455" spans="1:15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</row>
    <row r="456" spans="1:15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</row>
    <row r="457" spans="1:15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</row>
    <row r="458" spans="1:15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</row>
    <row r="459" spans="1:15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</row>
    <row r="460" spans="1:15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</row>
    <row r="461" spans="1:15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</row>
    <row r="462" spans="1:15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</row>
    <row r="463" spans="1:15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</row>
    <row r="464" spans="1:15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</row>
    <row r="465" spans="1:15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</row>
    <row r="466" spans="1:15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</row>
    <row r="467" spans="1:15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</row>
    <row r="468" spans="1:15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</row>
    <row r="469" spans="1:15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</row>
    <row r="470" spans="1:15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</row>
    <row r="471" spans="1:15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</row>
    <row r="472" spans="1:15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</row>
    <row r="473" spans="1:15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</row>
    <row r="474" spans="1:15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</row>
    <row r="475" spans="1:15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</row>
    <row r="476" spans="1:15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</row>
    <row r="477" spans="1:15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</row>
    <row r="478" spans="1:15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</row>
    <row r="479" spans="1:15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</row>
    <row r="480" spans="1:15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</row>
    <row r="481" spans="1:15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</row>
    <row r="482" spans="1:15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</row>
    <row r="483" spans="1:15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</row>
    <row r="484" spans="1:15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</row>
    <row r="485" spans="1:15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</row>
    <row r="486" spans="1:15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</row>
    <row r="487" spans="1:15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</row>
    <row r="488" spans="1:15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</row>
    <row r="489" spans="1:15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</row>
    <row r="490" spans="1:15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</row>
    <row r="491" spans="1:15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</row>
    <row r="492" spans="1:15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</row>
    <row r="493" spans="1:15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</row>
    <row r="494" spans="1:15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</row>
    <row r="495" spans="1:15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</row>
    <row r="496" spans="1:15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</row>
    <row r="497" spans="1:15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</row>
    <row r="498" spans="1:15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</row>
    <row r="499" spans="1:15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</row>
    <row r="500" spans="1:15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</row>
  </sheetData>
  <autoFilter ref="A1:N500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6D7A8"/>
    <outlinePr summaryBelow="0" summaryRight="0"/>
  </sheetPr>
  <dimension ref="A1:AW1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W17" sqref="AW17"/>
    </sheetView>
  </sheetViews>
  <sheetFormatPr defaultColWidth="14.42578125" defaultRowHeight="15" customHeight="1"/>
  <cols>
    <col min="13" max="16" width="7.28515625" customWidth="1"/>
    <col min="27" max="30" width="7.28515625" customWidth="1"/>
    <col min="41" max="44" width="7.28515625" customWidth="1"/>
  </cols>
  <sheetData>
    <row r="1" spans="1:49">
      <c r="A1" s="153"/>
      <c r="B1" s="153"/>
      <c r="C1" s="154" t="s">
        <v>482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4" t="s">
        <v>483</v>
      </c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4" t="s">
        <v>484</v>
      </c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156" t="s">
        <v>485</v>
      </c>
      <c r="AT1" s="157"/>
      <c r="AU1" s="157"/>
      <c r="AV1" s="158"/>
      <c r="AW1" s="157"/>
    </row>
    <row r="2" spans="1:49">
      <c r="A2" s="159" t="s">
        <v>44</v>
      </c>
      <c r="B2" s="159" t="s">
        <v>45</v>
      </c>
      <c r="C2" s="154" t="s">
        <v>486</v>
      </c>
      <c r="D2" s="160" t="s">
        <v>487</v>
      </c>
      <c r="E2" s="161" t="s">
        <v>488</v>
      </c>
      <c r="F2" s="160" t="s">
        <v>489</v>
      </c>
      <c r="G2" s="161" t="s">
        <v>490</v>
      </c>
      <c r="H2" s="160" t="s">
        <v>491</v>
      </c>
      <c r="I2" s="161" t="s">
        <v>492</v>
      </c>
      <c r="J2" s="160" t="s">
        <v>493</v>
      </c>
      <c r="K2" s="161" t="s">
        <v>494</v>
      </c>
      <c r="L2" s="160" t="s">
        <v>495</v>
      </c>
      <c r="M2" s="160" t="s">
        <v>496</v>
      </c>
      <c r="N2" s="160" t="s">
        <v>497</v>
      </c>
      <c r="O2" s="160" t="s">
        <v>498</v>
      </c>
      <c r="P2" s="160" t="s">
        <v>499</v>
      </c>
      <c r="Q2" s="154" t="s">
        <v>500</v>
      </c>
      <c r="R2" s="160" t="s">
        <v>501</v>
      </c>
      <c r="S2" s="161" t="s">
        <v>502</v>
      </c>
      <c r="T2" s="160" t="s">
        <v>503</v>
      </c>
      <c r="U2" s="161" t="s">
        <v>504</v>
      </c>
      <c r="V2" s="160" t="s">
        <v>505</v>
      </c>
      <c r="W2" s="161" t="s">
        <v>506</v>
      </c>
      <c r="X2" s="160" t="s">
        <v>507</v>
      </c>
      <c r="Y2" s="161" t="s">
        <v>508</v>
      </c>
      <c r="Z2" s="160" t="s">
        <v>509</v>
      </c>
      <c r="AA2" s="160" t="s">
        <v>510</v>
      </c>
      <c r="AB2" s="160" t="s">
        <v>511</v>
      </c>
      <c r="AC2" s="160" t="s">
        <v>512</v>
      </c>
      <c r="AD2" s="160" t="s">
        <v>513</v>
      </c>
      <c r="AE2" s="154" t="s">
        <v>514</v>
      </c>
      <c r="AF2" s="160" t="s">
        <v>515</v>
      </c>
      <c r="AG2" s="161" t="s">
        <v>516</v>
      </c>
      <c r="AH2" s="160" t="s">
        <v>517</v>
      </c>
      <c r="AI2" s="161" t="s">
        <v>518</v>
      </c>
      <c r="AJ2" s="160" t="s">
        <v>519</v>
      </c>
      <c r="AK2" s="161" t="s">
        <v>520</v>
      </c>
      <c r="AL2" s="160" t="s">
        <v>521</v>
      </c>
      <c r="AM2" s="161" t="s">
        <v>522</v>
      </c>
      <c r="AN2" s="160" t="s">
        <v>523</v>
      </c>
      <c r="AO2" s="160" t="s">
        <v>524</v>
      </c>
      <c r="AP2" s="160" t="s">
        <v>525</v>
      </c>
      <c r="AQ2" s="160" t="s">
        <v>526</v>
      </c>
      <c r="AR2" s="160" t="s">
        <v>527</v>
      </c>
      <c r="AS2" s="156" t="s">
        <v>528</v>
      </c>
      <c r="AT2" s="162" t="s">
        <v>46</v>
      </c>
      <c r="AU2" s="163" t="s">
        <v>47</v>
      </c>
      <c r="AV2" s="164" t="s">
        <v>48</v>
      </c>
      <c r="AW2" s="163"/>
    </row>
    <row r="3" spans="1:49">
      <c r="A3" s="165" t="s">
        <v>54</v>
      </c>
      <c r="B3" s="165" t="s">
        <v>55</v>
      </c>
      <c r="C3" s="68" t="s">
        <v>456</v>
      </c>
      <c r="D3" s="69">
        <v>1</v>
      </c>
      <c r="E3" s="166" t="s">
        <v>412</v>
      </c>
      <c r="F3" s="69">
        <v>125</v>
      </c>
      <c r="G3" s="166" t="s">
        <v>480</v>
      </c>
      <c r="H3" s="69">
        <v>35</v>
      </c>
      <c r="I3" s="166" t="s">
        <v>279</v>
      </c>
      <c r="J3" s="69">
        <v>100</v>
      </c>
      <c r="K3" s="167"/>
      <c r="L3" s="70"/>
      <c r="M3" s="52" cm="1">
        <f t="array" ref="M3:M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IF(SUM(_xlpm.fila)=0,"",ROUND(SUM(_xlpm.fila),0))))
 )</f>
        <v>335</v>
      </c>
      <c r="N3" s="52" cm="1">
        <f t="array" ref="N3:N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IF(SUM(_xlpm.fila)=0,"",ROUND(SUM(_xlpm.fila),0))))
 )</f>
        <v>42</v>
      </c>
      <c r="O3" s="52" cm="1">
        <f t="array" ref="O3:O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IF(SUM(_xlpm.fila)=0,"",ROUND(SUM(_xlpm.fila),0))))
 )</f>
        <v>18</v>
      </c>
      <c r="P3" s="52" cm="1">
        <f t="array" ref="P3:P100">_xlfn.LET(
  _xlpm.rango, $C3:$L100,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IF(SUM(_xlpm.fila)=0,"",ROUND(SUM(_xlpm.fila),0))))
 )</f>
        <v>13</v>
      </c>
      <c r="Q3" s="68" t="s">
        <v>371</v>
      </c>
      <c r="R3" s="69">
        <v>200</v>
      </c>
      <c r="S3" s="166" t="s">
        <v>336</v>
      </c>
      <c r="T3" s="69">
        <v>50</v>
      </c>
      <c r="U3" s="166" t="s">
        <v>416</v>
      </c>
      <c r="V3" s="69">
        <v>10</v>
      </c>
      <c r="W3" s="166" t="s">
        <v>461</v>
      </c>
      <c r="X3" s="69">
        <v>300</v>
      </c>
      <c r="Y3" s="166" t="s">
        <v>463</v>
      </c>
      <c r="Z3" s="69">
        <v>200</v>
      </c>
      <c r="AA3" s="52" cm="1">
        <f t="array" ref="AA3:AA100">_xlfn.LET(
  _xlpm.rango, $Q3:$Z100,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IF(SUM(_xlpm.fila)=0,"",ROUND(SUM(_xlpm.fila),0))))
 )</f>
        <v>666</v>
      </c>
      <c r="AB3" s="52" cm="1">
        <f t="array" ref="AB3:AB100">_xlfn.LET(
  _xlpm.rango, $Q3:$Z100,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IF(SUM(_xlpm.fila)=0,"",ROUND(SUM(_xlpm.fila),0))))
 )</f>
        <v>54</v>
      </c>
      <c r="AC3" s="52" cm="1">
        <f t="array" ref="AC3:AC100">_xlfn.LET(
  _xlpm.rango, $Q3:$Z100,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IF(SUM(_xlpm.fila)=0,"",ROUND(SUM(_xlpm.fila),0))))
 )</f>
        <v>58</v>
      </c>
      <c r="AD3" s="52" cm="1">
        <f t="array" ref="AD3:AD100">_xlfn.LET(
  _xlpm.rango, $Q3:$Z100,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IF(SUM(_xlpm.fila)=0,"",ROUND(SUM(_xlpm.fila),0))))
 )</f>
        <v>25</v>
      </c>
      <c r="AE3" s="68" t="s">
        <v>367</v>
      </c>
      <c r="AF3" s="69">
        <v>2</v>
      </c>
      <c r="AG3" s="166" t="s">
        <v>340</v>
      </c>
      <c r="AH3" s="69">
        <v>250</v>
      </c>
      <c r="AI3" s="166" t="s">
        <v>248</v>
      </c>
      <c r="AJ3" s="69">
        <v>200</v>
      </c>
      <c r="AK3" s="166" t="s">
        <v>416</v>
      </c>
      <c r="AL3" s="69">
        <v>10</v>
      </c>
      <c r="AM3" s="166" t="s">
        <v>414</v>
      </c>
      <c r="AN3" s="69">
        <v>125</v>
      </c>
      <c r="AO3" s="52" cm="1">
        <f t="array" ref="AO3:AO100">_xlfn.LET(
  _xlpm.rango, $AE3:$AN100,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Alimentacion_data!F2:F200, ""),
  _xlpm.valores, IF(_xlpm.alimentos="", 0, IF(_xlpm.unidades="ud", _xlpm.cantidades*_xlpm.macro, (_xlpm.cantidades/100)*_xlpm.macro)),
  _xlfn.BYROW(_xlpm.valores, _xlfn.LAMBDA(_xlpm.fila, IF(SUM(_xlpm.fila)=0,"",ROUND(SUM(_xlpm.fila),0))))
 )</f>
        <v>601</v>
      </c>
      <c r="AP3" s="52" cm="1">
        <f t="array" ref="AP3:AP100">_xlfn.LET(
  _xlpm.rango, $AE3:$AN100,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Alimentacion_data!G2:G200, ""),
  _xlpm.valores, IF(_xlpm.alimentos="", 0, IF(_xlpm.unidades="ud", _xlpm.cantidades*_xlpm.macro, (_xlpm.cantidades/100)*_xlpm.macro)),
  _xlfn.BYROW(_xlpm.valores, _xlfn.LAMBDA(_xlpm.fila, IF(SUM(_xlpm.fila)=0,"",ROUND(SUM(_xlpm.fila),0))))
 )</f>
        <v>27</v>
      </c>
      <c r="AQ3" s="52" cm="1">
        <f t="array" ref="AQ3:AQ100">_xlfn.LET(
  _xlpm.rango, $AE3:$AN100,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Alimentacion_data!H2:H200, ""),
  _xlpm.valores, IF(_xlpm.alimentos="", 0, IF(_xlpm.unidades="ud", _xlpm.cantidades*_xlpm.macro, (_xlpm.cantidades/100)*_xlpm.macro)),
  _xlfn.BYROW(_xlpm.valores, _xlfn.LAMBDA(_xlpm.fila, IF(SUM(_xlpm.fila)=0,"",ROUND(SUM(_xlpm.fila),0))))
 )</f>
        <v>72</v>
      </c>
      <c r="AR3" s="52" cm="1">
        <f t="array" ref="AR3:AR100">_xlfn.LET(
  _xlpm.rango, $AE3:$AN100,
  _xlpm.alimentos, _xlfn.CHOOSECOLS(_xlpm.rango, _xlfn.SEQUENCE(1, COLUMNS(_xlpm.rango)/2, 1, 2)),
  _xlpm.cantidades, _xlfn.CHOOSECOLS(_xlpm.rango, _xlfn.SEQUENCE(1, COLUMNS(_xlpm.rango)/2, 2, 2)),
  _xlpm.unidades, _xlfn.XLOOKUP(_xlpm.alimentos, Alimentacion_data!$B2:$B200, Alimentacion_data!$D2:$D200, ""),
  _xlpm.macro, _xlfn.XLOOKUP(_xlpm.alimentos, Alimentacion_data!$B2:$B200, Alimentacion_data!I2:I200, ""),
  _xlpm.valores, IF(_xlpm.alimentos="", 0, IF(_xlpm.unidades="ud", _xlpm.cantidades*_xlpm.macro, (_xlpm.cantidades/100)*_xlpm.macro)),
  _xlfn.BYROW(_xlpm.valores, _xlfn.LAMBDA(_xlpm.fila, IF(SUM(_xlpm.fila)=0,"",ROUND(SUM(_xlpm.fila),0))))
 )</f>
        <v>25</v>
      </c>
      <c r="AS3" s="168" cm="1">
        <f t="array" ref="AS3:AS100">IF((M3:M100="") * (AA3:AA100="") * (AO3:AO100=""), "",  IFERROR(M3:M100*1, 0) + IFERROR(AA3:AA100*1, 0) + IFERROR(AO3:AO100*1, 0))</f>
        <v>1602</v>
      </c>
      <c r="AT3" s="169" cm="1">
        <f t="array" ref="AT3:AT100">IF((N3:N100="") * (AB3:AB100="") * (AP3:AP100=""), "",  IFERROR(N3:N100*1, 0) + IFERROR(AB3:AB100*1, 0) + IFERROR(AP3:AP100*1, 0))</f>
        <v>123</v>
      </c>
      <c r="AU3" s="170" cm="1">
        <f t="array" ref="AU3:AU100">IF((O3:O100="") * (AC3:AC100="") * (AQ3:AQ100=""), "",  IFERROR(O3:O100*1, 0) + IFERROR(AC3:AC100*1, 0) + IFERROR(AQ3:AQ100*1, 0))</f>
        <v>148</v>
      </c>
      <c r="AV3" s="171" cm="1">
        <f t="array" ref="AV3:AV100">IF((P3:P100="") * (AD3:AD100="") * (AR3:AR100=""), "",  IFERROR(P3:P100*1, 0) + IFERROR(AD3:AD100*1, 0) + IFERROR(AR3:AR100*1, 0))</f>
        <v>63</v>
      </c>
      <c r="AW3" s="170"/>
    </row>
    <row r="4" spans="1:49">
      <c r="A4" s="165" t="s">
        <v>54</v>
      </c>
      <c r="B4" s="165" t="s">
        <v>65</v>
      </c>
      <c r="C4" s="68"/>
      <c r="D4" s="69"/>
      <c r="E4" s="167"/>
      <c r="F4" s="70"/>
      <c r="G4" s="167"/>
      <c r="H4" s="70"/>
      <c r="I4" s="167"/>
      <c r="J4" s="70"/>
      <c r="K4" s="167"/>
      <c r="L4" s="70"/>
      <c r="M4" s="73" t="str">
        <v/>
      </c>
      <c r="N4" s="73" t="str">
        <v/>
      </c>
      <c r="O4" s="73" t="str">
        <v/>
      </c>
      <c r="P4" s="73" t="str">
        <v/>
      </c>
      <c r="Q4" s="81"/>
      <c r="R4" s="70"/>
      <c r="S4" s="167"/>
      <c r="T4" s="70"/>
      <c r="U4" s="167"/>
      <c r="V4" s="70"/>
      <c r="W4" s="167"/>
      <c r="X4" s="70"/>
      <c r="Y4" s="167"/>
      <c r="Z4" s="70"/>
      <c r="AA4" s="73" t="str">
        <v/>
      </c>
      <c r="AB4" s="73" t="str">
        <v/>
      </c>
      <c r="AC4" s="73" t="str">
        <v/>
      </c>
      <c r="AD4" s="73" t="str">
        <v/>
      </c>
      <c r="AE4" s="81"/>
      <c r="AF4" s="70"/>
      <c r="AG4" s="167"/>
      <c r="AH4" s="70"/>
      <c r="AI4" s="167"/>
      <c r="AJ4" s="70"/>
      <c r="AK4" s="167"/>
      <c r="AL4" s="70"/>
      <c r="AM4" s="167"/>
      <c r="AN4" s="70"/>
      <c r="AO4" s="73" t="str">
        <v/>
      </c>
      <c r="AP4" s="73" t="str">
        <v/>
      </c>
      <c r="AQ4" s="73" t="str">
        <v/>
      </c>
      <c r="AR4" s="73" t="str">
        <v/>
      </c>
      <c r="AS4" s="168" t="str">
        <v/>
      </c>
      <c r="AT4" s="169" t="str">
        <v/>
      </c>
      <c r="AU4" s="170" t="str">
        <v/>
      </c>
      <c r="AV4" s="171" t="str">
        <v/>
      </c>
      <c r="AW4" s="170"/>
    </row>
    <row r="5" spans="1:49">
      <c r="A5" s="165" t="s">
        <v>54</v>
      </c>
      <c r="B5" s="165" t="s">
        <v>68</v>
      </c>
      <c r="C5" s="68"/>
      <c r="D5" s="69"/>
      <c r="E5" s="167"/>
      <c r="F5" s="70"/>
      <c r="G5" s="167"/>
      <c r="H5" s="70"/>
      <c r="I5" s="167"/>
      <c r="J5" s="70"/>
      <c r="K5" s="167"/>
      <c r="L5" s="70"/>
      <c r="M5" s="73" t="str">
        <v/>
      </c>
      <c r="N5" s="73" t="str">
        <v/>
      </c>
      <c r="O5" s="73" t="str">
        <v/>
      </c>
      <c r="P5" s="73" t="str">
        <v/>
      </c>
      <c r="Q5" s="81"/>
      <c r="R5" s="70"/>
      <c r="S5" s="167"/>
      <c r="T5" s="70"/>
      <c r="U5" s="167"/>
      <c r="V5" s="70"/>
      <c r="W5" s="167"/>
      <c r="X5" s="70"/>
      <c r="Y5" s="167"/>
      <c r="Z5" s="70"/>
      <c r="AA5" s="73" t="str">
        <v/>
      </c>
      <c r="AB5" s="73" t="str">
        <v/>
      </c>
      <c r="AC5" s="73" t="str">
        <v/>
      </c>
      <c r="AD5" s="73" t="str">
        <v/>
      </c>
      <c r="AE5" s="81"/>
      <c r="AF5" s="70"/>
      <c r="AG5" s="167"/>
      <c r="AH5" s="70"/>
      <c r="AI5" s="167"/>
      <c r="AJ5" s="70"/>
      <c r="AK5" s="167"/>
      <c r="AL5" s="70"/>
      <c r="AM5" s="167"/>
      <c r="AN5" s="70"/>
      <c r="AO5" s="73" t="str">
        <v/>
      </c>
      <c r="AP5" s="73" t="str">
        <v/>
      </c>
      <c r="AQ5" s="73" t="str">
        <v/>
      </c>
      <c r="AR5" s="73" t="str">
        <v/>
      </c>
      <c r="AS5" s="168" t="str">
        <v/>
      </c>
      <c r="AT5" s="169" t="str">
        <v/>
      </c>
      <c r="AU5" s="170" t="str">
        <v/>
      </c>
      <c r="AV5" s="171" t="str">
        <v/>
      </c>
      <c r="AW5" s="170"/>
    </row>
    <row r="6" spans="1:49">
      <c r="A6" s="165" t="s">
        <v>54</v>
      </c>
      <c r="B6" s="165" t="s">
        <v>529</v>
      </c>
      <c r="C6" s="68"/>
      <c r="D6" s="69"/>
      <c r="E6" s="167"/>
      <c r="F6" s="70"/>
      <c r="G6" s="167"/>
      <c r="H6" s="70"/>
      <c r="I6" s="167"/>
      <c r="J6" s="70"/>
      <c r="K6" s="167"/>
      <c r="L6" s="70"/>
      <c r="M6" s="73" t="str">
        <v/>
      </c>
      <c r="N6" s="73" t="str">
        <v/>
      </c>
      <c r="O6" s="73" t="str">
        <v/>
      </c>
      <c r="P6" s="73" t="str">
        <v/>
      </c>
      <c r="Q6" s="81"/>
      <c r="R6" s="70"/>
      <c r="S6" s="167"/>
      <c r="T6" s="70"/>
      <c r="U6" s="167"/>
      <c r="V6" s="70"/>
      <c r="W6" s="167"/>
      <c r="X6" s="70"/>
      <c r="Y6" s="167"/>
      <c r="Z6" s="70"/>
      <c r="AA6" s="73" t="str">
        <v/>
      </c>
      <c r="AB6" s="73" t="str">
        <v/>
      </c>
      <c r="AC6" s="73" t="str">
        <v/>
      </c>
      <c r="AD6" s="73" t="str">
        <v/>
      </c>
      <c r="AE6" s="81"/>
      <c r="AF6" s="70"/>
      <c r="AG6" s="167"/>
      <c r="AH6" s="70"/>
      <c r="AI6" s="167"/>
      <c r="AJ6" s="70"/>
      <c r="AK6" s="167"/>
      <c r="AL6" s="70"/>
      <c r="AM6" s="167"/>
      <c r="AN6" s="70"/>
      <c r="AO6" s="73" t="str">
        <v/>
      </c>
      <c r="AP6" s="73" t="str">
        <v/>
      </c>
      <c r="AQ6" s="73" t="str">
        <v/>
      </c>
      <c r="AR6" s="73" t="str">
        <v/>
      </c>
      <c r="AS6" s="168" t="str">
        <v/>
      </c>
      <c r="AT6" s="169" t="str">
        <v/>
      </c>
      <c r="AU6" s="170" t="str">
        <v/>
      </c>
      <c r="AV6" s="171" t="str">
        <v/>
      </c>
      <c r="AW6" s="170"/>
    </row>
    <row r="7" spans="1:49">
      <c r="A7" s="165" t="s">
        <v>54</v>
      </c>
      <c r="B7" s="165" t="s">
        <v>70</v>
      </c>
      <c r="C7" s="81"/>
      <c r="D7" s="70"/>
      <c r="E7" s="167"/>
      <c r="F7" s="70"/>
      <c r="G7" s="167"/>
      <c r="H7" s="70"/>
      <c r="I7" s="167"/>
      <c r="J7" s="70"/>
      <c r="K7" s="167"/>
      <c r="L7" s="70"/>
      <c r="M7" s="73" t="str">
        <v/>
      </c>
      <c r="N7" s="73" t="str">
        <v/>
      </c>
      <c r="O7" s="73" t="str">
        <v/>
      </c>
      <c r="P7" s="73" t="str">
        <v/>
      </c>
      <c r="Q7" s="81"/>
      <c r="R7" s="70"/>
      <c r="S7" s="167"/>
      <c r="T7" s="70"/>
      <c r="U7" s="167"/>
      <c r="V7" s="70"/>
      <c r="W7" s="167"/>
      <c r="X7" s="70"/>
      <c r="Y7" s="167"/>
      <c r="Z7" s="70"/>
      <c r="AA7" s="73" t="str">
        <v/>
      </c>
      <c r="AB7" s="73" t="str">
        <v/>
      </c>
      <c r="AC7" s="73" t="str">
        <v/>
      </c>
      <c r="AD7" s="73" t="str">
        <v/>
      </c>
      <c r="AE7" s="81"/>
      <c r="AF7" s="70"/>
      <c r="AG7" s="167"/>
      <c r="AH7" s="70"/>
      <c r="AI7" s="167"/>
      <c r="AJ7" s="70"/>
      <c r="AK7" s="167"/>
      <c r="AL7" s="70"/>
      <c r="AM7" s="167"/>
      <c r="AN7" s="70"/>
      <c r="AO7" s="73" t="str">
        <v/>
      </c>
      <c r="AP7" s="73" t="str">
        <v/>
      </c>
      <c r="AQ7" s="73" t="str">
        <v/>
      </c>
      <c r="AR7" s="73" t="str">
        <v/>
      </c>
      <c r="AS7" s="168" t="str">
        <v/>
      </c>
      <c r="AT7" s="169" t="str">
        <v/>
      </c>
      <c r="AU7" s="170" t="str">
        <v/>
      </c>
      <c r="AV7" s="171" t="str">
        <v/>
      </c>
      <c r="AW7" s="170"/>
    </row>
    <row r="8" spans="1:49">
      <c r="A8" s="165" t="s">
        <v>54</v>
      </c>
      <c r="B8" s="165" t="s">
        <v>530</v>
      </c>
      <c r="C8" s="81"/>
      <c r="D8" s="70"/>
      <c r="E8" s="167"/>
      <c r="F8" s="70"/>
      <c r="G8" s="167"/>
      <c r="H8" s="70"/>
      <c r="I8" s="167"/>
      <c r="J8" s="70"/>
      <c r="K8" s="167"/>
      <c r="L8" s="70"/>
      <c r="M8" s="73" t="str">
        <v/>
      </c>
      <c r="N8" s="73" t="str">
        <v/>
      </c>
      <c r="O8" s="73" t="str">
        <v/>
      </c>
      <c r="P8" s="73" t="str">
        <v/>
      </c>
      <c r="Q8" s="81"/>
      <c r="R8" s="70"/>
      <c r="S8" s="167"/>
      <c r="T8" s="70"/>
      <c r="U8" s="167"/>
      <c r="V8" s="70"/>
      <c r="W8" s="167"/>
      <c r="X8" s="70"/>
      <c r="Y8" s="167"/>
      <c r="Z8" s="70"/>
      <c r="AA8" s="73" t="str">
        <v/>
      </c>
      <c r="AB8" s="73" t="str">
        <v/>
      </c>
      <c r="AC8" s="73" t="str">
        <v/>
      </c>
      <c r="AD8" s="73" t="str">
        <v/>
      </c>
      <c r="AE8" s="81"/>
      <c r="AF8" s="70"/>
      <c r="AG8" s="167"/>
      <c r="AH8" s="70"/>
      <c r="AI8" s="167"/>
      <c r="AJ8" s="70"/>
      <c r="AK8" s="167"/>
      <c r="AL8" s="70"/>
      <c r="AM8" s="167"/>
      <c r="AN8" s="70"/>
      <c r="AO8" s="73" t="str">
        <v/>
      </c>
      <c r="AP8" s="73" t="str">
        <v/>
      </c>
      <c r="AQ8" s="73" t="str">
        <v/>
      </c>
      <c r="AR8" s="73" t="str">
        <v/>
      </c>
      <c r="AS8" s="168" t="str">
        <v/>
      </c>
      <c r="AT8" s="169" t="str">
        <v/>
      </c>
      <c r="AU8" s="170" t="str">
        <v/>
      </c>
      <c r="AV8" s="171" t="str">
        <v/>
      </c>
      <c r="AW8" s="170"/>
    </row>
    <row r="9" spans="1:49">
      <c r="A9" s="172" t="s">
        <v>54</v>
      </c>
      <c r="B9" s="165" t="s">
        <v>531</v>
      </c>
      <c r="C9" s="81"/>
      <c r="D9" s="70"/>
      <c r="E9" s="167"/>
      <c r="F9" s="70"/>
      <c r="G9" s="167"/>
      <c r="H9" s="70"/>
      <c r="I9" s="167"/>
      <c r="J9" s="70"/>
      <c r="K9" s="167"/>
      <c r="L9" s="70"/>
      <c r="M9" s="73" t="str">
        <v/>
      </c>
      <c r="N9" s="73" t="str">
        <v/>
      </c>
      <c r="O9" s="73" t="str">
        <v/>
      </c>
      <c r="P9" s="73" t="str">
        <v/>
      </c>
      <c r="Q9" s="81"/>
      <c r="R9" s="70"/>
      <c r="S9" s="167"/>
      <c r="T9" s="70"/>
      <c r="U9" s="167"/>
      <c r="V9" s="70"/>
      <c r="W9" s="167"/>
      <c r="X9" s="70"/>
      <c r="Y9" s="167"/>
      <c r="Z9" s="70"/>
      <c r="AA9" s="73" t="str">
        <v/>
      </c>
      <c r="AB9" s="73" t="str">
        <v/>
      </c>
      <c r="AC9" s="73" t="str">
        <v/>
      </c>
      <c r="AD9" s="73" t="str">
        <v/>
      </c>
      <c r="AE9" s="81"/>
      <c r="AF9" s="70"/>
      <c r="AG9" s="167"/>
      <c r="AH9" s="70"/>
      <c r="AI9" s="167"/>
      <c r="AJ9" s="70"/>
      <c r="AK9" s="167"/>
      <c r="AL9" s="70"/>
      <c r="AM9" s="167"/>
      <c r="AN9" s="70"/>
      <c r="AO9" s="73" t="str">
        <v/>
      </c>
      <c r="AP9" s="73" t="str">
        <v/>
      </c>
      <c r="AQ9" s="73" t="str">
        <v/>
      </c>
      <c r="AR9" s="73" t="str">
        <v/>
      </c>
      <c r="AS9" s="168" t="str">
        <v/>
      </c>
      <c r="AT9" s="169" t="str">
        <v/>
      </c>
      <c r="AU9" s="170" t="str">
        <v/>
      </c>
      <c r="AV9" s="171" t="str">
        <v/>
      </c>
      <c r="AW9" s="170"/>
    </row>
    <row r="10" spans="1:49">
      <c r="A10" s="165" t="s">
        <v>64</v>
      </c>
      <c r="B10" s="165" t="s">
        <v>55</v>
      </c>
      <c r="C10" s="68" t="s">
        <v>456</v>
      </c>
      <c r="D10" s="69">
        <v>1</v>
      </c>
      <c r="E10" s="166" t="s">
        <v>326</v>
      </c>
      <c r="F10" s="69">
        <v>60</v>
      </c>
      <c r="G10" s="166" t="s">
        <v>414</v>
      </c>
      <c r="H10" s="69">
        <v>125</v>
      </c>
      <c r="I10" s="166" t="s">
        <v>268</v>
      </c>
      <c r="J10" s="69">
        <v>80</v>
      </c>
      <c r="K10" s="167"/>
      <c r="L10" s="70"/>
      <c r="M10" s="73">
        <v>436</v>
      </c>
      <c r="N10" s="73">
        <v>17</v>
      </c>
      <c r="O10" s="73">
        <v>53</v>
      </c>
      <c r="P10" s="73">
        <v>20</v>
      </c>
      <c r="Q10" s="68" t="s">
        <v>371</v>
      </c>
      <c r="R10" s="69">
        <v>220</v>
      </c>
      <c r="S10" s="166" t="s">
        <v>322</v>
      </c>
      <c r="T10" s="69">
        <v>120</v>
      </c>
      <c r="U10" s="166" t="s">
        <v>224</v>
      </c>
      <c r="V10" s="69">
        <v>200</v>
      </c>
      <c r="W10" s="166" t="s">
        <v>264</v>
      </c>
      <c r="X10" s="69">
        <v>80</v>
      </c>
      <c r="Y10" s="166" t="s">
        <v>463</v>
      </c>
      <c r="Z10" s="69">
        <v>100</v>
      </c>
      <c r="AA10" s="73">
        <v>574</v>
      </c>
      <c r="AB10" s="73">
        <v>55</v>
      </c>
      <c r="AC10" s="73">
        <v>56</v>
      </c>
      <c r="AD10" s="73">
        <v>14</v>
      </c>
      <c r="AE10" s="68" t="s">
        <v>375</v>
      </c>
      <c r="AF10" s="69">
        <v>220</v>
      </c>
      <c r="AG10" s="166" t="s">
        <v>238</v>
      </c>
      <c r="AH10" s="69">
        <v>220</v>
      </c>
      <c r="AI10" s="166" t="s">
        <v>416</v>
      </c>
      <c r="AJ10" s="69">
        <v>5</v>
      </c>
      <c r="AK10" s="166" t="s">
        <v>401</v>
      </c>
      <c r="AL10" s="69">
        <v>125</v>
      </c>
      <c r="AM10" s="166" t="s">
        <v>480</v>
      </c>
      <c r="AN10" s="69">
        <v>30</v>
      </c>
      <c r="AO10" s="73">
        <v>456</v>
      </c>
      <c r="AP10" s="73">
        <v>68</v>
      </c>
      <c r="AQ10" s="73">
        <v>19</v>
      </c>
      <c r="AR10" s="73">
        <v>14</v>
      </c>
      <c r="AS10" s="168">
        <v>1466</v>
      </c>
      <c r="AT10" s="169">
        <v>140</v>
      </c>
      <c r="AU10" s="170">
        <v>128</v>
      </c>
      <c r="AV10" s="171">
        <v>48</v>
      </c>
      <c r="AW10" s="170"/>
    </row>
    <row r="11" spans="1:49">
      <c r="A11" s="165" t="s">
        <v>64</v>
      </c>
      <c r="B11" s="165" t="s">
        <v>65</v>
      </c>
      <c r="C11" s="81"/>
      <c r="D11" s="70"/>
      <c r="E11" s="167"/>
      <c r="F11" s="70"/>
      <c r="G11" s="167"/>
      <c r="H11" s="70"/>
      <c r="I11" s="167"/>
      <c r="J11" s="70"/>
      <c r="K11" s="167"/>
      <c r="L11" s="70"/>
      <c r="M11" s="73" t="str">
        <v/>
      </c>
      <c r="N11" s="73" t="str">
        <v/>
      </c>
      <c r="O11" s="73" t="str">
        <v/>
      </c>
      <c r="P11" s="73" t="str">
        <v/>
      </c>
      <c r="Q11" s="81"/>
      <c r="R11" s="70"/>
      <c r="S11" s="167"/>
      <c r="T11" s="70"/>
      <c r="U11" s="167"/>
      <c r="V11" s="70"/>
      <c r="W11" s="167"/>
      <c r="X11" s="70"/>
      <c r="Y11" s="167"/>
      <c r="Z11" s="70"/>
      <c r="AA11" s="73" t="str">
        <v/>
      </c>
      <c r="AB11" s="73" t="str">
        <v/>
      </c>
      <c r="AC11" s="73" t="str">
        <v/>
      </c>
      <c r="AD11" s="73" t="str">
        <v/>
      </c>
      <c r="AE11" s="81"/>
      <c r="AF11" s="70"/>
      <c r="AG11" s="167"/>
      <c r="AH11" s="70"/>
      <c r="AI11" s="167"/>
      <c r="AJ11" s="70"/>
      <c r="AK11" s="167"/>
      <c r="AL11" s="70"/>
      <c r="AM11" s="167"/>
      <c r="AN11" s="70"/>
      <c r="AO11" s="73" t="str">
        <v/>
      </c>
      <c r="AP11" s="73" t="str">
        <v/>
      </c>
      <c r="AQ11" s="73" t="str">
        <v/>
      </c>
      <c r="AR11" s="73" t="str">
        <v/>
      </c>
      <c r="AS11" s="168" t="str">
        <v/>
      </c>
      <c r="AT11" s="169" t="str">
        <v/>
      </c>
      <c r="AU11" s="170" t="str">
        <v/>
      </c>
      <c r="AV11" s="171" t="str">
        <v/>
      </c>
      <c r="AW11" s="170"/>
    </row>
    <row r="12" spans="1:49">
      <c r="A12" s="165" t="s">
        <v>64</v>
      </c>
      <c r="B12" s="165" t="s">
        <v>68</v>
      </c>
      <c r="C12" s="81"/>
      <c r="D12" s="70"/>
      <c r="E12" s="167"/>
      <c r="F12" s="70"/>
      <c r="G12" s="167"/>
      <c r="H12" s="70"/>
      <c r="I12" s="167"/>
      <c r="J12" s="70"/>
      <c r="K12" s="167"/>
      <c r="L12" s="70"/>
      <c r="M12" s="73" t="str">
        <v/>
      </c>
      <c r="N12" s="73" t="str">
        <v/>
      </c>
      <c r="O12" s="73" t="str">
        <v/>
      </c>
      <c r="P12" s="73" t="str">
        <v/>
      </c>
      <c r="Q12" s="81"/>
      <c r="R12" s="70"/>
      <c r="S12" s="167"/>
      <c r="T12" s="70"/>
      <c r="U12" s="167"/>
      <c r="V12" s="70"/>
      <c r="W12" s="167"/>
      <c r="X12" s="70"/>
      <c r="Y12" s="167"/>
      <c r="Z12" s="70"/>
      <c r="AA12" s="73" t="str">
        <v/>
      </c>
      <c r="AB12" s="73" t="str">
        <v/>
      </c>
      <c r="AC12" s="73" t="str">
        <v/>
      </c>
      <c r="AD12" s="73" t="str">
        <v/>
      </c>
      <c r="AE12" s="81"/>
      <c r="AF12" s="70"/>
      <c r="AG12" s="167"/>
      <c r="AH12" s="70"/>
      <c r="AI12" s="167"/>
      <c r="AJ12" s="70"/>
      <c r="AK12" s="167"/>
      <c r="AL12" s="70"/>
      <c r="AM12" s="167"/>
      <c r="AN12" s="70"/>
      <c r="AO12" s="73" t="str">
        <v/>
      </c>
      <c r="AP12" s="73" t="str">
        <v/>
      </c>
      <c r="AQ12" s="73" t="str">
        <v/>
      </c>
      <c r="AR12" s="73" t="str">
        <v/>
      </c>
      <c r="AS12" s="168" t="str">
        <v/>
      </c>
      <c r="AT12" s="169" t="str">
        <v/>
      </c>
      <c r="AU12" s="170" t="str">
        <v/>
      </c>
      <c r="AV12" s="171" t="str">
        <v/>
      </c>
      <c r="AW12" s="170"/>
    </row>
    <row r="13" spans="1:49">
      <c r="A13" s="165" t="s">
        <v>64</v>
      </c>
      <c r="B13" s="165" t="s">
        <v>529</v>
      </c>
      <c r="C13" s="81"/>
      <c r="D13" s="70"/>
      <c r="E13" s="167"/>
      <c r="F13" s="70"/>
      <c r="G13" s="167"/>
      <c r="H13" s="70"/>
      <c r="I13" s="167"/>
      <c r="J13" s="70"/>
      <c r="K13" s="167"/>
      <c r="L13" s="70"/>
      <c r="M13" s="73" t="str">
        <v/>
      </c>
      <c r="N13" s="73" t="str">
        <v/>
      </c>
      <c r="O13" s="73" t="str">
        <v/>
      </c>
      <c r="P13" s="73" t="str">
        <v/>
      </c>
      <c r="Q13" s="81"/>
      <c r="R13" s="70"/>
      <c r="S13" s="167"/>
      <c r="T13" s="70"/>
      <c r="U13" s="167"/>
      <c r="V13" s="70"/>
      <c r="W13" s="167"/>
      <c r="X13" s="70"/>
      <c r="Y13" s="167"/>
      <c r="Z13" s="70"/>
      <c r="AA13" s="73" t="str">
        <v/>
      </c>
      <c r="AB13" s="73" t="str">
        <v/>
      </c>
      <c r="AC13" s="73" t="str">
        <v/>
      </c>
      <c r="AD13" s="73" t="str">
        <v/>
      </c>
      <c r="AE13" s="81"/>
      <c r="AF13" s="70"/>
      <c r="AG13" s="167"/>
      <c r="AH13" s="70"/>
      <c r="AI13" s="167"/>
      <c r="AJ13" s="70"/>
      <c r="AK13" s="167"/>
      <c r="AL13" s="70"/>
      <c r="AM13" s="167"/>
      <c r="AN13" s="70"/>
      <c r="AO13" s="73" t="str">
        <v/>
      </c>
      <c r="AP13" s="73" t="str">
        <v/>
      </c>
      <c r="AQ13" s="73" t="str">
        <v/>
      </c>
      <c r="AR13" s="73" t="str">
        <v/>
      </c>
      <c r="AS13" s="168" t="str">
        <v/>
      </c>
      <c r="AT13" s="169" t="str">
        <v/>
      </c>
      <c r="AU13" s="170" t="str">
        <v/>
      </c>
      <c r="AV13" s="171" t="str">
        <v/>
      </c>
      <c r="AW13" s="170"/>
    </row>
    <row r="14" spans="1:49">
      <c r="A14" s="165" t="s">
        <v>64</v>
      </c>
      <c r="B14" s="165" t="s">
        <v>70</v>
      </c>
      <c r="C14" s="81"/>
      <c r="D14" s="70"/>
      <c r="E14" s="167"/>
      <c r="F14" s="70"/>
      <c r="G14" s="167"/>
      <c r="H14" s="70"/>
      <c r="I14" s="167"/>
      <c r="J14" s="70"/>
      <c r="K14" s="167"/>
      <c r="L14" s="70"/>
      <c r="M14" s="73" t="str">
        <v/>
      </c>
      <c r="N14" s="73" t="str">
        <v/>
      </c>
      <c r="O14" s="73" t="str">
        <v/>
      </c>
      <c r="P14" s="73" t="str">
        <v/>
      </c>
      <c r="Q14" s="81"/>
      <c r="R14" s="70"/>
      <c r="S14" s="167"/>
      <c r="T14" s="70"/>
      <c r="U14" s="167"/>
      <c r="V14" s="70"/>
      <c r="W14" s="167"/>
      <c r="X14" s="70"/>
      <c r="Y14" s="167"/>
      <c r="Z14" s="70"/>
      <c r="AA14" s="73" t="str">
        <v/>
      </c>
      <c r="AB14" s="73" t="str">
        <v/>
      </c>
      <c r="AC14" s="73" t="str">
        <v/>
      </c>
      <c r="AD14" s="73" t="str">
        <v/>
      </c>
      <c r="AE14" s="68" t="s">
        <v>367</v>
      </c>
      <c r="AF14" s="69">
        <v>3</v>
      </c>
      <c r="AG14" s="166" t="s">
        <v>230</v>
      </c>
      <c r="AH14" s="69">
        <v>250</v>
      </c>
      <c r="AI14" s="166" t="s">
        <v>340</v>
      </c>
      <c r="AJ14" s="69">
        <v>80</v>
      </c>
      <c r="AK14" s="166" t="s">
        <v>416</v>
      </c>
      <c r="AL14" s="69">
        <v>5</v>
      </c>
      <c r="AM14" s="167"/>
      <c r="AN14" s="70"/>
      <c r="AO14" s="73">
        <v>404</v>
      </c>
      <c r="AP14" s="73">
        <v>29</v>
      </c>
      <c r="AQ14" s="73">
        <v>26</v>
      </c>
      <c r="AR14" s="73">
        <v>22</v>
      </c>
      <c r="AS14" s="168">
        <v>404</v>
      </c>
      <c r="AT14" s="169">
        <v>29</v>
      </c>
      <c r="AU14" s="170">
        <v>26</v>
      </c>
      <c r="AV14" s="171">
        <v>22</v>
      </c>
      <c r="AW14" s="170"/>
    </row>
    <row r="15" spans="1:49">
      <c r="A15" s="165" t="s">
        <v>64</v>
      </c>
      <c r="B15" s="165" t="s">
        <v>530</v>
      </c>
      <c r="C15" s="81"/>
      <c r="D15" s="70"/>
      <c r="E15" s="167"/>
      <c r="F15" s="70"/>
      <c r="G15" s="167"/>
      <c r="H15" s="70"/>
      <c r="I15" s="167"/>
      <c r="J15" s="70"/>
      <c r="K15" s="167"/>
      <c r="L15" s="70"/>
      <c r="M15" s="73" t="str">
        <v/>
      </c>
      <c r="N15" s="73" t="str">
        <v/>
      </c>
      <c r="O15" s="73" t="str">
        <v/>
      </c>
      <c r="P15" s="73" t="str">
        <v/>
      </c>
      <c r="Q15" s="81"/>
      <c r="R15" s="70"/>
      <c r="S15" s="167"/>
      <c r="T15" s="70"/>
      <c r="U15" s="167"/>
      <c r="V15" s="70"/>
      <c r="W15" s="167"/>
      <c r="X15" s="70"/>
      <c r="Y15" s="167"/>
      <c r="Z15" s="70"/>
      <c r="AA15" s="73" t="str">
        <v/>
      </c>
      <c r="AB15" s="73" t="str">
        <v/>
      </c>
      <c r="AC15" s="73" t="str">
        <v/>
      </c>
      <c r="AD15" s="73" t="str">
        <v/>
      </c>
      <c r="AE15" s="81"/>
      <c r="AF15" s="70"/>
      <c r="AG15" s="167"/>
      <c r="AH15" s="70"/>
      <c r="AI15" s="167"/>
      <c r="AJ15" s="70"/>
      <c r="AK15" s="167"/>
      <c r="AL15" s="70"/>
      <c r="AM15" s="167"/>
      <c r="AN15" s="70"/>
      <c r="AO15" s="73" t="str">
        <v/>
      </c>
      <c r="AP15" s="73" t="str">
        <v/>
      </c>
      <c r="AQ15" s="73" t="str">
        <v/>
      </c>
      <c r="AR15" s="73" t="str">
        <v/>
      </c>
      <c r="AS15" s="168" t="str">
        <v/>
      </c>
      <c r="AT15" s="169" t="str">
        <v/>
      </c>
      <c r="AU15" s="170" t="str">
        <v/>
      </c>
      <c r="AV15" s="171" t="str">
        <v/>
      </c>
      <c r="AW15" s="170"/>
    </row>
    <row r="16" spans="1:49">
      <c r="A16" s="165" t="s">
        <v>64</v>
      </c>
      <c r="B16" s="165" t="s">
        <v>531</v>
      </c>
      <c r="C16" s="81"/>
      <c r="D16" s="70"/>
      <c r="E16" s="167"/>
      <c r="F16" s="70"/>
      <c r="G16" s="167"/>
      <c r="H16" s="70"/>
      <c r="I16" s="167"/>
      <c r="J16" s="70"/>
      <c r="K16" s="167"/>
      <c r="L16" s="70"/>
      <c r="M16" s="73" t="str">
        <v/>
      </c>
      <c r="N16" s="73" t="str">
        <v/>
      </c>
      <c r="O16" s="73" t="str">
        <v/>
      </c>
      <c r="P16" s="73" t="str">
        <v/>
      </c>
      <c r="Q16" s="81"/>
      <c r="R16" s="70"/>
      <c r="S16" s="167"/>
      <c r="T16" s="70"/>
      <c r="U16" s="167"/>
      <c r="V16" s="70"/>
      <c r="W16" s="167"/>
      <c r="X16" s="70"/>
      <c r="Y16" s="167"/>
      <c r="Z16" s="70"/>
      <c r="AA16" s="73" t="str">
        <v/>
      </c>
      <c r="AB16" s="73" t="str">
        <v/>
      </c>
      <c r="AC16" s="73" t="str">
        <v/>
      </c>
      <c r="AD16" s="73" t="str">
        <v/>
      </c>
      <c r="AE16" s="81"/>
      <c r="AF16" s="70"/>
      <c r="AG16" s="167"/>
      <c r="AH16" s="70"/>
      <c r="AI16" s="167"/>
      <c r="AJ16" s="70"/>
      <c r="AK16" s="167"/>
      <c r="AL16" s="70"/>
      <c r="AM16" s="167"/>
      <c r="AN16" s="70"/>
      <c r="AO16" s="73" t="str">
        <v/>
      </c>
      <c r="AP16" s="73" t="str">
        <v/>
      </c>
      <c r="AQ16" s="73" t="str">
        <v/>
      </c>
      <c r="AR16" s="73" t="str">
        <v/>
      </c>
      <c r="AS16" s="168" t="str">
        <v/>
      </c>
      <c r="AT16" s="169" t="str">
        <v/>
      </c>
      <c r="AU16" s="170" t="str">
        <v/>
      </c>
      <c r="AV16" s="171" t="str">
        <v/>
      </c>
      <c r="AW16" s="170"/>
    </row>
    <row r="17" spans="1:49">
      <c r="A17" s="76"/>
      <c r="B17" s="76"/>
      <c r="C17" s="81"/>
      <c r="D17" s="70"/>
      <c r="E17" s="167"/>
      <c r="F17" s="70"/>
      <c r="G17" s="167"/>
      <c r="H17" s="70"/>
      <c r="I17" s="167"/>
      <c r="J17" s="70"/>
      <c r="K17" s="167"/>
      <c r="L17" s="70"/>
      <c r="M17" s="73" t="str">
        <v/>
      </c>
      <c r="N17" s="73" t="str">
        <v/>
      </c>
      <c r="O17" s="73" t="str">
        <v/>
      </c>
      <c r="P17" s="73" t="str">
        <v/>
      </c>
      <c r="Q17" s="81"/>
      <c r="R17" s="70"/>
      <c r="S17" s="167"/>
      <c r="T17" s="70"/>
      <c r="U17" s="167"/>
      <c r="V17" s="70"/>
      <c r="W17" s="167"/>
      <c r="X17" s="70"/>
      <c r="Y17" s="167"/>
      <c r="Z17" s="70"/>
      <c r="AA17" s="73" t="str">
        <v/>
      </c>
      <c r="AB17" s="73" t="str">
        <v/>
      </c>
      <c r="AC17" s="73" t="str">
        <v/>
      </c>
      <c r="AD17" s="73" t="str">
        <v/>
      </c>
      <c r="AE17" s="81"/>
      <c r="AF17" s="70"/>
      <c r="AG17" s="167"/>
      <c r="AH17" s="70"/>
      <c r="AI17" s="167"/>
      <c r="AJ17" s="70"/>
      <c r="AK17" s="167"/>
      <c r="AL17" s="70"/>
      <c r="AM17" s="167"/>
      <c r="AN17" s="70"/>
      <c r="AO17" s="73" t="str">
        <v/>
      </c>
      <c r="AP17" s="73" t="str">
        <v/>
      </c>
      <c r="AQ17" s="73" t="str">
        <v/>
      </c>
      <c r="AR17" s="73" t="str">
        <v/>
      </c>
      <c r="AS17" s="168" t="str">
        <v/>
      </c>
      <c r="AT17" s="169" t="str">
        <v/>
      </c>
      <c r="AU17" s="170" t="str">
        <v/>
      </c>
      <c r="AV17" s="171" t="str">
        <v/>
      </c>
      <c r="AW17" s="170"/>
    </row>
    <row r="18" spans="1:49">
      <c r="A18" s="76"/>
      <c r="B18" s="76"/>
      <c r="C18" s="81"/>
      <c r="D18" s="70"/>
      <c r="E18" s="167"/>
      <c r="F18" s="70"/>
      <c r="G18" s="167"/>
      <c r="H18" s="70"/>
      <c r="I18" s="167"/>
      <c r="J18" s="70"/>
      <c r="K18" s="167"/>
      <c r="L18" s="70"/>
      <c r="M18" s="73" t="str">
        <v/>
      </c>
      <c r="N18" s="73" t="str">
        <v/>
      </c>
      <c r="O18" s="73" t="str">
        <v/>
      </c>
      <c r="P18" s="73" t="str">
        <v/>
      </c>
      <c r="Q18" s="81"/>
      <c r="R18" s="70"/>
      <c r="S18" s="167"/>
      <c r="T18" s="70"/>
      <c r="U18" s="167"/>
      <c r="V18" s="70"/>
      <c r="W18" s="167"/>
      <c r="X18" s="70"/>
      <c r="Y18" s="167"/>
      <c r="Z18" s="70"/>
      <c r="AA18" s="73" t="str">
        <v/>
      </c>
      <c r="AB18" s="73" t="str">
        <v/>
      </c>
      <c r="AC18" s="73" t="str">
        <v/>
      </c>
      <c r="AD18" s="73" t="str">
        <v/>
      </c>
      <c r="AE18" s="81"/>
      <c r="AF18" s="70"/>
      <c r="AG18" s="167"/>
      <c r="AH18" s="70"/>
      <c r="AI18" s="167"/>
      <c r="AJ18" s="70"/>
      <c r="AK18" s="167"/>
      <c r="AL18" s="70"/>
      <c r="AM18" s="167"/>
      <c r="AN18" s="70"/>
      <c r="AO18" s="73" t="str">
        <v/>
      </c>
      <c r="AP18" s="73" t="str">
        <v/>
      </c>
      <c r="AQ18" s="73" t="str">
        <v/>
      </c>
      <c r="AR18" s="73" t="str">
        <v/>
      </c>
      <c r="AS18" s="168" t="str">
        <v/>
      </c>
      <c r="AT18" s="169" t="str">
        <v/>
      </c>
      <c r="AU18" s="170" t="str">
        <v/>
      </c>
      <c r="AV18" s="171" t="str">
        <v/>
      </c>
      <c r="AW18" s="170"/>
    </row>
    <row r="19" spans="1:49">
      <c r="A19" s="76"/>
      <c r="B19" s="76"/>
      <c r="C19" s="81"/>
      <c r="D19" s="70"/>
      <c r="E19" s="167"/>
      <c r="F19" s="70"/>
      <c r="G19" s="167"/>
      <c r="H19" s="70"/>
      <c r="I19" s="167"/>
      <c r="J19" s="70"/>
      <c r="K19" s="167"/>
      <c r="L19" s="70"/>
      <c r="M19" s="73" t="str">
        <v/>
      </c>
      <c r="N19" s="73" t="str">
        <v/>
      </c>
      <c r="O19" s="73" t="str">
        <v/>
      </c>
      <c r="P19" s="73" t="str">
        <v/>
      </c>
      <c r="Q19" s="81"/>
      <c r="R19" s="70"/>
      <c r="S19" s="167"/>
      <c r="T19" s="70"/>
      <c r="U19" s="167"/>
      <c r="V19" s="70"/>
      <c r="W19" s="167"/>
      <c r="X19" s="70"/>
      <c r="Y19" s="167"/>
      <c r="Z19" s="70"/>
      <c r="AA19" s="73" t="str">
        <v/>
      </c>
      <c r="AB19" s="73" t="str">
        <v/>
      </c>
      <c r="AC19" s="73" t="str">
        <v/>
      </c>
      <c r="AD19" s="73" t="str">
        <v/>
      </c>
      <c r="AE19" s="81"/>
      <c r="AF19" s="70"/>
      <c r="AG19" s="167"/>
      <c r="AH19" s="70"/>
      <c r="AI19" s="167"/>
      <c r="AJ19" s="70"/>
      <c r="AK19" s="167"/>
      <c r="AL19" s="70"/>
      <c r="AM19" s="167"/>
      <c r="AN19" s="70"/>
      <c r="AO19" s="73" t="str">
        <v/>
      </c>
      <c r="AP19" s="73" t="str">
        <v/>
      </c>
      <c r="AQ19" s="73" t="str">
        <v/>
      </c>
      <c r="AR19" s="73" t="str">
        <v/>
      </c>
      <c r="AS19" s="168" t="str">
        <v/>
      </c>
      <c r="AT19" s="169" t="str">
        <v/>
      </c>
      <c r="AU19" s="170" t="str">
        <v/>
      </c>
      <c r="AV19" s="171" t="str">
        <v/>
      </c>
      <c r="AW19" s="170"/>
    </row>
    <row r="20" spans="1:49">
      <c r="A20" s="76"/>
      <c r="B20" s="76"/>
      <c r="C20" s="81"/>
      <c r="D20" s="70"/>
      <c r="E20" s="167"/>
      <c r="F20" s="70"/>
      <c r="G20" s="167"/>
      <c r="H20" s="70"/>
      <c r="I20" s="167"/>
      <c r="J20" s="70"/>
      <c r="K20" s="167"/>
      <c r="L20" s="70"/>
      <c r="M20" s="73" t="str">
        <v/>
      </c>
      <c r="N20" s="73" t="str">
        <v/>
      </c>
      <c r="O20" s="73" t="str">
        <v/>
      </c>
      <c r="P20" s="73" t="str">
        <v/>
      </c>
      <c r="Q20" s="81"/>
      <c r="R20" s="70"/>
      <c r="S20" s="167"/>
      <c r="T20" s="70"/>
      <c r="U20" s="167"/>
      <c r="V20" s="70"/>
      <c r="W20" s="167"/>
      <c r="X20" s="70"/>
      <c r="Y20" s="167"/>
      <c r="Z20" s="70"/>
      <c r="AA20" s="73" t="str">
        <v/>
      </c>
      <c r="AB20" s="73" t="str">
        <v/>
      </c>
      <c r="AC20" s="73" t="str">
        <v/>
      </c>
      <c r="AD20" s="73" t="str">
        <v/>
      </c>
      <c r="AE20" s="81"/>
      <c r="AF20" s="70"/>
      <c r="AG20" s="167"/>
      <c r="AH20" s="70"/>
      <c r="AI20" s="167"/>
      <c r="AJ20" s="70"/>
      <c r="AK20" s="167"/>
      <c r="AL20" s="70"/>
      <c r="AM20" s="167"/>
      <c r="AN20" s="70"/>
      <c r="AO20" s="73" t="str">
        <v/>
      </c>
      <c r="AP20" s="73" t="str">
        <v/>
      </c>
      <c r="AQ20" s="73" t="str">
        <v/>
      </c>
      <c r="AR20" s="73" t="str">
        <v/>
      </c>
      <c r="AS20" s="168" t="str">
        <v/>
      </c>
      <c r="AT20" s="169" t="str">
        <v/>
      </c>
      <c r="AU20" s="170" t="str">
        <v/>
      </c>
      <c r="AV20" s="171" t="str">
        <v/>
      </c>
      <c r="AW20" s="170"/>
    </row>
    <row r="21" spans="1:49">
      <c r="A21" s="76"/>
      <c r="B21" s="76"/>
      <c r="C21" s="81"/>
      <c r="D21" s="70"/>
      <c r="E21" s="167"/>
      <c r="F21" s="70"/>
      <c r="G21" s="167"/>
      <c r="H21" s="70"/>
      <c r="I21" s="167"/>
      <c r="J21" s="70"/>
      <c r="K21" s="167"/>
      <c r="L21" s="70"/>
      <c r="M21" s="73" t="str">
        <v/>
      </c>
      <c r="N21" s="73" t="str">
        <v/>
      </c>
      <c r="O21" s="73" t="str">
        <v/>
      </c>
      <c r="P21" s="73" t="str">
        <v/>
      </c>
      <c r="Q21" s="81"/>
      <c r="R21" s="70"/>
      <c r="S21" s="167"/>
      <c r="T21" s="70"/>
      <c r="U21" s="167"/>
      <c r="V21" s="70"/>
      <c r="W21" s="167"/>
      <c r="X21" s="70"/>
      <c r="Y21" s="167"/>
      <c r="Z21" s="70"/>
      <c r="AA21" s="73" t="str">
        <v/>
      </c>
      <c r="AB21" s="73" t="str">
        <v/>
      </c>
      <c r="AC21" s="73" t="str">
        <v/>
      </c>
      <c r="AD21" s="73" t="str">
        <v/>
      </c>
      <c r="AE21" s="81"/>
      <c r="AF21" s="70"/>
      <c r="AG21" s="167"/>
      <c r="AH21" s="70"/>
      <c r="AI21" s="167"/>
      <c r="AJ21" s="70"/>
      <c r="AK21" s="167"/>
      <c r="AL21" s="70"/>
      <c r="AM21" s="167"/>
      <c r="AN21" s="70"/>
      <c r="AO21" s="73" t="str">
        <v/>
      </c>
      <c r="AP21" s="73" t="str">
        <v/>
      </c>
      <c r="AQ21" s="73" t="str">
        <v/>
      </c>
      <c r="AR21" s="73" t="str">
        <v/>
      </c>
      <c r="AS21" s="168" t="str">
        <v/>
      </c>
      <c r="AT21" s="169" t="str">
        <v/>
      </c>
      <c r="AU21" s="170" t="str">
        <v/>
      </c>
      <c r="AV21" s="171" t="str">
        <v/>
      </c>
      <c r="AW21" s="170"/>
    </row>
    <row r="22" spans="1:49">
      <c r="A22" s="76"/>
      <c r="B22" s="76"/>
      <c r="C22" s="81"/>
      <c r="D22" s="70"/>
      <c r="E22" s="167"/>
      <c r="F22" s="70"/>
      <c r="G22" s="167"/>
      <c r="H22" s="70"/>
      <c r="I22" s="167"/>
      <c r="J22" s="70"/>
      <c r="K22" s="167"/>
      <c r="L22" s="70"/>
      <c r="M22" s="73" t="str">
        <v/>
      </c>
      <c r="N22" s="73" t="str">
        <v/>
      </c>
      <c r="O22" s="73" t="str">
        <v/>
      </c>
      <c r="P22" s="73" t="str">
        <v/>
      </c>
      <c r="Q22" s="81"/>
      <c r="R22" s="70"/>
      <c r="S22" s="167"/>
      <c r="T22" s="70"/>
      <c r="U22" s="167"/>
      <c r="V22" s="70"/>
      <c r="W22" s="167"/>
      <c r="X22" s="70"/>
      <c r="Y22" s="167"/>
      <c r="Z22" s="70"/>
      <c r="AA22" s="73" t="str">
        <v/>
      </c>
      <c r="AB22" s="73" t="str">
        <v/>
      </c>
      <c r="AC22" s="73" t="str">
        <v/>
      </c>
      <c r="AD22" s="73" t="str">
        <v/>
      </c>
      <c r="AE22" s="81"/>
      <c r="AF22" s="70"/>
      <c r="AG22" s="167"/>
      <c r="AH22" s="70"/>
      <c r="AI22" s="167"/>
      <c r="AJ22" s="70"/>
      <c r="AK22" s="167"/>
      <c r="AL22" s="70"/>
      <c r="AM22" s="167"/>
      <c r="AN22" s="70"/>
      <c r="AO22" s="73" t="str">
        <v/>
      </c>
      <c r="AP22" s="73" t="str">
        <v/>
      </c>
      <c r="AQ22" s="73" t="str">
        <v/>
      </c>
      <c r="AR22" s="73" t="str">
        <v/>
      </c>
      <c r="AS22" s="168" t="str">
        <v/>
      </c>
      <c r="AT22" s="169" t="str">
        <v/>
      </c>
      <c r="AU22" s="170" t="str">
        <v/>
      </c>
      <c r="AV22" s="171" t="str">
        <v/>
      </c>
      <c r="AW22" s="170"/>
    </row>
    <row r="23" spans="1:49">
      <c r="A23" s="76"/>
      <c r="B23" s="76"/>
      <c r="C23" s="81"/>
      <c r="D23" s="70"/>
      <c r="E23" s="167"/>
      <c r="F23" s="70"/>
      <c r="G23" s="167"/>
      <c r="H23" s="70"/>
      <c r="I23" s="167"/>
      <c r="J23" s="70"/>
      <c r="K23" s="167"/>
      <c r="L23" s="70"/>
      <c r="M23" s="73" t="str">
        <v/>
      </c>
      <c r="N23" s="73" t="str">
        <v/>
      </c>
      <c r="O23" s="73" t="str">
        <v/>
      </c>
      <c r="P23" s="73" t="str">
        <v/>
      </c>
      <c r="Q23" s="81"/>
      <c r="R23" s="70"/>
      <c r="S23" s="167"/>
      <c r="T23" s="70"/>
      <c r="U23" s="167"/>
      <c r="V23" s="70"/>
      <c r="W23" s="167"/>
      <c r="X23" s="70"/>
      <c r="Y23" s="167"/>
      <c r="Z23" s="70"/>
      <c r="AA23" s="73" t="str">
        <v/>
      </c>
      <c r="AB23" s="73" t="str">
        <v/>
      </c>
      <c r="AC23" s="73" t="str">
        <v/>
      </c>
      <c r="AD23" s="73" t="str">
        <v/>
      </c>
      <c r="AE23" s="81"/>
      <c r="AF23" s="70"/>
      <c r="AG23" s="167"/>
      <c r="AH23" s="70"/>
      <c r="AI23" s="167"/>
      <c r="AJ23" s="70"/>
      <c r="AK23" s="167"/>
      <c r="AL23" s="70"/>
      <c r="AM23" s="167"/>
      <c r="AN23" s="70"/>
      <c r="AO23" s="73" t="str">
        <v/>
      </c>
      <c r="AP23" s="73" t="str">
        <v/>
      </c>
      <c r="AQ23" s="73" t="str">
        <v/>
      </c>
      <c r="AR23" s="73" t="str">
        <v/>
      </c>
      <c r="AS23" s="168" t="str">
        <v/>
      </c>
      <c r="AT23" s="169" t="str">
        <v/>
      </c>
      <c r="AU23" s="170" t="str">
        <v/>
      </c>
      <c r="AV23" s="171" t="str">
        <v/>
      </c>
      <c r="AW23" s="170"/>
    </row>
    <row r="24" spans="1:49">
      <c r="A24" s="76"/>
      <c r="B24" s="76"/>
      <c r="C24" s="81"/>
      <c r="D24" s="70"/>
      <c r="E24" s="167"/>
      <c r="F24" s="70"/>
      <c r="G24" s="167"/>
      <c r="H24" s="70"/>
      <c r="I24" s="167"/>
      <c r="J24" s="70"/>
      <c r="K24" s="167"/>
      <c r="L24" s="70"/>
      <c r="M24" s="73" t="str">
        <v/>
      </c>
      <c r="N24" s="73" t="str">
        <v/>
      </c>
      <c r="O24" s="73" t="str">
        <v/>
      </c>
      <c r="P24" s="73" t="str">
        <v/>
      </c>
      <c r="Q24" s="81"/>
      <c r="R24" s="70"/>
      <c r="S24" s="167"/>
      <c r="T24" s="70"/>
      <c r="U24" s="167"/>
      <c r="V24" s="70"/>
      <c r="W24" s="167"/>
      <c r="X24" s="70"/>
      <c r="Y24" s="167"/>
      <c r="Z24" s="70"/>
      <c r="AA24" s="73" t="str">
        <v/>
      </c>
      <c r="AB24" s="73" t="str">
        <v/>
      </c>
      <c r="AC24" s="73" t="str">
        <v/>
      </c>
      <c r="AD24" s="73" t="str">
        <v/>
      </c>
      <c r="AE24" s="81"/>
      <c r="AF24" s="70"/>
      <c r="AG24" s="167"/>
      <c r="AH24" s="70"/>
      <c r="AI24" s="167"/>
      <c r="AJ24" s="70"/>
      <c r="AK24" s="167"/>
      <c r="AL24" s="70"/>
      <c r="AM24" s="167"/>
      <c r="AN24" s="70"/>
      <c r="AO24" s="73" t="str">
        <v/>
      </c>
      <c r="AP24" s="73" t="str">
        <v/>
      </c>
      <c r="AQ24" s="73" t="str">
        <v/>
      </c>
      <c r="AR24" s="73" t="str">
        <v/>
      </c>
      <c r="AS24" s="168" t="str">
        <v/>
      </c>
      <c r="AT24" s="169" t="str">
        <v/>
      </c>
      <c r="AU24" s="170" t="str">
        <v/>
      </c>
      <c r="AV24" s="171" t="str">
        <v/>
      </c>
      <c r="AW24" s="170"/>
    </row>
    <row r="25" spans="1:49">
      <c r="A25" s="76"/>
      <c r="B25" s="76"/>
      <c r="C25" s="81"/>
      <c r="D25" s="70"/>
      <c r="E25" s="167"/>
      <c r="F25" s="70"/>
      <c r="G25" s="167"/>
      <c r="H25" s="70"/>
      <c r="I25" s="167"/>
      <c r="J25" s="70"/>
      <c r="K25" s="167"/>
      <c r="L25" s="70"/>
      <c r="M25" s="73" t="str">
        <v/>
      </c>
      <c r="N25" s="73" t="str">
        <v/>
      </c>
      <c r="O25" s="73" t="str">
        <v/>
      </c>
      <c r="P25" s="73" t="str">
        <v/>
      </c>
      <c r="Q25" s="81"/>
      <c r="R25" s="70"/>
      <c r="S25" s="167"/>
      <c r="T25" s="70"/>
      <c r="U25" s="167"/>
      <c r="V25" s="70"/>
      <c r="W25" s="167"/>
      <c r="X25" s="70"/>
      <c r="Y25" s="167"/>
      <c r="Z25" s="70"/>
      <c r="AA25" s="73" t="str">
        <v/>
      </c>
      <c r="AB25" s="73" t="str">
        <v/>
      </c>
      <c r="AC25" s="73" t="str">
        <v/>
      </c>
      <c r="AD25" s="73" t="str">
        <v/>
      </c>
      <c r="AE25" s="81"/>
      <c r="AF25" s="70"/>
      <c r="AG25" s="167"/>
      <c r="AH25" s="70"/>
      <c r="AI25" s="167"/>
      <c r="AJ25" s="70"/>
      <c r="AK25" s="167"/>
      <c r="AL25" s="70"/>
      <c r="AM25" s="167"/>
      <c r="AN25" s="70"/>
      <c r="AO25" s="73" t="str">
        <v/>
      </c>
      <c r="AP25" s="73" t="str">
        <v/>
      </c>
      <c r="AQ25" s="73" t="str">
        <v/>
      </c>
      <c r="AR25" s="73" t="str">
        <v/>
      </c>
      <c r="AS25" s="168" t="str">
        <v/>
      </c>
      <c r="AT25" s="169" t="str">
        <v/>
      </c>
      <c r="AU25" s="170" t="str">
        <v/>
      </c>
      <c r="AV25" s="171" t="str">
        <v/>
      </c>
      <c r="AW25" s="170"/>
    </row>
    <row r="26" spans="1:49">
      <c r="A26" s="76"/>
      <c r="B26" s="76"/>
      <c r="C26" s="81"/>
      <c r="D26" s="70"/>
      <c r="E26" s="167"/>
      <c r="F26" s="70"/>
      <c r="G26" s="167"/>
      <c r="H26" s="70"/>
      <c r="I26" s="167"/>
      <c r="J26" s="70"/>
      <c r="K26" s="167"/>
      <c r="L26" s="70"/>
      <c r="M26" s="73" t="str">
        <v/>
      </c>
      <c r="N26" s="73" t="str">
        <v/>
      </c>
      <c r="O26" s="73" t="str">
        <v/>
      </c>
      <c r="P26" s="73" t="str">
        <v/>
      </c>
      <c r="Q26" s="81"/>
      <c r="R26" s="70"/>
      <c r="S26" s="167"/>
      <c r="T26" s="70"/>
      <c r="U26" s="167"/>
      <c r="V26" s="70"/>
      <c r="W26" s="167"/>
      <c r="X26" s="70"/>
      <c r="Y26" s="167"/>
      <c r="Z26" s="70"/>
      <c r="AA26" s="73" t="str">
        <v/>
      </c>
      <c r="AB26" s="73" t="str">
        <v/>
      </c>
      <c r="AC26" s="73" t="str">
        <v/>
      </c>
      <c r="AD26" s="73" t="str">
        <v/>
      </c>
      <c r="AE26" s="81"/>
      <c r="AF26" s="70"/>
      <c r="AG26" s="167"/>
      <c r="AH26" s="70"/>
      <c r="AI26" s="167"/>
      <c r="AJ26" s="70"/>
      <c r="AK26" s="167"/>
      <c r="AL26" s="70"/>
      <c r="AM26" s="167"/>
      <c r="AN26" s="70"/>
      <c r="AO26" s="73" t="str">
        <v/>
      </c>
      <c r="AP26" s="73" t="str">
        <v/>
      </c>
      <c r="AQ26" s="73" t="str">
        <v/>
      </c>
      <c r="AR26" s="73" t="str">
        <v/>
      </c>
      <c r="AS26" s="168" t="str">
        <v/>
      </c>
      <c r="AT26" s="169" t="str">
        <v/>
      </c>
      <c r="AU26" s="170" t="str">
        <v/>
      </c>
      <c r="AV26" s="171" t="str">
        <v/>
      </c>
      <c r="AW26" s="170"/>
    </row>
    <row r="27" spans="1:49">
      <c r="A27" s="76"/>
      <c r="B27" s="76"/>
      <c r="C27" s="81"/>
      <c r="D27" s="70"/>
      <c r="E27" s="167"/>
      <c r="F27" s="70"/>
      <c r="G27" s="167"/>
      <c r="H27" s="70"/>
      <c r="I27" s="167"/>
      <c r="J27" s="70"/>
      <c r="K27" s="167"/>
      <c r="L27" s="70"/>
      <c r="M27" s="73" t="str">
        <v/>
      </c>
      <c r="N27" s="73" t="str">
        <v/>
      </c>
      <c r="O27" s="73" t="str">
        <v/>
      </c>
      <c r="P27" s="73" t="str">
        <v/>
      </c>
      <c r="Q27" s="81"/>
      <c r="R27" s="70"/>
      <c r="S27" s="167"/>
      <c r="T27" s="70"/>
      <c r="U27" s="167"/>
      <c r="V27" s="70"/>
      <c r="W27" s="167"/>
      <c r="X27" s="70"/>
      <c r="Y27" s="167"/>
      <c r="Z27" s="70"/>
      <c r="AA27" s="73" t="str">
        <v/>
      </c>
      <c r="AB27" s="73" t="str">
        <v/>
      </c>
      <c r="AC27" s="73" t="str">
        <v/>
      </c>
      <c r="AD27" s="73" t="str">
        <v/>
      </c>
      <c r="AE27" s="81"/>
      <c r="AF27" s="70"/>
      <c r="AG27" s="167"/>
      <c r="AH27" s="70"/>
      <c r="AI27" s="167"/>
      <c r="AJ27" s="70"/>
      <c r="AK27" s="167"/>
      <c r="AL27" s="70"/>
      <c r="AM27" s="167"/>
      <c r="AN27" s="70"/>
      <c r="AO27" s="73" t="str">
        <v/>
      </c>
      <c r="AP27" s="73" t="str">
        <v/>
      </c>
      <c r="AQ27" s="73" t="str">
        <v/>
      </c>
      <c r="AR27" s="73" t="str">
        <v/>
      </c>
      <c r="AS27" s="168" t="str">
        <v/>
      </c>
      <c r="AT27" s="169" t="str">
        <v/>
      </c>
      <c r="AU27" s="170" t="str">
        <v/>
      </c>
      <c r="AV27" s="171" t="str">
        <v/>
      </c>
      <c r="AW27" s="170"/>
    </row>
    <row r="28" spans="1:49">
      <c r="A28" s="76"/>
      <c r="B28" s="76"/>
      <c r="C28" s="81"/>
      <c r="D28" s="70"/>
      <c r="E28" s="167"/>
      <c r="F28" s="70"/>
      <c r="G28" s="167"/>
      <c r="H28" s="70"/>
      <c r="I28" s="167"/>
      <c r="J28" s="70"/>
      <c r="K28" s="167"/>
      <c r="L28" s="70"/>
      <c r="M28" s="73" t="str">
        <v/>
      </c>
      <c r="N28" s="73" t="str">
        <v/>
      </c>
      <c r="O28" s="73" t="str">
        <v/>
      </c>
      <c r="P28" s="73" t="str">
        <v/>
      </c>
      <c r="Q28" s="81"/>
      <c r="R28" s="70"/>
      <c r="S28" s="167"/>
      <c r="T28" s="70"/>
      <c r="U28" s="167"/>
      <c r="V28" s="70"/>
      <c r="W28" s="167"/>
      <c r="X28" s="70"/>
      <c r="Y28" s="167"/>
      <c r="Z28" s="70"/>
      <c r="AA28" s="73" t="str">
        <v/>
      </c>
      <c r="AB28" s="73" t="str">
        <v/>
      </c>
      <c r="AC28" s="73" t="str">
        <v/>
      </c>
      <c r="AD28" s="73" t="str">
        <v/>
      </c>
      <c r="AE28" s="81"/>
      <c r="AF28" s="70"/>
      <c r="AG28" s="167"/>
      <c r="AH28" s="70"/>
      <c r="AI28" s="167"/>
      <c r="AJ28" s="70"/>
      <c r="AK28" s="167"/>
      <c r="AL28" s="70"/>
      <c r="AM28" s="167"/>
      <c r="AN28" s="70"/>
      <c r="AO28" s="73" t="str">
        <v/>
      </c>
      <c r="AP28" s="73" t="str">
        <v/>
      </c>
      <c r="AQ28" s="73" t="str">
        <v/>
      </c>
      <c r="AR28" s="73" t="str">
        <v/>
      </c>
      <c r="AS28" s="168" t="str">
        <v/>
      </c>
      <c r="AT28" s="169" t="str">
        <v/>
      </c>
      <c r="AU28" s="170" t="str">
        <v/>
      </c>
      <c r="AV28" s="171" t="str">
        <v/>
      </c>
      <c r="AW28" s="170"/>
    </row>
    <row r="29" spans="1:49">
      <c r="A29" s="76"/>
      <c r="B29" s="76"/>
      <c r="C29" s="81"/>
      <c r="D29" s="70"/>
      <c r="E29" s="167"/>
      <c r="F29" s="70"/>
      <c r="G29" s="167"/>
      <c r="H29" s="70"/>
      <c r="I29" s="167"/>
      <c r="J29" s="70"/>
      <c r="K29" s="167"/>
      <c r="L29" s="70"/>
      <c r="M29" s="73" t="str">
        <v/>
      </c>
      <c r="N29" s="73" t="str">
        <v/>
      </c>
      <c r="O29" s="73" t="str">
        <v/>
      </c>
      <c r="P29" s="73" t="str">
        <v/>
      </c>
      <c r="Q29" s="81"/>
      <c r="R29" s="70"/>
      <c r="S29" s="167"/>
      <c r="T29" s="70"/>
      <c r="U29" s="167"/>
      <c r="V29" s="70"/>
      <c r="W29" s="167"/>
      <c r="X29" s="70"/>
      <c r="Y29" s="167"/>
      <c r="Z29" s="70"/>
      <c r="AA29" s="73" t="str">
        <v/>
      </c>
      <c r="AB29" s="73" t="str">
        <v/>
      </c>
      <c r="AC29" s="73" t="str">
        <v/>
      </c>
      <c r="AD29" s="73" t="str">
        <v/>
      </c>
      <c r="AE29" s="81"/>
      <c r="AF29" s="70"/>
      <c r="AG29" s="167"/>
      <c r="AH29" s="70"/>
      <c r="AI29" s="167"/>
      <c r="AJ29" s="70"/>
      <c r="AK29" s="167"/>
      <c r="AL29" s="70"/>
      <c r="AM29" s="167"/>
      <c r="AN29" s="70"/>
      <c r="AO29" s="73" t="str">
        <v/>
      </c>
      <c r="AP29" s="73" t="str">
        <v/>
      </c>
      <c r="AQ29" s="73" t="str">
        <v/>
      </c>
      <c r="AR29" s="73" t="str">
        <v/>
      </c>
      <c r="AS29" s="168" t="str">
        <v/>
      </c>
      <c r="AT29" s="169" t="str">
        <v/>
      </c>
      <c r="AU29" s="170" t="str">
        <v/>
      </c>
      <c r="AV29" s="171" t="str">
        <v/>
      </c>
      <c r="AW29" s="170"/>
    </row>
    <row r="30" spans="1:49">
      <c r="A30" s="76"/>
      <c r="B30" s="76"/>
      <c r="C30" s="81"/>
      <c r="D30" s="70"/>
      <c r="E30" s="167"/>
      <c r="F30" s="70"/>
      <c r="G30" s="167"/>
      <c r="H30" s="70"/>
      <c r="I30" s="167"/>
      <c r="J30" s="70"/>
      <c r="K30" s="167"/>
      <c r="L30" s="70"/>
      <c r="M30" s="73" t="str">
        <v/>
      </c>
      <c r="N30" s="73" t="str">
        <v/>
      </c>
      <c r="O30" s="73" t="str">
        <v/>
      </c>
      <c r="P30" s="73" t="str">
        <v/>
      </c>
      <c r="Q30" s="81"/>
      <c r="R30" s="70"/>
      <c r="S30" s="167"/>
      <c r="T30" s="70"/>
      <c r="U30" s="167"/>
      <c r="V30" s="70"/>
      <c r="W30" s="167"/>
      <c r="X30" s="70"/>
      <c r="Y30" s="167"/>
      <c r="Z30" s="70"/>
      <c r="AA30" s="73" t="str">
        <v/>
      </c>
      <c r="AB30" s="73" t="str">
        <v/>
      </c>
      <c r="AC30" s="73" t="str">
        <v/>
      </c>
      <c r="AD30" s="73" t="str">
        <v/>
      </c>
      <c r="AE30" s="81"/>
      <c r="AF30" s="70"/>
      <c r="AG30" s="167"/>
      <c r="AH30" s="70"/>
      <c r="AI30" s="167"/>
      <c r="AJ30" s="70"/>
      <c r="AK30" s="167"/>
      <c r="AL30" s="70"/>
      <c r="AM30" s="167"/>
      <c r="AN30" s="70"/>
      <c r="AO30" s="73" t="str">
        <v/>
      </c>
      <c r="AP30" s="73" t="str">
        <v/>
      </c>
      <c r="AQ30" s="73" t="str">
        <v/>
      </c>
      <c r="AR30" s="73" t="str">
        <v/>
      </c>
      <c r="AS30" s="168" t="str">
        <v/>
      </c>
      <c r="AT30" s="169" t="str">
        <v/>
      </c>
      <c r="AU30" s="170" t="str">
        <v/>
      </c>
      <c r="AV30" s="171" t="str">
        <v/>
      </c>
      <c r="AW30" s="170"/>
    </row>
    <row r="31" spans="1:49">
      <c r="A31" s="76"/>
      <c r="B31" s="76"/>
      <c r="C31" s="81"/>
      <c r="D31" s="70"/>
      <c r="E31" s="167"/>
      <c r="F31" s="70"/>
      <c r="G31" s="167"/>
      <c r="H31" s="70"/>
      <c r="I31" s="167"/>
      <c r="J31" s="70"/>
      <c r="K31" s="167"/>
      <c r="L31" s="70"/>
      <c r="M31" s="73" t="str">
        <v/>
      </c>
      <c r="N31" s="73" t="str">
        <v/>
      </c>
      <c r="O31" s="73" t="str">
        <v/>
      </c>
      <c r="P31" s="73" t="str">
        <v/>
      </c>
      <c r="Q31" s="81"/>
      <c r="R31" s="70"/>
      <c r="S31" s="167"/>
      <c r="T31" s="70"/>
      <c r="U31" s="167"/>
      <c r="V31" s="70"/>
      <c r="W31" s="167"/>
      <c r="X31" s="70"/>
      <c r="Y31" s="167"/>
      <c r="Z31" s="70"/>
      <c r="AA31" s="73" t="str">
        <v/>
      </c>
      <c r="AB31" s="73" t="str">
        <v/>
      </c>
      <c r="AC31" s="73" t="str">
        <v/>
      </c>
      <c r="AD31" s="73" t="str">
        <v/>
      </c>
      <c r="AE31" s="81"/>
      <c r="AF31" s="70"/>
      <c r="AG31" s="167"/>
      <c r="AH31" s="70"/>
      <c r="AI31" s="167"/>
      <c r="AJ31" s="70"/>
      <c r="AK31" s="167"/>
      <c r="AL31" s="70"/>
      <c r="AM31" s="167"/>
      <c r="AN31" s="70"/>
      <c r="AO31" s="73" t="str">
        <v/>
      </c>
      <c r="AP31" s="73" t="str">
        <v/>
      </c>
      <c r="AQ31" s="73" t="str">
        <v/>
      </c>
      <c r="AR31" s="73" t="str">
        <v/>
      </c>
      <c r="AS31" s="168" t="str">
        <v/>
      </c>
      <c r="AT31" s="169" t="str">
        <v/>
      </c>
      <c r="AU31" s="170" t="str">
        <v/>
      </c>
      <c r="AV31" s="171" t="str">
        <v/>
      </c>
      <c r="AW31" s="170"/>
    </row>
    <row r="32" spans="1:49">
      <c r="A32" s="76"/>
      <c r="B32" s="76"/>
      <c r="C32" s="81"/>
      <c r="D32" s="70"/>
      <c r="E32" s="167"/>
      <c r="F32" s="70"/>
      <c r="G32" s="167"/>
      <c r="H32" s="70"/>
      <c r="I32" s="167"/>
      <c r="J32" s="70"/>
      <c r="K32" s="167"/>
      <c r="L32" s="70"/>
      <c r="M32" s="73" t="str">
        <v/>
      </c>
      <c r="N32" s="73" t="str">
        <v/>
      </c>
      <c r="O32" s="73" t="str">
        <v/>
      </c>
      <c r="P32" s="73" t="str">
        <v/>
      </c>
      <c r="Q32" s="81"/>
      <c r="R32" s="70"/>
      <c r="S32" s="167"/>
      <c r="T32" s="70"/>
      <c r="U32" s="167"/>
      <c r="V32" s="70"/>
      <c r="W32" s="167"/>
      <c r="X32" s="70"/>
      <c r="Y32" s="167"/>
      <c r="Z32" s="70"/>
      <c r="AA32" s="73" t="str">
        <v/>
      </c>
      <c r="AB32" s="73" t="str">
        <v/>
      </c>
      <c r="AC32" s="73" t="str">
        <v/>
      </c>
      <c r="AD32" s="73" t="str">
        <v/>
      </c>
      <c r="AE32" s="81"/>
      <c r="AF32" s="70"/>
      <c r="AG32" s="167"/>
      <c r="AH32" s="70"/>
      <c r="AI32" s="167"/>
      <c r="AJ32" s="70"/>
      <c r="AK32" s="167"/>
      <c r="AL32" s="70"/>
      <c r="AM32" s="167"/>
      <c r="AN32" s="70"/>
      <c r="AO32" s="73" t="str">
        <v/>
      </c>
      <c r="AP32" s="73" t="str">
        <v/>
      </c>
      <c r="AQ32" s="73" t="str">
        <v/>
      </c>
      <c r="AR32" s="73" t="str">
        <v/>
      </c>
      <c r="AS32" s="168" t="str">
        <v/>
      </c>
      <c r="AT32" s="169" t="str">
        <v/>
      </c>
      <c r="AU32" s="170" t="str">
        <v/>
      </c>
      <c r="AV32" s="171" t="str">
        <v/>
      </c>
      <c r="AW32" s="170"/>
    </row>
    <row r="33" spans="1:49">
      <c r="A33" s="76"/>
      <c r="B33" s="76"/>
      <c r="C33" s="81"/>
      <c r="D33" s="70"/>
      <c r="E33" s="167"/>
      <c r="F33" s="70"/>
      <c r="G33" s="167"/>
      <c r="H33" s="70"/>
      <c r="I33" s="167"/>
      <c r="J33" s="70"/>
      <c r="K33" s="167"/>
      <c r="L33" s="70"/>
      <c r="M33" s="73" t="str">
        <v/>
      </c>
      <c r="N33" s="73" t="str">
        <v/>
      </c>
      <c r="O33" s="73" t="str">
        <v/>
      </c>
      <c r="P33" s="73" t="str">
        <v/>
      </c>
      <c r="Q33" s="81"/>
      <c r="R33" s="70"/>
      <c r="S33" s="167"/>
      <c r="T33" s="70"/>
      <c r="U33" s="167"/>
      <c r="V33" s="70"/>
      <c r="W33" s="167"/>
      <c r="X33" s="70"/>
      <c r="Y33" s="167"/>
      <c r="Z33" s="70"/>
      <c r="AA33" s="73" t="str">
        <v/>
      </c>
      <c r="AB33" s="73" t="str">
        <v/>
      </c>
      <c r="AC33" s="73" t="str">
        <v/>
      </c>
      <c r="AD33" s="73" t="str">
        <v/>
      </c>
      <c r="AE33" s="81"/>
      <c r="AF33" s="70"/>
      <c r="AG33" s="167"/>
      <c r="AH33" s="70"/>
      <c r="AI33" s="167"/>
      <c r="AJ33" s="70"/>
      <c r="AK33" s="167"/>
      <c r="AL33" s="70"/>
      <c r="AM33" s="167"/>
      <c r="AN33" s="70"/>
      <c r="AO33" s="73" t="str">
        <v/>
      </c>
      <c r="AP33" s="73" t="str">
        <v/>
      </c>
      <c r="AQ33" s="73" t="str">
        <v/>
      </c>
      <c r="AR33" s="73" t="str">
        <v/>
      </c>
      <c r="AS33" s="168" t="str">
        <v/>
      </c>
      <c r="AT33" s="169" t="str">
        <v/>
      </c>
      <c r="AU33" s="170" t="str">
        <v/>
      </c>
      <c r="AV33" s="171" t="str">
        <v/>
      </c>
      <c r="AW33" s="170"/>
    </row>
    <row r="34" spans="1:49">
      <c r="A34" s="76"/>
      <c r="B34" s="76"/>
      <c r="C34" s="81"/>
      <c r="D34" s="70"/>
      <c r="E34" s="167"/>
      <c r="F34" s="70"/>
      <c r="G34" s="167"/>
      <c r="H34" s="70"/>
      <c r="I34" s="167"/>
      <c r="J34" s="70"/>
      <c r="K34" s="167"/>
      <c r="L34" s="70"/>
      <c r="M34" s="73" t="str">
        <v/>
      </c>
      <c r="N34" s="73" t="str">
        <v/>
      </c>
      <c r="O34" s="73" t="str">
        <v/>
      </c>
      <c r="P34" s="73" t="str">
        <v/>
      </c>
      <c r="Q34" s="81"/>
      <c r="R34" s="70"/>
      <c r="S34" s="167"/>
      <c r="T34" s="70"/>
      <c r="U34" s="167"/>
      <c r="V34" s="70"/>
      <c r="W34" s="167"/>
      <c r="X34" s="70"/>
      <c r="Y34" s="167"/>
      <c r="Z34" s="70"/>
      <c r="AA34" s="73" t="str">
        <v/>
      </c>
      <c r="AB34" s="73" t="str">
        <v/>
      </c>
      <c r="AC34" s="73" t="str">
        <v/>
      </c>
      <c r="AD34" s="73" t="str">
        <v/>
      </c>
      <c r="AE34" s="81"/>
      <c r="AF34" s="70"/>
      <c r="AG34" s="167"/>
      <c r="AH34" s="70"/>
      <c r="AI34" s="167"/>
      <c r="AJ34" s="70"/>
      <c r="AK34" s="167"/>
      <c r="AL34" s="70"/>
      <c r="AM34" s="167"/>
      <c r="AN34" s="70"/>
      <c r="AO34" s="73" t="str">
        <v/>
      </c>
      <c r="AP34" s="73" t="str">
        <v/>
      </c>
      <c r="AQ34" s="73" t="str">
        <v/>
      </c>
      <c r="AR34" s="73" t="str">
        <v/>
      </c>
      <c r="AS34" s="168" t="str">
        <v/>
      </c>
      <c r="AT34" s="169" t="str">
        <v/>
      </c>
      <c r="AU34" s="170" t="str">
        <v/>
      </c>
      <c r="AV34" s="171" t="str">
        <v/>
      </c>
      <c r="AW34" s="170"/>
    </row>
    <row r="35" spans="1:49">
      <c r="A35" s="76"/>
      <c r="B35" s="76"/>
      <c r="C35" s="81"/>
      <c r="D35" s="70"/>
      <c r="E35" s="167"/>
      <c r="F35" s="70"/>
      <c r="G35" s="167"/>
      <c r="H35" s="70"/>
      <c r="I35" s="167"/>
      <c r="J35" s="70"/>
      <c r="K35" s="167"/>
      <c r="L35" s="70"/>
      <c r="M35" s="73" t="str">
        <v/>
      </c>
      <c r="N35" s="73" t="str">
        <v/>
      </c>
      <c r="O35" s="73" t="str">
        <v/>
      </c>
      <c r="P35" s="73" t="str">
        <v/>
      </c>
      <c r="Q35" s="81"/>
      <c r="R35" s="70"/>
      <c r="S35" s="167"/>
      <c r="T35" s="70"/>
      <c r="U35" s="167"/>
      <c r="V35" s="70"/>
      <c r="W35" s="167"/>
      <c r="X35" s="70"/>
      <c r="Y35" s="167"/>
      <c r="Z35" s="70"/>
      <c r="AA35" s="73" t="str">
        <v/>
      </c>
      <c r="AB35" s="73" t="str">
        <v/>
      </c>
      <c r="AC35" s="73" t="str">
        <v/>
      </c>
      <c r="AD35" s="73" t="str">
        <v/>
      </c>
      <c r="AE35" s="81"/>
      <c r="AF35" s="70"/>
      <c r="AG35" s="167"/>
      <c r="AH35" s="70"/>
      <c r="AI35" s="167"/>
      <c r="AJ35" s="70"/>
      <c r="AK35" s="167"/>
      <c r="AL35" s="70"/>
      <c r="AM35" s="167"/>
      <c r="AN35" s="70"/>
      <c r="AO35" s="73" t="str">
        <v/>
      </c>
      <c r="AP35" s="73" t="str">
        <v/>
      </c>
      <c r="AQ35" s="73" t="str">
        <v/>
      </c>
      <c r="AR35" s="73" t="str">
        <v/>
      </c>
      <c r="AS35" s="168" t="str">
        <v/>
      </c>
      <c r="AT35" s="169" t="str">
        <v/>
      </c>
      <c r="AU35" s="170" t="str">
        <v/>
      </c>
      <c r="AV35" s="171" t="str">
        <v/>
      </c>
      <c r="AW35" s="170"/>
    </row>
    <row r="36" spans="1:49">
      <c r="A36" s="76"/>
      <c r="B36" s="76"/>
      <c r="C36" s="81"/>
      <c r="D36" s="70"/>
      <c r="E36" s="167"/>
      <c r="F36" s="70"/>
      <c r="G36" s="167"/>
      <c r="H36" s="70"/>
      <c r="I36" s="167"/>
      <c r="J36" s="70"/>
      <c r="K36" s="167"/>
      <c r="L36" s="70"/>
      <c r="M36" s="73" t="str">
        <v/>
      </c>
      <c r="N36" s="73" t="str">
        <v/>
      </c>
      <c r="O36" s="73" t="str">
        <v/>
      </c>
      <c r="P36" s="73" t="str">
        <v/>
      </c>
      <c r="Q36" s="81"/>
      <c r="R36" s="70"/>
      <c r="S36" s="167"/>
      <c r="T36" s="70"/>
      <c r="U36" s="167"/>
      <c r="V36" s="70"/>
      <c r="W36" s="167"/>
      <c r="X36" s="70"/>
      <c r="Y36" s="167"/>
      <c r="Z36" s="70"/>
      <c r="AA36" s="73" t="str">
        <v/>
      </c>
      <c r="AB36" s="73" t="str">
        <v/>
      </c>
      <c r="AC36" s="73" t="str">
        <v/>
      </c>
      <c r="AD36" s="73" t="str">
        <v/>
      </c>
      <c r="AE36" s="81"/>
      <c r="AF36" s="70"/>
      <c r="AG36" s="167"/>
      <c r="AH36" s="70"/>
      <c r="AI36" s="167"/>
      <c r="AJ36" s="70"/>
      <c r="AK36" s="167"/>
      <c r="AL36" s="70"/>
      <c r="AM36" s="167"/>
      <c r="AN36" s="70"/>
      <c r="AO36" s="73" t="str">
        <v/>
      </c>
      <c r="AP36" s="73" t="str">
        <v/>
      </c>
      <c r="AQ36" s="73" t="str">
        <v/>
      </c>
      <c r="AR36" s="73" t="str">
        <v/>
      </c>
      <c r="AS36" s="168" t="str">
        <v/>
      </c>
      <c r="AT36" s="169" t="str">
        <v/>
      </c>
      <c r="AU36" s="170" t="str">
        <v/>
      </c>
      <c r="AV36" s="171" t="str">
        <v/>
      </c>
      <c r="AW36" s="170"/>
    </row>
    <row r="37" spans="1:49">
      <c r="A37" s="76"/>
      <c r="B37" s="76"/>
      <c r="C37" s="81"/>
      <c r="D37" s="70"/>
      <c r="E37" s="167"/>
      <c r="F37" s="70"/>
      <c r="G37" s="167"/>
      <c r="H37" s="70"/>
      <c r="I37" s="167"/>
      <c r="J37" s="70"/>
      <c r="K37" s="167"/>
      <c r="L37" s="70"/>
      <c r="M37" s="73" t="str">
        <v/>
      </c>
      <c r="N37" s="73" t="str">
        <v/>
      </c>
      <c r="O37" s="73" t="str">
        <v/>
      </c>
      <c r="P37" s="73" t="str">
        <v/>
      </c>
      <c r="Q37" s="81"/>
      <c r="R37" s="70"/>
      <c r="S37" s="167"/>
      <c r="T37" s="70"/>
      <c r="U37" s="167"/>
      <c r="V37" s="70"/>
      <c r="W37" s="167"/>
      <c r="X37" s="70"/>
      <c r="Y37" s="167"/>
      <c r="Z37" s="70"/>
      <c r="AA37" s="73" t="str">
        <v/>
      </c>
      <c r="AB37" s="73" t="str">
        <v/>
      </c>
      <c r="AC37" s="73" t="str">
        <v/>
      </c>
      <c r="AD37" s="73" t="str">
        <v/>
      </c>
      <c r="AE37" s="81"/>
      <c r="AF37" s="70"/>
      <c r="AG37" s="167"/>
      <c r="AH37" s="70"/>
      <c r="AI37" s="167"/>
      <c r="AJ37" s="70"/>
      <c r="AK37" s="167"/>
      <c r="AL37" s="70"/>
      <c r="AM37" s="167"/>
      <c r="AN37" s="70"/>
      <c r="AO37" s="73" t="str">
        <v/>
      </c>
      <c r="AP37" s="73" t="str">
        <v/>
      </c>
      <c r="AQ37" s="73" t="str">
        <v/>
      </c>
      <c r="AR37" s="73" t="str">
        <v/>
      </c>
      <c r="AS37" s="168" t="str">
        <v/>
      </c>
      <c r="AT37" s="169" t="str">
        <v/>
      </c>
      <c r="AU37" s="170" t="str">
        <v/>
      </c>
      <c r="AV37" s="171" t="str">
        <v/>
      </c>
      <c r="AW37" s="170"/>
    </row>
    <row r="38" spans="1:49">
      <c r="A38" s="76"/>
      <c r="B38" s="76"/>
      <c r="C38" s="81"/>
      <c r="D38" s="70"/>
      <c r="E38" s="167"/>
      <c r="F38" s="70"/>
      <c r="G38" s="167"/>
      <c r="H38" s="70"/>
      <c r="I38" s="167"/>
      <c r="J38" s="70"/>
      <c r="K38" s="167"/>
      <c r="L38" s="70"/>
      <c r="M38" s="73" t="str">
        <v/>
      </c>
      <c r="N38" s="73" t="str">
        <v/>
      </c>
      <c r="O38" s="73" t="str">
        <v/>
      </c>
      <c r="P38" s="73" t="str">
        <v/>
      </c>
      <c r="Q38" s="81"/>
      <c r="R38" s="70"/>
      <c r="S38" s="167"/>
      <c r="T38" s="70"/>
      <c r="U38" s="167"/>
      <c r="V38" s="70"/>
      <c r="W38" s="167"/>
      <c r="X38" s="70"/>
      <c r="Y38" s="167"/>
      <c r="Z38" s="70"/>
      <c r="AA38" s="73" t="str">
        <v/>
      </c>
      <c r="AB38" s="73" t="str">
        <v/>
      </c>
      <c r="AC38" s="73" t="str">
        <v/>
      </c>
      <c r="AD38" s="73" t="str">
        <v/>
      </c>
      <c r="AE38" s="81"/>
      <c r="AF38" s="70"/>
      <c r="AG38" s="167"/>
      <c r="AH38" s="70"/>
      <c r="AI38" s="167"/>
      <c r="AJ38" s="70"/>
      <c r="AK38" s="167"/>
      <c r="AL38" s="70"/>
      <c r="AM38" s="167"/>
      <c r="AN38" s="70"/>
      <c r="AO38" s="73" t="str">
        <v/>
      </c>
      <c r="AP38" s="73" t="str">
        <v/>
      </c>
      <c r="AQ38" s="73" t="str">
        <v/>
      </c>
      <c r="AR38" s="73" t="str">
        <v/>
      </c>
      <c r="AS38" s="168" t="str">
        <v/>
      </c>
      <c r="AT38" s="169" t="str">
        <v/>
      </c>
      <c r="AU38" s="170" t="str">
        <v/>
      </c>
      <c r="AV38" s="171" t="str">
        <v/>
      </c>
      <c r="AW38" s="170"/>
    </row>
    <row r="39" spans="1:49">
      <c r="A39" s="76"/>
      <c r="B39" s="76"/>
      <c r="C39" s="81"/>
      <c r="D39" s="70"/>
      <c r="E39" s="167"/>
      <c r="F39" s="70"/>
      <c r="G39" s="167"/>
      <c r="H39" s="70"/>
      <c r="I39" s="167"/>
      <c r="J39" s="70"/>
      <c r="K39" s="167"/>
      <c r="L39" s="70"/>
      <c r="M39" s="73" t="str">
        <v/>
      </c>
      <c r="N39" s="73" t="str">
        <v/>
      </c>
      <c r="O39" s="73" t="str">
        <v/>
      </c>
      <c r="P39" s="73" t="str">
        <v/>
      </c>
      <c r="Q39" s="81"/>
      <c r="R39" s="70"/>
      <c r="S39" s="167"/>
      <c r="T39" s="70"/>
      <c r="U39" s="167"/>
      <c r="V39" s="70"/>
      <c r="W39" s="167"/>
      <c r="X39" s="70"/>
      <c r="Y39" s="167"/>
      <c r="Z39" s="70"/>
      <c r="AA39" s="73" t="str">
        <v/>
      </c>
      <c r="AB39" s="73" t="str">
        <v/>
      </c>
      <c r="AC39" s="73" t="str">
        <v/>
      </c>
      <c r="AD39" s="73" t="str">
        <v/>
      </c>
      <c r="AE39" s="81"/>
      <c r="AF39" s="70"/>
      <c r="AG39" s="167"/>
      <c r="AH39" s="70"/>
      <c r="AI39" s="167"/>
      <c r="AJ39" s="70"/>
      <c r="AK39" s="167"/>
      <c r="AL39" s="70"/>
      <c r="AM39" s="167"/>
      <c r="AN39" s="70"/>
      <c r="AO39" s="73" t="str">
        <v/>
      </c>
      <c r="AP39" s="73" t="str">
        <v/>
      </c>
      <c r="AQ39" s="73" t="str">
        <v/>
      </c>
      <c r="AR39" s="73" t="str">
        <v/>
      </c>
      <c r="AS39" s="168" t="str">
        <v/>
      </c>
      <c r="AT39" s="169" t="str">
        <v/>
      </c>
      <c r="AU39" s="170" t="str">
        <v/>
      </c>
      <c r="AV39" s="171" t="str">
        <v/>
      </c>
      <c r="AW39" s="170"/>
    </row>
    <row r="40" spans="1:49">
      <c r="A40" s="76"/>
      <c r="B40" s="76"/>
      <c r="C40" s="81"/>
      <c r="D40" s="70"/>
      <c r="E40" s="167"/>
      <c r="F40" s="70"/>
      <c r="G40" s="167"/>
      <c r="H40" s="70"/>
      <c r="I40" s="167"/>
      <c r="J40" s="70"/>
      <c r="K40" s="167"/>
      <c r="L40" s="70"/>
      <c r="M40" s="73" t="str">
        <v/>
      </c>
      <c r="N40" s="73" t="str">
        <v/>
      </c>
      <c r="O40" s="73" t="str">
        <v/>
      </c>
      <c r="P40" s="73" t="str">
        <v/>
      </c>
      <c r="Q40" s="81"/>
      <c r="R40" s="70"/>
      <c r="S40" s="167"/>
      <c r="T40" s="70"/>
      <c r="U40" s="167"/>
      <c r="V40" s="70"/>
      <c r="W40" s="167"/>
      <c r="X40" s="70"/>
      <c r="Y40" s="167"/>
      <c r="Z40" s="70"/>
      <c r="AA40" s="73" t="str">
        <v/>
      </c>
      <c r="AB40" s="73" t="str">
        <v/>
      </c>
      <c r="AC40" s="73" t="str">
        <v/>
      </c>
      <c r="AD40" s="73" t="str">
        <v/>
      </c>
      <c r="AE40" s="81"/>
      <c r="AF40" s="70"/>
      <c r="AG40" s="167"/>
      <c r="AH40" s="70"/>
      <c r="AI40" s="167"/>
      <c r="AJ40" s="70"/>
      <c r="AK40" s="167"/>
      <c r="AL40" s="70"/>
      <c r="AM40" s="167"/>
      <c r="AN40" s="70"/>
      <c r="AO40" s="73" t="str">
        <v/>
      </c>
      <c r="AP40" s="73" t="str">
        <v/>
      </c>
      <c r="AQ40" s="73" t="str">
        <v/>
      </c>
      <c r="AR40" s="73" t="str">
        <v/>
      </c>
      <c r="AS40" s="168" t="str">
        <v/>
      </c>
      <c r="AT40" s="169" t="str">
        <v/>
      </c>
      <c r="AU40" s="170" t="str">
        <v/>
      </c>
      <c r="AV40" s="171" t="str">
        <v/>
      </c>
      <c r="AW40" s="170"/>
    </row>
    <row r="41" spans="1:49">
      <c r="A41" s="76"/>
      <c r="B41" s="76"/>
      <c r="C41" s="81"/>
      <c r="D41" s="70"/>
      <c r="E41" s="167"/>
      <c r="F41" s="70"/>
      <c r="G41" s="167"/>
      <c r="H41" s="70"/>
      <c r="I41" s="167"/>
      <c r="J41" s="70"/>
      <c r="K41" s="167"/>
      <c r="L41" s="70"/>
      <c r="M41" s="73" t="str">
        <v/>
      </c>
      <c r="N41" s="73" t="str">
        <v/>
      </c>
      <c r="O41" s="73" t="str">
        <v/>
      </c>
      <c r="P41" s="73" t="str">
        <v/>
      </c>
      <c r="Q41" s="81"/>
      <c r="R41" s="70"/>
      <c r="S41" s="167"/>
      <c r="T41" s="70"/>
      <c r="U41" s="167"/>
      <c r="V41" s="70"/>
      <c r="W41" s="167"/>
      <c r="X41" s="70"/>
      <c r="Y41" s="167"/>
      <c r="Z41" s="70"/>
      <c r="AA41" s="73" t="str">
        <v/>
      </c>
      <c r="AB41" s="73" t="str">
        <v/>
      </c>
      <c r="AC41" s="73" t="str">
        <v/>
      </c>
      <c r="AD41" s="73" t="str">
        <v/>
      </c>
      <c r="AE41" s="81"/>
      <c r="AF41" s="70"/>
      <c r="AG41" s="167"/>
      <c r="AH41" s="70"/>
      <c r="AI41" s="167"/>
      <c r="AJ41" s="70"/>
      <c r="AK41" s="167"/>
      <c r="AL41" s="70"/>
      <c r="AM41" s="167"/>
      <c r="AN41" s="70"/>
      <c r="AO41" s="73" t="str">
        <v/>
      </c>
      <c r="AP41" s="73" t="str">
        <v/>
      </c>
      <c r="AQ41" s="73" t="str">
        <v/>
      </c>
      <c r="AR41" s="73" t="str">
        <v/>
      </c>
      <c r="AS41" s="168" t="str">
        <v/>
      </c>
      <c r="AT41" s="169" t="str">
        <v/>
      </c>
      <c r="AU41" s="170" t="str">
        <v/>
      </c>
      <c r="AV41" s="171" t="str">
        <v/>
      </c>
      <c r="AW41" s="170"/>
    </row>
    <row r="42" spans="1:49">
      <c r="A42" s="76"/>
      <c r="B42" s="76"/>
      <c r="C42" s="81"/>
      <c r="D42" s="70"/>
      <c r="E42" s="167"/>
      <c r="F42" s="70"/>
      <c r="G42" s="167"/>
      <c r="H42" s="70"/>
      <c r="I42" s="167"/>
      <c r="J42" s="70"/>
      <c r="K42" s="167"/>
      <c r="L42" s="70"/>
      <c r="M42" s="73" t="str">
        <v/>
      </c>
      <c r="N42" s="73" t="str">
        <v/>
      </c>
      <c r="O42" s="73" t="str">
        <v/>
      </c>
      <c r="P42" s="73" t="str">
        <v/>
      </c>
      <c r="Q42" s="81"/>
      <c r="R42" s="70"/>
      <c r="S42" s="167"/>
      <c r="T42" s="70"/>
      <c r="U42" s="167"/>
      <c r="V42" s="70"/>
      <c r="W42" s="167"/>
      <c r="X42" s="70"/>
      <c r="Y42" s="167"/>
      <c r="Z42" s="70"/>
      <c r="AA42" s="73" t="str">
        <v/>
      </c>
      <c r="AB42" s="73" t="str">
        <v/>
      </c>
      <c r="AC42" s="73" t="str">
        <v/>
      </c>
      <c r="AD42" s="73" t="str">
        <v/>
      </c>
      <c r="AE42" s="81"/>
      <c r="AF42" s="70"/>
      <c r="AG42" s="167"/>
      <c r="AH42" s="70"/>
      <c r="AI42" s="167"/>
      <c r="AJ42" s="70"/>
      <c r="AK42" s="167"/>
      <c r="AL42" s="70"/>
      <c r="AM42" s="167"/>
      <c r="AN42" s="70"/>
      <c r="AO42" s="73" t="str">
        <v/>
      </c>
      <c r="AP42" s="73" t="str">
        <v/>
      </c>
      <c r="AQ42" s="73" t="str">
        <v/>
      </c>
      <c r="AR42" s="73" t="str">
        <v/>
      </c>
      <c r="AS42" s="168" t="str">
        <v/>
      </c>
      <c r="AT42" s="169" t="str">
        <v/>
      </c>
      <c r="AU42" s="170" t="str">
        <v/>
      </c>
      <c r="AV42" s="171" t="str">
        <v/>
      </c>
      <c r="AW42" s="170"/>
    </row>
    <row r="43" spans="1:49">
      <c r="A43" s="76"/>
      <c r="B43" s="76"/>
      <c r="C43" s="81"/>
      <c r="D43" s="70"/>
      <c r="E43" s="167"/>
      <c r="F43" s="70"/>
      <c r="G43" s="167"/>
      <c r="H43" s="70"/>
      <c r="I43" s="167"/>
      <c r="J43" s="70"/>
      <c r="K43" s="167"/>
      <c r="L43" s="70"/>
      <c r="M43" s="73" t="str">
        <v/>
      </c>
      <c r="N43" s="73" t="str">
        <v/>
      </c>
      <c r="O43" s="73" t="str">
        <v/>
      </c>
      <c r="P43" s="73" t="str">
        <v/>
      </c>
      <c r="Q43" s="81"/>
      <c r="R43" s="70"/>
      <c r="S43" s="167"/>
      <c r="T43" s="70"/>
      <c r="U43" s="167"/>
      <c r="V43" s="70"/>
      <c r="W43" s="167"/>
      <c r="X43" s="70"/>
      <c r="Y43" s="167"/>
      <c r="Z43" s="70"/>
      <c r="AA43" s="73" t="str">
        <v/>
      </c>
      <c r="AB43" s="73" t="str">
        <v/>
      </c>
      <c r="AC43" s="73" t="str">
        <v/>
      </c>
      <c r="AD43" s="73" t="str">
        <v/>
      </c>
      <c r="AE43" s="81"/>
      <c r="AF43" s="70"/>
      <c r="AG43" s="167"/>
      <c r="AH43" s="70"/>
      <c r="AI43" s="167"/>
      <c r="AJ43" s="70"/>
      <c r="AK43" s="167"/>
      <c r="AL43" s="70"/>
      <c r="AM43" s="167"/>
      <c r="AN43" s="70"/>
      <c r="AO43" s="73" t="str">
        <v/>
      </c>
      <c r="AP43" s="73" t="str">
        <v/>
      </c>
      <c r="AQ43" s="73" t="str">
        <v/>
      </c>
      <c r="AR43" s="73" t="str">
        <v/>
      </c>
      <c r="AS43" s="168" t="str">
        <v/>
      </c>
      <c r="AT43" s="169" t="str">
        <v/>
      </c>
      <c r="AU43" s="170" t="str">
        <v/>
      </c>
      <c r="AV43" s="171" t="str">
        <v/>
      </c>
      <c r="AW43" s="170"/>
    </row>
    <row r="44" spans="1:49">
      <c r="A44" s="76"/>
      <c r="B44" s="76"/>
      <c r="C44" s="81"/>
      <c r="D44" s="70"/>
      <c r="E44" s="167"/>
      <c r="F44" s="70"/>
      <c r="G44" s="167"/>
      <c r="H44" s="70"/>
      <c r="I44" s="167"/>
      <c r="J44" s="70"/>
      <c r="K44" s="167"/>
      <c r="L44" s="70"/>
      <c r="M44" s="73" t="str">
        <v/>
      </c>
      <c r="N44" s="73" t="str">
        <v/>
      </c>
      <c r="O44" s="73" t="str">
        <v/>
      </c>
      <c r="P44" s="73" t="str">
        <v/>
      </c>
      <c r="Q44" s="81"/>
      <c r="R44" s="70"/>
      <c r="S44" s="167"/>
      <c r="T44" s="70"/>
      <c r="U44" s="167"/>
      <c r="V44" s="70"/>
      <c r="W44" s="167"/>
      <c r="X44" s="70"/>
      <c r="Y44" s="167"/>
      <c r="Z44" s="70"/>
      <c r="AA44" s="73" t="str">
        <v/>
      </c>
      <c r="AB44" s="73" t="str">
        <v/>
      </c>
      <c r="AC44" s="73" t="str">
        <v/>
      </c>
      <c r="AD44" s="73" t="str">
        <v/>
      </c>
      <c r="AE44" s="81"/>
      <c r="AF44" s="70"/>
      <c r="AG44" s="167"/>
      <c r="AH44" s="70"/>
      <c r="AI44" s="167"/>
      <c r="AJ44" s="70"/>
      <c r="AK44" s="167"/>
      <c r="AL44" s="70"/>
      <c r="AM44" s="167"/>
      <c r="AN44" s="70"/>
      <c r="AO44" s="73" t="str">
        <v/>
      </c>
      <c r="AP44" s="73" t="str">
        <v/>
      </c>
      <c r="AQ44" s="73" t="str">
        <v/>
      </c>
      <c r="AR44" s="73" t="str">
        <v/>
      </c>
      <c r="AS44" s="168" t="str">
        <v/>
      </c>
      <c r="AT44" s="169" t="str">
        <v/>
      </c>
      <c r="AU44" s="170" t="str">
        <v/>
      </c>
      <c r="AV44" s="171" t="str">
        <v/>
      </c>
      <c r="AW44" s="170"/>
    </row>
    <row r="45" spans="1:49">
      <c r="A45" s="76"/>
      <c r="B45" s="76"/>
      <c r="C45" s="81"/>
      <c r="D45" s="70"/>
      <c r="E45" s="167"/>
      <c r="F45" s="70"/>
      <c r="G45" s="167"/>
      <c r="H45" s="70"/>
      <c r="I45" s="167"/>
      <c r="J45" s="70"/>
      <c r="K45" s="167"/>
      <c r="L45" s="70"/>
      <c r="M45" s="73" t="str">
        <v/>
      </c>
      <c r="N45" s="73" t="str">
        <v/>
      </c>
      <c r="O45" s="73" t="str">
        <v/>
      </c>
      <c r="P45" s="73" t="str">
        <v/>
      </c>
      <c r="Q45" s="81"/>
      <c r="R45" s="70"/>
      <c r="S45" s="167"/>
      <c r="T45" s="70"/>
      <c r="U45" s="167"/>
      <c r="V45" s="70"/>
      <c r="W45" s="167"/>
      <c r="X45" s="70"/>
      <c r="Y45" s="167"/>
      <c r="Z45" s="70"/>
      <c r="AA45" s="73" t="str">
        <v/>
      </c>
      <c r="AB45" s="73" t="str">
        <v/>
      </c>
      <c r="AC45" s="73" t="str">
        <v/>
      </c>
      <c r="AD45" s="73" t="str">
        <v/>
      </c>
      <c r="AE45" s="81"/>
      <c r="AF45" s="70"/>
      <c r="AG45" s="167"/>
      <c r="AH45" s="70"/>
      <c r="AI45" s="167"/>
      <c r="AJ45" s="70"/>
      <c r="AK45" s="167"/>
      <c r="AL45" s="70"/>
      <c r="AM45" s="167"/>
      <c r="AN45" s="70"/>
      <c r="AO45" s="73" t="str">
        <v/>
      </c>
      <c r="AP45" s="73" t="str">
        <v/>
      </c>
      <c r="AQ45" s="73" t="str">
        <v/>
      </c>
      <c r="AR45" s="73" t="str">
        <v/>
      </c>
      <c r="AS45" s="168" t="str">
        <v/>
      </c>
      <c r="AT45" s="169" t="str">
        <v/>
      </c>
      <c r="AU45" s="170" t="str">
        <v/>
      </c>
      <c r="AV45" s="171" t="str">
        <v/>
      </c>
      <c r="AW45" s="170"/>
    </row>
    <row r="46" spans="1:49">
      <c r="A46" s="76"/>
      <c r="B46" s="76"/>
      <c r="C46" s="81"/>
      <c r="D46" s="70"/>
      <c r="E46" s="167"/>
      <c r="F46" s="70"/>
      <c r="G46" s="167"/>
      <c r="H46" s="70"/>
      <c r="I46" s="167"/>
      <c r="J46" s="70"/>
      <c r="K46" s="167"/>
      <c r="L46" s="70"/>
      <c r="M46" s="73" t="str">
        <v/>
      </c>
      <c r="N46" s="73" t="str">
        <v/>
      </c>
      <c r="O46" s="73" t="str">
        <v/>
      </c>
      <c r="P46" s="73" t="str">
        <v/>
      </c>
      <c r="Q46" s="81"/>
      <c r="R46" s="70"/>
      <c r="S46" s="167"/>
      <c r="T46" s="70"/>
      <c r="U46" s="167"/>
      <c r="V46" s="70"/>
      <c r="W46" s="167"/>
      <c r="X46" s="70"/>
      <c r="Y46" s="167"/>
      <c r="Z46" s="70"/>
      <c r="AA46" s="73" t="str">
        <v/>
      </c>
      <c r="AB46" s="73" t="str">
        <v/>
      </c>
      <c r="AC46" s="73" t="str">
        <v/>
      </c>
      <c r="AD46" s="73" t="str">
        <v/>
      </c>
      <c r="AE46" s="81"/>
      <c r="AF46" s="70"/>
      <c r="AG46" s="167"/>
      <c r="AH46" s="70"/>
      <c r="AI46" s="167"/>
      <c r="AJ46" s="70"/>
      <c r="AK46" s="167"/>
      <c r="AL46" s="70"/>
      <c r="AM46" s="167"/>
      <c r="AN46" s="70"/>
      <c r="AO46" s="73" t="str">
        <v/>
      </c>
      <c r="AP46" s="73" t="str">
        <v/>
      </c>
      <c r="AQ46" s="73" t="str">
        <v/>
      </c>
      <c r="AR46" s="73" t="str">
        <v/>
      </c>
      <c r="AS46" s="168" t="str">
        <v/>
      </c>
      <c r="AT46" s="169" t="str">
        <v/>
      </c>
      <c r="AU46" s="170" t="str">
        <v/>
      </c>
      <c r="AV46" s="171" t="str">
        <v/>
      </c>
      <c r="AW46" s="170"/>
    </row>
    <row r="47" spans="1:49">
      <c r="A47" s="76"/>
      <c r="B47" s="76"/>
      <c r="C47" s="81"/>
      <c r="D47" s="70"/>
      <c r="E47" s="167"/>
      <c r="F47" s="70"/>
      <c r="G47" s="167"/>
      <c r="H47" s="70"/>
      <c r="I47" s="167"/>
      <c r="J47" s="70"/>
      <c r="K47" s="167"/>
      <c r="L47" s="70"/>
      <c r="M47" s="73" t="str">
        <v/>
      </c>
      <c r="N47" s="73" t="str">
        <v/>
      </c>
      <c r="O47" s="73" t="str">
        <v/>
      </c>
      <c r="P47" s="73" t="str">
        <v/>
      </c>
      <c r="Q47" s="81"/>
      <c r="R47" s="70"/>
      <c r="S47" s="167"/>
      <c r="T47" s="70"/>
      <c r="U47" s="167"/>
      <c r="V47" s="70"/>
      <c r="W47" s="167"/>
      <c r="X47" s="70"/>
      <c r="Y47" s="167"/>
      <c r="Z47" s="70"/>
      <c r="AA47" s="73" t="str">
        <v/>
      </c>
      <c r="AB47" s="73" t="str">
        <v/>
      </c>
      <c r="AC47" s="73" t="str">
        <v/>
      </c>
      <c r="AD47" s="73" t="str">
        <v/>
      </c>
      <c r="AE47" s="81"/>
      <c r="AF47" s="70"/>
      <c r="AG47" s="167"/>
      <c r="AH47" s="70"/>
      <c r="AI47" s="167"/>
      <c r="AJ47" s="70"/>
      <c r="AK47" s="167"/>
      <c r="AL47" s="70"/>
      <c r="AM47" s="167"/>
      <c r="AN47" s="70"/>
      <c r="AO47" s="73" t="str">
        <v/>
      </c>
      <c r="AP47" s="73" t="str">
        <v/>
      </c>
      <c r="AQ47" s="73" t="str">
        <v/>
      </c>
      <c r="AR47" s="73" t="str">
        <v/>
      </c>
      <c r="AS47" s="168" t="str">
        <v/>
      </c>
      <c r="AT47" s="169" t="str">
        <v/>
      </c>
      <c r="AU47" s="170" t="str">
        <v/>
      </c>
      <c r="AV47" s="171" t="str">
        <v/>
      </c>
      <c r="AW47" s="170"/>
    </row>
    <row r="48" spans="1:49">
      <c r="A48" s="76"/>
      <c r="B48" s="76"/>
      <c r="C48" s="81"/>
      <c r="D48" s="70"/>
      <c r="E48" s="167"/>
      <c r="F48" s="70"/>
      <c r="G48" s="167"/>
      <c r="H48" s="70"/>
      <c r="I48" s="167"/>
      <c r="J48" s="70"/>
      <c r="K48" s="167"/>
      <c r="L48" s="70"/>
      <c r="M48" s="73" t="str">
        <v/>
      </c>
      <c r="N48" s="73" t="str">
        <v/>
      </c>
      <c r="O48" s="73" t="str">
        <v/>
      </c>
      <c r="P48" s="73" t="str">
        <v/>
      </c>
      <c r="Q48" s="81"/>
      <c r="R48" s="70"/>
      <c r="S48" s="167"/>
      <c r="T48" s="70"/>
      <c r="U48" s="167"/>
      <c r="V48" s="70"/>
      <c r="W48" s="167"/>
      <c r="X48" s="70"/>
      <c r="Y48" s="167"/>
      <c r="Z48" s="70"/>
      <c r="AA48" s="73" t="str">
        <v/>
      </c>
      <c r="AB48" s="73" t="str">
        <v/>
      </c>
      <c r="AC48" s="73" t="str">
        <v/>
      </c>
      <c r="AD48" s="73" t="str">
        <v/>
      </c>
      <c r="AE48" s="81"/>
      <c r="AF48" s="70"/>
      <c r="AG48" s="167"/>
      <c r="AH48" s="70"/>
      <c r="AI48" s="167"/>
      <c r="AJ48" s="70"/>
      <c r="AK48" s="167"/>
      <c r="AL48" s="70"/>
      <c r="AM48" s="167"/>
      <c r="AN48" s="70"/>
      <c r="AO48" s="73" t="str">
        <v/>
      </c>
      <c r="AP48" s="73" t="str">
        <v/>
      </c>
      <c r="AQ48" s="73" t="str">
        <v/>
      </c>
      <c r="AR48" s="73" t="str">
        <v/>
      </c>
      <c r="AS48" s="168" t="str">
        <v/>
      </c>
      <c r="AT48" s="169" t="str">
        <v/>
      </c>
      <c r="AU48" s="170" t="str">
        <v/>
      </c>
      <c r="AV48" s="171" t="str">
        <v/>
      </c>
      <c r="AW48" s="170"/>
    </row>
    <row r="49" spans="1:49">
      <c r="A49" s="76"/>
      <c r="B49" s="76"/>
      <c r="C49" s="81"/>
      <c r="D49" s="70"/>
      <c r="E49" s="167"/>
      <c r="F49" s="70"/>
      <c r="G49" s="167"/>
      <c r="H49" s="70"/>
      <c r="I49" s="167"/>
      <c r="J49" s="70"/>
      <c r="K49" s="167"/>
      <c r="L49" s="70"/>
      <c r="M49" s="73" t="str">
        <v/>
      </c>
      <c r="N49" s="73" t="str">
        <v/>
      </c>
      <c r="O49" s="73" t="str">
        <v/>
      </c>
      <c r="P49" s="73" t="str">
        <v/>
      </c>
      <c r="Q49" s="81"/>
      <c r="R49" s="70"/>
      <c r="S49" s="167"/>
      <c r="T49" s="70"/>
      <c r="U49" s="167"/>
      <c r="V49" s="70"/>
      <c r="W49" s="167"/>
      <c r="X49" s="70"/>
      <c r="Y49" s="167"/>
      <c r="Z49" s="70"/>
      <c r="AA49" s="73" t="str">
        <v/>
      </c>
      <c r="AB49" s="73" t="str">
        <v/>
      </c>
      <c r="AC49" s="73" t="str">
        <v/>
      </c>
      <c r="AD49" s="73" t="str">
        <v/>
      </c>
      <c r="AE49" s="81"/>
      <c r="AF49" s="70"/>
      <c r="AG49" s="167"/>
      <c r="AH49" s="70"/>
      <c r="AI49" s="167"/>
      <c r="AJ49" s="70"/>
      <c r="AK49" s="167"/>
      <c r="AL49" s="70"/>
      <c r="AM49" s="167"/>
      <c r="AN49" s="70"/>
      <c r="AO49" s="73" t="str">
        <v/>
      </c>
      <c r="AP49" s="73" t="str">
        <v/>
      </c>
      <c r="AQ49" s="73" t="str">
        <v/>
      </c>
      <c r="AR49" s="73" t="str">
        <v/>
      </c>
      <c r="AS49" s="168" t="str">
        <v/>
      </c>
      <c r="AT49" s="169" t="str">
        <v/>
      </c>
      <c r="AU49" s="170" t="str">
        <v/>
      </c>
      <c r="AV49" s="171" t="str">
        <v/>
      </c>
      <c r="AW49" s="170"/>
    </row>
    <row r="50" spans="1:49">
      <c r="A50" s="76"/>
      <c r="B50" s="76"/>
      <c r="C50" s="81"/>
      <c r="D50" s="70"/>
      <c r="E50" s="167"/>
      <c r="F50" s="70"/>
      <c r="G50" s="167"/>
      <c r="H50" s="70"/>
      <c r="I50" s="167"/>
      <c r="J50" s="70"/>
      <c r="K50" s="167"/>
      <c r="L50" s="70"/>
      <c r="M50" s="73" t="str">
        <v/>
      </c>
      <c r="N50" s="73" t="str">
        <v/>
      </c>
      <c r="O50" s="73" t="str">
        <v/>
      </c>
      <c r="P50" s="73" t="str">
        <v/>
      </c>
      <c r="Q50" s="81"/>
      <c r="R50" s="70"/>
      <c r="S50" s="167"/>
      <c r="T50" s="70"/>
      <c r="U50" s="167"/>
      <c r="V50" s="70"/>
      <c r="W50" s="167"/>
      <c r="X50" s="70"/>
      <c r="Y50" s="167"/>
      <c r="Z50" s="70"/>
      <c r="AA50" s="73" t="str">
        <v/>
      </c>
      <c r="AB50" s="73" t="str">
        <v/>
      </c>
      <c r="AC50" s="73" t="str">
        <v/>
      </c>
      <c r="AD50" s="73" t="str">
        <v/>
      </c>
      <c r="AE50" s="81"/>
      <c r="AF50" s="70"/>
      <c r="AG50" s="167"/>
      <c r="AH50" s="70"/>
      <c r="AI50" s="167"/>
      <c r="AJ50" s="70"/>
      <c r="AK50" s="167"/>
      <c r="AL50" s="70"/>
      <c r="AM50" s="167"/>
      <c r="AN50" s="70"/>
      <c r="AO50" s="73" t="str">
        <v/>
      </c>
      <c r="AP50" s="73" t="str">
        <v/>
      </c>
      <c r="AQ50" s="73" t="str">
        <v/>
      </c>
      <c r="AR50" s="73" t="str">
        <v/>
      </c>
      <c r="AS50" s="168" t="str">
        <v/>
      </c>
      <c r="AT50" s="169" t="str">
        <v/>
      </c>
      <c r="AU50" s="170" t="str">
        <v/>
      </c>
      <c r="AV50" s="171" t="str">
        <v/>
      </c>
      <c r="AW50" s="170"/>
    </row>
    <row r="51" spans="1:49">
      <c r="A51" s="76"/>
      <c r="B51" s="76"/>
      <c r="C51" s="81"/>
      <c r="D51" s="70"/>
      <c r="E51" s="167"/>
      <c r="F51" s="70"/>
      <c r="G51" s="167"/>
      <c r="H51" s="70"/>
      <c r="I51" s="167"/>
      <c r="J51" s="70"/>
      <c r="K51" s="167"/>
      <c r="L51" s="70"/>
      <c r="M51" s="73" t="str">
        <v/>
      </c>
      <c r="N51" s="73" t="str">
        <v/>
      </c>
      <c r="O51" s="73" t="str">
        <v/>
      </c>
      <c r="P51" s="73" t="str">
        <v/>
      </c>
      <c r="Q51" s="81"/>
      <c r="R51" s="70"/>
      <c r="S51" s="167"/>
      <c r="T51" s="70"/>
      <c r="U51" s="167"/>
      <c r="V51" s="70"/>
      <c r="W51" s="167"/>
      <c r="X51" s="70"/>
      <c r="Y51" s="167"/>
      <c r="Z51" s="70"/>
      <c r="AA51" s="73" t="str">
        <v/>
      </c>
      <c r="AB51" s="73" t="str">
        <v/>
      </c>
      <c r="AC51" s="73" t="str">
        <v/>
      </c>
      <c r="AD51" s="73" t="str">
        <v/>
      </c>
      <c r="AE51" s="81"/>
      <c r="AF51" s="70"/>
      <c r="AG51" s="167"/>
      <c r="AH51" s="70"/>
      <c r="AI51" s="167"/>
      <c r="AJ51" s="70"/>
      <c r="AK51" s="167"/>
      <c r="AL51" s="70"/>
      <c r="AM51" s="167"/>
      <c r="AN51" s="70"/>
      <c r="AO51" s="73" t="str">
        <v/>
      </c>
      <c r="AP51" s="73" t="str">
        <v/>
      </c>
      <c r="AQ51" s="73" t="str">
        <v/>
      </c>
      <c r="AR51" s="73" t="str">
        <v/>
      </c>
      <c r="AS51" s="168" t="str">
        <v/>
      </c>
      <c r="AT51" s="169" t="str">
        <v/>
      </c>
      <c r="AU51" s="170" t="str">
        <v/>
      </c>
      <c r="AV51" s="171" t="str">
        <v/>
      </c>
      <c r="AW51" s="170"/>
    </row>
    <row r="52" spans="1:49">
      <c r="A52" s="76"/>
      <c r="B52" s="76"/>
      <c r="C52" s="81"/>
      <c r="D52" s="70"/>
      <c r="E52" s="167"/>
      <c r="F52" s="70"/>
      <c r="G52" s="167"/>
      <c r="H52" s="70"/>
      <c r="I52" s="167"/>
      <c r="J52" s="70"/>
      <c r="K52" s="167"/>
      <c r="L52" s="70"/>
      <c r="M52" s="73" t="str">
        <v/>
      </c>
      <c r="N52" s="73" t="str">
        <v/>
      </c>
      <c r="O52" s="73" t="str">
        <v/>
      </c>
      <c r="P52" s="73" t="str">
        <v/>
      </c>
      <c r="Q52" s="81"/>
      <c r="R52" s="70"/>
      <c r="S52" s="167"/>
      <c r="T52" s="70"/>
      <c r="U52" s="167"/>
      <c r="V52" s="70"/>
      <c r="W52" s="167"/>
      <c r="X52" s="70"/>
      <c r="Y52" s="167"/>
      <c r="Z52" s="70"/>
      <c r="AA52" s="73" t="str">
        <v/>
      </c>
      <c r="AB52" s="73" t="str">
        <v/>
      </c>
      <c r="AC52" s="73" t="str">
        <v/>
      </c>
      <c r="AD52" s="73" t="str">
        <v/>
      </c>
      <c r="AE52" s="81"/>
      <c r="AF52" s="70"/>
      <c r="AG52" s="167"/>
      <c r="AH52" s="70"/>
      <c r="AI52" s="167"/>
      <c r="AJ52" s="70"/>
      <c r="AK52" s="167"/>
      <c r="AL52" s="70"/>
      <c r="AM52" s="167"/>
      <c r="AN52" s="70"/>
      <c r="AO52" s="73" t="str">
        <v/>
      </c>
      <c r="AP52" s="73" t="str">
        <v/>
      </c>
      <c r="AQ52" s="73" t="str">
        <v/>
      </c>
      <c r="AR52" s="73" t="str">
        <v/>
      </c>
      <c r="AS52" s="168" t="str">
        <v/>
      </c>
      <c r="AT52" s="169" t="str">
        <v/>
      </c>
      <c r="AU52" s="170" t="str">
        <v/>
      </c>
      <c r="AV52" s="171" t="str">
        <v/>
      </c>
      <c r="AW52" s="170"/>
    </row>
    <row r="53" spans="1:49">
      <c r="A53" s="76"/>
      <c r="B53" s="76"/>
      <c r="C53" s="81"/>
      <c r="D53" s="70"/>
      <c r="E53" s="167"/>
      <c r="F53" s="70"/>
      <c r="G53" s="167"/>
      <c r="H53" s="70"/>
      <c r="I53" s="167"/>
      <c r="J53" s="70"/>
      <c r="K53" s="167"/>
      <c r="L53" s="70"/>
      <c r="M53" s="73" t="str">
        <v/>
      </c>
      <c r="N53" s="73" t="str">
        <v/>
      </c>
      <c r="O53" s="73" t="str">
        <v/>
      </c>
      <c r="P53" s="73" t="str">
        <v/>
      </c>
      <c r="Q53" s="81"/>
      <c r="R53" s="70"/>
      <c r="S53" s="167"/>
      <c r="T53" s="70"/>
      <c r="U53" s="167"/>
      <c r="V53" s="70"/>
      <c r="W53" s="167"/>
      <c r="X53" s="70"/>
      <c r="Y53" s="167"/>
      <c r="Z53" s="70"/>
      <c r="AA53" s="73" t="str">
        <v/>
      </c>
      <c r="AB53" s="73" t="str">
        <v/>
      </c>
      <c r="AC53" s="73" t="str">
        <v/>
      </c>
      <c r="AD53" s="73" t="str">
        <v/>
      </c>
      <c r="AE53" s="81"/>
      <c r="AF53" s="70"/>
      <c r="AG53" s="167"/>
      <c r="AH53" s="70"/>
      <c r="AI53" s="167"/>
      <c r="AJ53" s="70"/>
      <c r="AK53" s="167"/>
      <c r="AL53" s="70"/>
      <c r="AM53" s="167"/>
      <c r="AN53" s="70"/>
      <c r="AO53" s="73" t="str">
        <v/>
      </c>
      <c r="AP53" s="73" t="str">
        <v/>
      </c>
      <c r="AQ53" s="73" t="str">
        <v/>
      </c>
      <c r="AR53" s="73" t="str">
        <v/>
      </c>
      <c r="AS53" s="168" t="str">
        <v/>
      </c>
      <c r="AT53" s="169" t="str">
        <v/>
      </c>
      <c r="AU53" s="170" t="str">
        <v/>
      </c>
      <c r="AV53" s="171" t="str">
        <v/>
      </c>
      <c r="AW53" s="170"/>
    </row>
    <row r="54" spans="1:49">
      <c r="A54" s="76"/>
      <c r="B54" s="76"/>
      <c r="C54" s="81"/>
      <c r="D54" s="70"/>
      <c r="E54" s="167"/>
      <c r="F54" s="70"/>
      <c r="G54" s="167"/>
      <c r="H54" s="70"/>
      <c r="I54" s="167"/>
      <c r="J54" s="70"/>
      <c r="K54" s="167"/>
      <c r="L54" s="70"/>
      <c r="M54" s="73" t="str">
        <v/>
      </c>
      <c r="N54" s="73" t="str">
        <v/>
      </c>
      <c r="O54" s="73" t="str">
        <v/>
      </c>
      <c r="P54" s="73" t="str">
        <v/>
      </c>
      <c r="Q54" s="81"/>
      <c r="R54" s="70"/>
      <c r="S54" s="167"/>
      <c r="T54" s="70"/>
      <c r="U54" s="167"/>
      <c r="V54" s="70"/>
      <c r="W54" s="167"/>
      <c r="X54" s="70"/>
      <c r="Y54" s="167"/>
      <c r="Z54" s="70"/>
      <c r="AA54" s="73" t="str">
        <v/>
      </c>
      <c r="AB54" s="73" t="str">
        <v/>
      </c>
      <c r="AC54" s="73" t="str">
        <v/>
      </c>
      <c r="AD54" s="73" t="str">
        <v/>
      </c>
      <c r="AE54" s="81"/>
      <c r="AF54" s="70"/>
      <c r="AG54" s="167"/>
      <c r="AH54" s="70"/>
      <c r="AI54" s="167"/>
      <c r="AJ54" s="70"/>
      <c r="AK54" s="167"/>
      <c r="AL54" s="70"/>
      <c r="AM54" s="167"/>
      <c r="AN54" s="70"/>
      <c r="AO54" s="73" t="str">
        <v/>
      </c>
      <c r="AP54" s="73" t="str">
        <v/>
      </c>
      <c r="AQ54" s="73" t="str">
        <v/>
      </c>
      <c r="AR54" s="73" t="str">
        <v/>
      </c>
      <c r="AS54" s="168" t="str">
        <v/>
      </c>
      <c r="AT54" s="169" t="str">
        <v/>
      </c>
      <c r="AU54" s="170" t="str">
        <v/>
      </c>
      <c r="AV54" s="171" t="str">
        <v/>
      </c>
      <c r="AW54" s="170"/>
    </row>
    <row r="55" spans="1:49">
      <c r="A55" s="76"/>
      <c r="B55" s="76"/>
      <c r="C55" s="81"/>
      <c r="D55" s="70"/>
      <c r="E55" s="167"/>
      <c r="F55" s="70"/>
      <c r="G55" s="167"/>
      <c r="H55" s="70"/>
      <c r="I55" s="167"/>
      <c r="J55" s="70"/>
      <c r="K55" s="167"/>
      <c r="L55" s="70"/>
      <c r="M55" s="73" t="str">
        <v/>
      </c>
      <c r="N55" s="73" t="str">
        <v/>
      </c>
      <c r="O55" s="73" t="str">
        <v/>
      </c>
      <c r="P55" s="73" t="str">
        <v/>
      </c>
      <c r="Q55" s="81"/>
      <c r="R55" s="70"/>
      <c r="S55" s="167"/>
      <c r="T55" s="70"/>
      <c r="U55" s="167"/>
      <c r="V55" s="70"/>
      <c r="W55" s="167"/>
      <c r="X55" s="70"/>
      <c r="Y55" s="167"/>
      <c r="Z55" s="70"/>
      <c r="AA55" s="73" t="str">
        <v/>
      </c>
      <c r="AB55" s="73" t="str">
        <v/>
      </c>
      <c r="AC55" s="73" t="str">
        <v/>
      </c>
      <c r="AD55" s="73" t="str">
        <v/>
      </c>
      <c r="AE55" s="81"/>
      <c r="AF55" s="70"/>
      <c r="AG55" s="167"/>
      <c r="AH55" s="70"/>
      <c r="AI55" s="167"/>
      <c r="AJ55" s="70"/>
      <c r="AK55" s="167"/>
      <c r="AL55" s="70"/>
      <c r="AM55" s="167"/>
      <c r="AN55" s="70"/>
      <c r="AO55" s="73" t="str">
        <v/>
      </c>
      <c r="AP55" s="73" t="str">
        <v/>
      </c>
      <c r="AQ55" s="73" t="str">
        <v/>
      </c>
      <c r="AR55" s="73" t="str">
        <v/>
      </c>
      <c r="AS55" s="168" t="str">
        <v/>
      </c>
      <c r="AT55" s="169" t="str">
        <v/>
      </c>
      <c r="AU55" s="170" t="str">
        <v/>
      </c>
      <c r="AV55" s="171" t="str">
        <v/>
      </c>
      <c r="AW55" s="170"/>
    </row>
    <row r="56" spans="1:49">
      <c r="A56" s="76"/>
      <c r="B56" s="76"/>
      <c r="C56" s="81"/>
      <c r="D56" s="70"/>
      <c r="E56" s="167"/>
      <c r="F56" s="70"/>
      <c r="G56" s="167"/>
      <c r="H56" s="70"/>
      <c r="I56" s="167"/>
      <c r="J56" s="70"/>
      <c r="K56" s="167"/>
      <c r="L56" s="70"/>
      <c r="M56" s="73" t="str">
        <v/>
      </c>
      <c r="N56" s="73" t="str">
        <v/>
      </c>
      <c r="O56" s="73" t="str">
        <v/>
      </c>
      <c r="P56" s="73" t="str">
        <v/>
      </c>
      <c r="Q56" s="81"/>
      <c r="R56" s="70"/>
      <c r="S56" s="167"/>
      <c r="T56" s="70"/>
      <c r="U56" s="167"/>
      <c r="V56" s="70"/>
      <c r="W56" s="167"/>
      <c r="X56" s="70"/>
      <c r="Y56" s="167"/>
      <c r="Z56" s="70"/>
      <c r="AA56" s="73" t="str">
        <v/>
      </c>
      <c r="AB56" s="73" t="str">
        <v/>
      </c>
      <c r="AC56" s="73" t="str">
        <v/>
      </c>
      <c r="AD56" s="73" t="str">
        <v/>
      </c>
      <c r="AE56" s="81"/>
      <c r="AF56" s="70"/>
      <c r="AG56" s="167"/>
      <c r="AH56" s="70"/>
      <c r="AI56" s="167"/>
      <c r="AJ56" s="70"/>
      <c r="AK56" s="167"/>
      <c r="AL56" s="70"/>
      <c r="AM56" s="167"/>
      <c r="AN56" s="70"/>
      <c r="AO56" s="73" t="str">
        <v/>
      </c>
      <c r="AP56" s="73" t="str">
        <v/>
      </c>
      <c r="AQ56" s="73" t="str">
        <v/>
      </c>
      <c r="AR56" s="73" t="str">
        <v/>
      </c>
      <c r="AS56" s="168" t="str">
        <v/>
      </c>
      <c r="AT56" s="169" t="str">
        <v/>
      </c>
      <c r="AU56" s="170" t="str">
        <v/>
      </c>
      <c r="AV56" s="171" t="str">
        <v/>
      </c>
      <c r="AW56" s="170"/>
    </row>
    <row r="57" spans="1:49">
      <c r="A57" s="76"/>
      <c r="B57" s="76"/>
      <c r="C57" s="81"/>
      <c r="D57" s="70"/>
      <c r="E57" s="167"/>
      <c r="F57" s="70"/>
      <c r="G57" s="167"/>
      <c r="H57" s="70"/>
      <c r="I57" s="167"/>
      <c r="J57" s="70"/>
      <c r="K57" s="167"/>
      <c r="L57" s="70"/>
      <c r="M57" s="73" t="str">
        <v/>
      </c>
      <c r="N57" s="73" t="str">
        <v/>
      </c>
      <c r="O57" s="73" t="str">
        <v/>
      </c>
      <c r="P57" s="73" t="str">
        <v/>
      </c>
      <c r="Q57" s="81"/>
      <c r="R57" s="70"/>
      <c r="S57" s="167"/>
      <c r="T57" s="70"/>
      <c r="U57" s="167"/>
      <c r="V57" s="70"/>
      <c r="W57" s="167"/>
      <c r="X57" s="70"/>
      <c r="Y57" s="167"/>
      <c r="Z57" s="70"/>
      <c r="AA57" s="73" t="str">
        <v/>
      </c>
      <c r="AB57" s="73" t="str">
        <v/>
      </c>
      <c r="AC57" s="73" t="str">
        <v/>
      </c>
      <c r="AD57" s="73" t="str">
        <v/>
      </c>
      <c r="AE57" s="81"/>
      <c r="AF57" s="70"/>
      <c r="AG57" s="167"/>
      <c r="AH57" s="70"/>
      <c r="AI57" s="167"/>
      <c r="AJ57" s="70"/>
      <c r="AK57" s="167"/>
      <c r="AL57" s="70"/>
      <c r="AM57" s="167"/>
      <c r="AN57" s="70"/>
      <c r="AO57" s="73" t="str">
        <v/>
      </c>
      <c r="AP57" s="73" t="str">
        <v/>
      </c>
      <c r="AQ57" s="73" t="str">
        <v/>
      </c>
      <c r="AR57" s="73" t="str">
        <v/>
      </c>
      <c r="AS57" s="168" t="str">
        <v/>
      </c>
      <c r="AT57" s="169" t="str">
        <v/>
      </c>
      <c r="AU57" s="170" t="str">
        <v/>
      </c>
      <c r="AV57" s="171" t="str">
        <v/>
      </c>
      <c r="AW57" s="170"/>
    </row>
    <row r="58" spans="1:49">
      <c r="A58" s="76"/>
      <c r="B58" s="76"/>
      <c r="C58" s="81"/>
      <c r="D58" s="70"/>
      <c r="E58" s="167"/>
      <c r="F58" s="70"/>
      <c r="G58" s="167"/>
      <c r="H58" s="70"/>
      <c r="I58" s="167"/>
      <c r="J58" s="70"/>
      <c r="K58" s="167"/>
      <c r="L58" s="70"/>
      <c r="M58" s="73" t="str">
        <v/>
      </c>
      <c r="N58" s="73" t="str">
        <v/>
      </c>
      <c r="O58" s="73" t="str">
        <v/>
      </c>
      <c r="P58" s="73" t="str">
        <v/>
      </c>
      <c r="Q58" s="81"/>
      <c r="R58" s="70"/>
      <c r="S58" s="167"/>
      <c r="T58" s="70"/>
      <c r="U58" s="167"/>
      <c r="V58" s="70"/>
      <c r="W58" s="167"/>
      <c r="X58" s="70"/>
      <c r="Y58" s="167"/>
      <c r="Z58" s="70"/>
      <c r="AA58" s="73" t="str">
        <v/>
      </c>
      <c r="AB58" s="73" t="str">
        <v/>
      </c>
      <c r="AC58" s="73" t="str">
        <v/>
      </c>
      <c r="AD58" s="73" t="str">
        <v/>
      </c>
      <c r="AE58" s="81"/>
      <c r="AF58" s="70"/>
      <c r="AG58" s="167"/>
      <c r="AH58" s="70"/>
      <c r="AI58" s="167"/>
      <c r="AJ58" s="70"/>
      <c r="AK58" s="167"/>
      <c r="AL58" s="70"/>
      <c r="AM58" s="167"/>
      <c r="AN58" s="70"/>
      <c r="AO58" s="73" t="str">
        <v/>
      </c>
      <c r="AP58" s="73" t="str">
        <v/>
      </c>
      <c r="AQ58" s="73" t="str">
        <v/>
      </c>
      <c r="AR58" s="73" t="str">
        <v/>
      </c>
      <c r="AS58" s="168" t="str">
        <v/>
      </c>
      <c r="AT58" s="169" t="str">
        <v/>
      </c>
      <c r="AU58" s="170" t="str">
        <v/>
      </c>
      <c r="AV58" s="171" t="str">
        <v/>
      </c>
      <c r="AW58" s="170"/>
    </row>
    <row r="59" spans="1:49">
      <c r="A59" s="76"/>
      <c r="B59" s="76"/>
      <c r="C59" s="81"/>
      <c r="D59" s="70"/>
      <c r="E59" s="167"/>
      <c r="F59" s="70"/>
      <c r="G59" s="167"/>
      <c r="H59" s="70"/>
      <c r="I59" s="167"/>
      <c r="J59" s="70"/>
      <c r="K59" s="167"/>
      <c r="L59" s="70"/>
      <c r="M59" s="73" t="str">
        <v/>
      </c>
      <c r="N59" s="73" t="str">
        <v/>
      </c>
      <c r="O59" s="73" t="str">
        <v/>
      </c>
      <c r="P59" s="73" t="str">
        <v/>
      </c>
      <c r="Q59" s="81"/>
      <c r="R59" s="70"/>
      <c r="S59" s="167"/>
      <c r="T59" s="70"/>
      <c r="U59" s="167"/>
      <c r="V59" s="70"/>
      <c r="W59" s="167"/>
      <c r="X59" s="70"/>
      <c r="Y59" s="167"/>
      <c r="Z59" s="70"/>
      <c r="AA59" s="73" t="str">
        <v/>
      </c>
      <c r="AB59" s="73" t="str">
        <v/>
      </c>
      <c r="AC59" s="73" t="str">
        <v/>
      </c>
      <c r="AD59" s="73" t="str">
        <v/>
      </c>
      <c r="AE59" s="81"/>
      <c r="AF59" s="70"/>
      <c r="AG59" s="167"/>
      <c r="AH59" s="70"/>
      <c r="AI59" s="167"/>
      <c r="AJ59" s="70"/>
      <c r="AK59" s="167"/>
      <c r="AL59" s="70"/>
      <c r="AM59" s="167"/>
      <c r="AN59" s="70"/>
      <c r="AO59" s="73" t="str">
        <v/>
      </c>
      <c r="AP59" s="73" t="str">
        <v/>
      </c>
      <c r="AQ59" s="73" t="str">
        <v/>
      </c>
      <c r="AR59" s="73" t="str">
        <v/>
      </c>
      <c r="AS59" s="168" t="str">
        <v/>
      </c>
      <c r="AT59" s="169" t="str">
        <v/>
      </c>
      <c r="AU59" s="170" t="str">
        <v/>
      </c>
      <c r="AV59" s="171" t="str">
        <v/>
      </c>
      <c r="AW59" s="170"/>
    </row>
    <row r="60" spans="1:49">
      <c r="A60" s="76"/>
      <c r="B60" s="76"/>
      <c r="C60" s="81"/>
      <c r="D60" s="70"/>
      <c r="E60" s="167"/>
      <c r="F60" s="70"/>
      <c r="G60" s="167"/>
      <c r="H60" s="70"/>
      <c r="I60" s="167"/>
      <c r="J60" s="70"/>
      <c r="K60" s="167"/>
      <c r="L60" s="70"/>
      <c r="M60" s="73" t="str">
        <v/>
      </c>
      <c r="N60" s="73" t="str">
        <v/>
      </c>
      <c r="O60" s="73" t="str">
        <v/>
      </c>
      <c r="P60" s="73" t="str">
        <v/>
      </c>
      <c r="Q60" s="81"/>
      <c r="R60" s="70"/>
      <c r="S60" s="167"/>
      <c r="T60" s="70"/>
      <c r="U60" s="167"/>
      <c r="V60" s="70"/>
      <c r="W60" s="167"/>
      <c r="X60" s="70"/>
      <c r="Y60" s="167"/>
      <c r="Z60" s="70"/>
      <c r="AA60" s="73" t="str">
        <v/>
      </c>
      <c r="AB60" s="73" t="str">
        <v/>
      </c>
      <c r="AC60" s="73" t="str">
        <v/>
      </c>
      <c r="AD60" s="73" t="str">
        <v/>
      </c>
      <c r="AE60" s="81"/>
      <c r="AF60" s="70"/>
      <c r="AG60" s="167"/>
      <c r="AH60" s="70"/>
      <c r="AI60" s="167"/>
      <c r="AJ60" s="70"/>
      <c r="AK60" s="167"/>
      <c r="AL60" s="70"/>
      <c r="AM60" s="167"/>
      <c r="AN60" s="70"/>
      <c r="AO60" s="73" t="str">
        <v/>
      </c>
      <c r="AP60" s="73" t="str">
        <v/>
      </c>
      <c r="AQ60" s="73" t="str">
        <v/>
      </c>
      <c r="AR60" s="73" t="str">
        <v/>
      </c>
      <c r="AS60" s="168" t="str">
        <v/>
      </c>
      <c r="AT60" s="169" t="str">
        <v/>
      </c>
      <c r="AU60" s="170" t="str">
        <v/>
      </c>
      <c r="AV60" s="171" t="str">
        <v/>
      </c>
      <c r="AW60" s="170"/>
    </row>
    <row r="61" spans="1:49">
      <c r="A61" s="76"/>
      <c r="B61" s="76"/>
      <c r="C61" s="81"/>
      <c r="D61" s="70"/>
      <c r="E61" s="167"/>
      <c r="F61" s="70"/>
      <c r="G61" s="167"/>
      <c r="H61" s="70"/>
      <c r="I61" s="167"/>
      <c r="J61" s="70"/>
      <c r="K61" s="167"/>
      <c r="L61" s="70"/>
      <c r="M61" s="73" t="str">
        <v/>
      </c>
      <c r="N61" s="73" t="str">
        <v/>
      </c>
      <c r="O61" s="73" t="str">
        <v/>
      </c>
      <c r="P61" s="73" t="str">
        <v/>
      </c>
      <c r="Q61" s="81"/>
      <c r="R61" s="70"/>
      <c r="S61" s="167"/>
      <c r="T61" s="70"/>
      <c r="U61" s="167"/>
      <c r="V61" s="70"/>
      <c r="W61" s="167"/>
      <c r="X61" s="70"/>
      <c r="Y61" s="167"/>
      <c r="Z61" s="70"/>
      <c r="AA61" s="73" t="str">
        <v/>
      </c>
      <c r="AB61" s="73" t="str">
        <v/>
      </c>
      <c r="AC61" s="73" t="str">
        <v/>
      </c>
      <c r="AD61" s="73" t="str">
        <v/>
      </c>
      <c r="AE61" s="81"/>
      <c r="AF61" s="70"/>
      <c r="AG61" s="167"/>
      <c r="AH61" s="70"/>
      <c r="AI61" s="167"/>
      <c r="AJ61" s="70"/>
      <c r="AK61" s="167"/>
      <c r="AL61" s="70"/>
      <c r="AM61" s="167"/>
      <c r="AN61" s="70"/>
      <c r="AO61" s="73" t="str">
        <v/>
      </c>
      <c r="AP61" s="73" t="str">
        <v/>
      </c>
      <c r="AQ61" s="73" t="str">
        <v/>
      </c>
      <c r="AR61" s="73" t="str">
        <v/>
      </c>
      <c r="AS61" s="168" t="str">
        <v/>
      </c>
      <c r="AT61" s="169" t="str">
        <v/>
      </c>
      <c r="AU61" s="170" t="str">
        <v/>
      </c>
      <c r="AV61" s="171" t="str">
        <v/>
      </c>
      <c r="AW61" s="170"/>
    </row>
    <row r="62" spans="1:49">
      <c r="A62" s="76"/>
      <c r="B62" s="76"/>
      <c r="C62" s="81"/>
      <c r="D62" s="70"/>
      <c r="E62" s="167"/>
      <c r="F62" s="70"/>
      <c r="G62" s="167"/>
      <c r="H62" s="70"/>
      <c r="I62" s="167"/>
      <c r="J62" s="70"/>
      <c r="K62" s="167"/>
      <c r="L62" s="70"/>
      <c r="M62" s="73" t="str">
        <v/>
      </c>
      <c r="N62" s="73" t="str">
        <v/>
      </c>
      <c r="O62" s="73" t="str">
        <v/>
      </c>
      <c r="P62" s="73" t="str">
        <v/>
      </c>
      <c r="Q62" s="81"/>
      <c r="R62" s="70"/>
      <c r="S62" s="167"/>
      <c r="T62" s="70"/>
      <c r="U62" s="167"/>
      <c r="V62" s="70"/>
      <c r="W62" s="167"/>
      <c r="X62" s="70"/>
      <c r="Y62" s="167"/>
      <c r="Z62" s="70"/>
      <c r="AA62" s="73" t="str">
        <v/>
      </c>
      <c r="AB62" s="73" t="str">
        <v/>
      </c>
      <c r="AC62" s="73" t="str">
        <v/>
      </c>
      <c r="AD62" s="73" t="str">
        <v/>
      </c>
      <c r="AE62" s="81"/>
      <c r="AF62" s="70"/>
      <c r="AG62" s="167"/>
      <c r="AH62" s="70"/>
      <c r="AI62" s="167"/>
      <c r="AJ62" s="70"/>
      <c r="AK62" s="167"/>
      <c r="AL62" s="70"/>
      <c r="AM62" s="167"/>
      <c r="AN62" s="70"/>
      <c r="AO62" s="73" t="str">
        <v/>
      </c>
      <c r="AP62" s="73" t="str">
        <v/>
      </c>
      <c r="AQ62" s="73" t="str">
        <v/>
      </c>
      <c r="AR62" s="73" t="str">
        <v/>
      </c>
      <c r="AS62" s="168" t="str">
        <v/>
      </c>
      <c r="AT62" s="169" t="str">
        <v/>
      </c>
      <c r="AU62" s="170" t="str">
        <v/>
      </c>
      <c r="AV62" s="171" t="str">
        <v/>
      </c>
      <c r="AW62" s="170"/>
    </row>
    <row r="63" spans="1:49">
      <c r="A63" s="76"/>
      <c r="B63" s="76"/>
      <c r="C63" s="81"/>
      <c r="D63" s="70"/>
      <c r="E63" s="167"/>
      <c r="F63" s="70"/>
      <c r="G63" s="167"/>
      <c r="H63" s="70"/>
      <c r="I63" s="167"/>
      <c r="J63" s="70"/>
      <c r="K63" s="167"/>
      <c r="L63" s="70"/>
      <c r="M63" s="73" t="str">
        <v/>
      </c>
      <c r="N63" s="73" t="str">
        <v/>
      </c>
      <c r="O63" s="73" t="str">
        <v/>
      </c>
      <c r="P63" s="73" t="str">
        <v/>
      </c>
      <c r="Q63" s="81"/>
      <c r="R63" s="70"/>
      <c r="S63" s="167"/>
      <c r="T63" s="70"/>
      <c r="U63" s="167"/>
      <c r="V63" s="70"/>
      <c r="W63" s="167"/>
      <c r="X63" s="70"/>
      <c r="Y63" s="167"/>
      <c r="Z63" s="70"/>
      <c r="AA63" s="73" t="str">
        <v/>
      </c>
      <c r="AB63" s="73" t="str">
        <v/>
      </c>
      <c r="AC63" s="73" t="str">
        <v/>
      </c>
      <c r="AD63" s="73" t="str">
        <v/>
      </c>
      <c r="AE63" s="81"/>
      <c r="AF63" s="70"/>
      <c r="AG63" s="167"/>
      <c r="AH63" s="70"/>
      <c r="AI63" s="167"/>
      <c r="AJ63" s="70"/>
      <c r="AK63" s="167"/>
      <c r="AL63" s="70"/>
      <c r="AM63" s="167"/>
      <c r="AN63" s="70"/>
      <c r="AO63" s="73" t="str">
        <v/>
      </c>
      <c r="AP63" s="73" t="str">
        <v/>
      </c>
      <c r="AQ63" s="73" t="str">
        <v/>
      </c>
      <c r="AR63" s="73" t="str">
        <v/>
      </c>
      <c r="AS63" s="168" t="str">
        <v/>
      </c>
      <c r="AT63" s="169" t="str">
        <v/>
      </c>
      <c r="AU63" s="170" t="str">
        <v/>
      </c>
      <c r="AV63" s="171" t="str">
        <v/>
      </c>
      <c r="AW63" s="170"/>
    </row>
    <row r="64" spans="1:49">
      <c r="A64" s="76"/>
      <c r="B64" s="76"/>
      <c r="C64" s="81"/>
      <c r="D64" s="70"/>
      <c r="E64" s="167"/>
      <c r="F64" s="70"/>
      <c r="G64" s="167"/>
      <c r="H64" s="70"/>
      <c r="I64" s="167"/>
      <c r="J64" s="70"/>
      <c r="K64" s="167"/>
      <c r="L64" s="70"/>
      <c r="M64" s="73" t="str">
        <v/>
      </c>
      <c r="N64" s="73" t="str">
        <v/>
      </c>
      <c r="O64" s="73" t="str">
        <v/>
      </c>
      <c r="P64" s="73" t="str">
        <v/>
      </c>
      <c r="Q64" s="81"/>
      <c r="R64" s="70"/>
      <c r="S64" s="167"/>
      <c r="T64" s="70"/>
      <c r="U64" s="167"/>
      <c r="V64" s="70"/>
      <c r="W64" s="167"/>
      <c r="X64" s="70"/>
      <c r="Y64" s="167"/>
      <c r="Z64" s="70"/>
      <c r="AA64" s="73" t="str">
        <v/>
      </c>
      <c r="AB64" s="73" t="str">
        <v/>
      </c>
      <c r="AC64" s="73" t="str">
        <v/>
      </c>
      <c r="AD64" s="73" t="str">
        <v/>
      </c>
      <c r="AE64" s="81"/>
      <c r="AF64" s="70"/>
      <c r="AG64" s="167"/>
      <c r="AH64" s="70"/>
      <c r="AI64" s="167"/>
      <c r="AJ64" s="70"/>
      <c r="AK64" s="167"/>
      <c r="AL64" s="70"/>
      <c r="AM64" s="167"/>
      <c r="AN64" s="70"/>
      <c r="AO64" s="73" t="str">
        <v/>
      </c>
      <c r="AP64" s="73" t="str">
        <v/>
      </c>
      <c r="AQ64" s="73" t="str">
        <v/>
      </c>
      <c r="AR64" s="73" t="str">
        <v/>
      </c>
      <c r="AS64" s="168" t="str">
        <v/>
      </c>
      <c r="AT64" s="169" t="str">
        <v/>
      </c>
      <c r="AU64" s="170" t="str">
        <v/>
      </c>
      <c r="AV64" s="171" t="str">
        <v/>
      </c>
      <c r="AW64" s="170"/>
    </row>
    <row r="65" spans="1:49">
      <c r="A65" s="76"/>
      <c r="B65" s="76"/>
      <c r="C65" s="81"/>
      <c r="D65" s="70"/>
      <c r="E65" s="167"/>
      <c r="F65" s="70"/>
      <c r="G65" s="167"/>
      <c r="H65" s="70"/>
      <c r="I65" s="167"/>
      <c r="J65" s="70"/>
      <c r="K65" s="167"/>
      <c r="L65" s="70"/>
      <c r="M65" s="73" t="str">
        <v/>
      </c>
      <c r="N65" s="73" t="str">
        <v/>
      </c>
      <c r="O65" s="73" t="str">
        <v/>
      </c>
      <c r="P65" s="73" t="str">
        <v/>
      </c>
      <c r="Q65" s="81"/>
      <c r="R65" s="70"/>
      <c r="S65" s="167"/>
      <c r="T65" s="70"/>
      <c r="U65" s="167"/>
      <c r="V65" s="70"/>
      <c r="W65" s="167"/>
      <c r="X65" s="70"/>
      <c r="Y65" s="167"/>
      <c r="Z65" s="70"/>
      <c r="AA65" s="73" t="str">
        <v/>
      </c>
      <c r="AB65" s="73" t="str">
        <v/>
      </c>
      <c r="AC65" s="73" t="str">
        <v/>
      </c>
      <c r="AD65" s="73" t="str">
        <v/>
      </c>
      <c r="AE65" s="81"/>
      <c r="AF65" s="70"/>
      <c r="AG65" s="167"/>
      <c r="AH65" s="70"/>
      <c r="AI65" s="167"/>
      <c r="AJ65" s="70"/>
      <c r="AK65" s="167"/>
      <c r="AL65" s="70"/>
      <c r="AM65" s="167"/>
      <c r="AN65" s="70"/>
      <c r="AO65" s="73" t="str">
        <v/>
      </c>
      <c r="AP65" s="73" t="str">
        <v/>
      </c>
      <c r="AQ65" s="73" t="str">
        <v/>
      </c>
      <c r="AR65" s="73" t="str">
        <v/>
      </c>
      <c r="AS65" s="168" t="str">
        <v/>
      </c>
      <c r="AT65" s="169" t="str">
        <v/>
      </c>
      <c r="AU65" s="170" t="str">
        <v/>
      </c>
      <c r="AV65" s="171" t="str">
        <v/>
      </c>
      <c r="AW65" s="170"/>
    </row>
    <row r="66" spans="1:49">
      <c r="A66" s="76"/>
      <c r="B66" s="76"/>
      <c r="C66" s="81"/>
      <c r="D66" s="70"/>
      <c r="E66" s="167"/>
      <c r="F66" s="70"/>
      <c r="G66" s="167"/>
      <c r="H66" s="70"/>
      <c r="I66" s="167"/>
      <c r="J66" s="70"/>
      <c r="K66" s="167"/>
      <c r="L66" s="70"/>
      <c r="M66" s="73" t="str">
        <v/>
      </c>
      <c r="N66" s="73" t="str">
        <v/>
      </c>
      <c r="O66" s="73" t="str">
        <v/>
      </c>
      <c r="P66" s="73" t="str">
        <v/>
      </c>
      <c r="Q66" s="81"/>
      <c r="R66" s="70"/>
      <c r="S66" s="167"/>
      <c r="T66" s="70"/>
      <c r="U66" s="167"/>
      <c r="V66" s="70"/>
      <c r="W66" s="167"/>
      <c r="X66" s="70"/>
      <c r="Y66" s="167"/>
      <c r="Z66" s="70"/>
      <c r="AA66" s="73" t="str">
        <v/>
      </c>
      <c r="AB66" s="73" t="str">
        <v/>
      </c>
      <c r="AC66" s="73" t="str">
        <v/>
      </c>
      <c r="AD66" s="73" t="str">
        <v/>
      </c>
      <c r="AE66" s="81"/>
      <c r="AF66" s="70"/>
      <c r="AG66" s="167"/>
      <c r="AH66" s="70"/>
      <c r="AI66" s="167"/>
      <c r="AJ66" s="70"/>
      <c r="AK66" s="167"/>
      <c r="AL66" s="70"/>
      <c r="AM66" s="167"/>
      <c r="AN66" s="70"/>
      <c r="AO66" s="73" t="str">
        <v/>
      </c>
      <c r="AP66" s="73" t="str">
        <v/>
      </c>
      <c r="AQ66" s="73" t="str">
        <v/>
      </c>
      <c r="AR66" s="73" t="str">
        <v/>
      </c>
      <c r="AS66" s="168" t="str">
        <v/>
      </c>
      <c r="AT66" s="169" t="str">
        <v/>
      </c>
      <c r="AU66" s="170" t="str">
        <v/>
      </c>
      <c r="AV66" s="171" t="str">
        <v/>
      </c>
      <c r="AW66" s="170"/>
    </row>
    <row r="67" spans="1:49">
      <c r="A67" s="76"/>
      <c r="B67" s="76"/>
      <c r="C67" s="81"/>
      <c r="D67" s="70"/>
      <c r="E67" s="167"/>
      <c r="F67" s="70"/>
      <c r="G67" s="167"/>
      <c r="H67" s="70"/>
      <c r="I67" s="167"/>
      <c r="J67" s="70"/>
      <c r="K67" s="167"/>
      <c r="L67" s="70"/>
      <c r="M67" s="73" t="str">
        <v/>
      </c>
      <c r="N67" s="73" t="str">
        <v/>
      </c>
      <c r="O67" s="73" t="str">
        <v/>
      </c>
      <c r="P67" s="73" t="str">
        <v/>
      </c>
      <c r="Q67" s="81"/>
      <c r="R67" s="70"/>
      <c r="S67" s="167"/>
      <c r="T67" s="70"/>
      <c r="U67" s="167"/>
      <c r="V67" s="70"/>
      <c r="W67" s="167"/>
      <c r="X67" s="70"/>
      <c r="Y67" s="167"/>
      <c r="Z67" s="70"/>
      <c r="AA67" s="73" t="str">
        <v/>
      </c>
      <c r="AB67" s="73" t="str">
        <v/>
      </c>
      <c r="AC67" s="73" t="str">
        <v/>
      </c>
      <c r="AD67" s="73" t="str">
        <v/>
      </c>
      <c r="AE67" s="81"/>
      <c r="AF67" s="70"/>
      <c r="AG67" s="167"/>
      <c r="AH67" s="70"/>
      <c r="AI67" s="167"/>
      <c r="AJ67" s="70"/>
      <c r="AK67" s="167"/>
      <c r="AL67" s="70"/>
      <c r="AM67" s="167"/>
      <c r="AN67" s="70"/>
      <c r="AO67" s="73" t="str">
        <v/>
      </c>
      <c r="AP67" s="73" t="str">
        <v/>
      </c>
      <c r="AQ67" s="73" t="str">
        <v/>
      </c>
      <c r="AR67" s="73" t="str">
        <v/>
      </c>
      <c r="AS67" s="168" t="str">
        <v/>
      </c>
      <c r="AT67" s="169" t="str">
        <v/>
      </c>
      <c r="AU67" s="170" t="str">
        <v/>
      </c>
      <c r="AV67" s="171" t="str">
        <v/>
      </c>
      <c r="AW67" s="170"/>
    </row>
    <row r="68" spans="1:49">
      <c r="A68" s="76"/>
      <c r="B68" s="76"/>
      <c r="C68" s="81"/>
      <c r="D68" s="70"/>
      <c r="E68" s="167"/>
      <c r="F68" s="70"/>
      <c r="G68" s="167"/>
      <c r="H68" s="70"/>
      <c r="I68" s="167"/>
      <c r="J68" s="70"/>
      <c r="K68" s="167"/>
      <c r="L68" s="70"/>
      <c r="M68" s="73" t="str">
        <v/>
      </c>
      <c r="N68" s="73" t="str">
        <v/>
      </c>
      <c r="O68" s="73" t="str">
        <v/>
      </c>
      <c r="P68" s="73" t="str">
        <v/>
      </c>
      <c r="Q68" s="81"/>
      <c r="R68" s="70"/>
      <c r="S68" s="167"/>
      <c r="T68" s="70"/>
      <c r="U68" s="167"/>
      <c r="V68" s="70"/>
      <c r="W68" s="167"/>
      <c r="X68" s="70"/>
      <c r="Y68" s="167"/>
      <c r="Z68" s="70"/>
      <c r="AA68" s="73" t="str">
        <v/>
      </c>
      <c r="AB68" s="73" t="str">
        <v/>
      </c>
      <c r="AC68" s="73" t="str">
        <v/>
      </c>
      <c r="AD68" s="73" t="str">
        <v/>
      </c>
      <c r="AE68" s="81"/>
      <c r="AF68" s="70"/>
      <c r="AG68" s="167"/>
      <c r="AH68" s="70"/>
      <c r="AI68" s="167"/>
      <c r="AJ68" s="70"/>
      <c r="AK68" s="167"/>
      <c r="AL68" s="70"/>
      <c r="AM68" s="167"/>
      <c r="AN68" s="70"/>
      <c r="AO68" s="73" t="str">
        <v/>
      </c>
      <c r="AP68" s="73" t="str">
        <v/>
      </c>
      <c r="AQ68" s="73" t="str">
        <v/>
      </c>
      <c r="AR68" s="73" t="str">
        <v/>
      </c>
      <c r="AS68" s="168" t="str">
        <v/>
      </c>
      <c r="AT68" s="169" t="str">
        <v/>
      </c>
      <c r="AU68" s="170" t="str">
        <v/>
      </c>
      <c r="AV68" s="171" t="str">
        <v/>
      </c>
      <c r="AW68" s="170"/>
    </row>
    <row r="69" spans="1:49">
      <c r="A69" s="76"/>
      <c r="B69" s="76"/>
      <c r="C69" s="81"/>
      <c r="D69" s="70"/>
      <c r="E69" s="167"/>
      <c r="F69" s="70"/>
      <c r="G69" s="167"/>
      <c r="H69" s="70"/>
      <c r="I69" s="167"/>
      <c r="J69" s="70"/>
      <c r="K69" s="167"/>
      <c r="L69" s="70"/>
      <c r="M69" s="73" t="str">
        <v/>
      </c>
      <c r="N69" s="73" t="str">
        <v/>
      </c>
      <c r="O69" s="73" t="str">
        <v/>
      </c>
      <c r="P69" s="73" t="str">
        <v/>
      </c>
      <c r="Q69" s="81"/>
      <c r="R69" s="70"/>
      <c r="S69" s="167"/>
      <c r="T69" s="70"/>
      <c r="U69" s="167"/>
      <c r="V69" s="70"/>
      <c r="W69" s="167"/>
      <c r="X69" s="70"/>
      <c r="Y69" s="167"/>
      <c r="Z69" s="70"/>
      <c r="AA69" s="73" t="str">
        <v/>
      </c>
      <c r="AB69" s="73" t="str">
        <v/>
      </c>
      <c r="AC69" s="73" t="str">
        <v/>
      </c>
      <c r="AD69" s="73" t="str">
        <v/>
      </c>
      <c r="AE69" s="81"/>
      <c r="AF69" s="70"/>
      <c r="AG69" s="167"/>
      <c r="AH69" s="70"/>
      <c r="AI69" s="167"/>
      <c r="AJ69" s="70"/>
      <c r="AK69" s="167"/>
      <c r="AL69" s="70"/>
      <c r="AM69" s="167"/>
      <c r="AN69" s="70"/>
      <c r="AO69" s="73" t="str">
        <v/>
      </c>
      <c r="AP69" s="73" t="str">
        <v/>
      </c>
      <c r="AQ69" s="73" t="str">
        <v/>
      </c>
      <c r="AR69" s="73" t="str">
        <v/>
      </c>
      <c r="AS69" s="168" t="str">
        <v/>
      </c>
      <c r="AT69" s="169" t="str">
        <v/>
      </c>
      <c r="AU69" s="170" t="str">
        <v/>
      </c>
      <c r="AV69" s="171" t="str">
        <v/>
      </c>
      <c r="AW69" s="170"/>
    </row>
    <row r="70" spans="1:49">
      <c r="A70" s="76"/>
      <c r="B70" s="76"/>
      <c r="C70" s="81"/>
      <c r="D70" s="70"/>
      <c r="E70" s="167"/>
      <c r="F70" s="70"/>
      <c r="G70" s="167"/>
      <c r="H70" s="70"/>
      <c r="I70" s="167"/>
      <c r="J70" s="70"/>
      <c r="K70" s="167"/>
      <c r="L70" s="70"/>
      <c r="M70" s="73" t="str">
        <v/>
      </c>
      <c r="N70" s="73" t="str">
        <v/>
      </c>
      <c r="O70" s="73" t="str">
        <v/>
      </c>
      <c r="P70" s="73" t="str">
        <v/>
      </c>
      <c r="Q70" s="81"/>
      <c r="R70" s="70"/>
      <c r="S70" s="167"/>
      <c r="T70" s="70"/>
      <c r="U70" s="167"/>
      <c r="V70" s="70"/>
      <c r="W70" s="167"/>
      <c r="X70" s="70"/>
      <c r="Y70" s="167"/>
      <c r="Z70" s="70"/>
      <c r="AA70" s="73" t="str">
        <v/>
      </c>
      <c r="AB70" s="73" t="str">
        <v/>
      </c>
      <c r="AC70" s="73" t="str">
        <v/>
      </c>
      <c r="AD70" s="73" t="str">
        <v/>
      </c>
      <c r="AE70" s="81"/>
      <c r="AF70" s="70"/>
      <c r="AG70" s="167"/>
      <c r="AH70" s="70"/>
      <c r="AI70" s="167"/>
      <c r="AJ70" s="70"/>
      <c r="AK70" s="167"/>
      <c r="AL70" s="70"/>
      <c r="AM70" s="167"/>
      <c r="AN70" s="70"/>
      <c r="AO70" s="73" t="str">
        <v/>
      </c>
      <c r="AP70" s="73" t="str">
        <v/>
      </c>
      <c r="AQ70" s="73" t="str">
        <v/>
      </c>
      <c r="AR70" s="73" t="str">
        <v/>
      </c>
      <c r="AS70" s="168" t="str">
        <v/>
      </c>
      <c r="AT70" s="169" t="str">
        <v/>
      </c>
      <c r="AU70" s="170" t="str">
        <v/>
      </c>
      <c r="AV70" s="171" t="str">
        <v/>
      </c>
      <c r="AW70" s="170"/>
    </row>
    <row r="71" spans="1:49">
      <c r="A71" s="76"/>
      <c r="B71" s="76"/>
      <c r="C71" s="81"/>
      <c r="D71" s="70"/>
      <c r="E71" s="167"/>
      <c r="F71" s="70"/>
      <c r="G71" s="167"/>
      <c r="H71" s="70"/>
      <c r="I71" s="167"/>
      <c r="J71" s="70"/>
      <c r="K71" s="167"/>
      <c r="L71" s="70"/>
      <c r="M71" s="73" t="str">
        <v/>
      </c>
      <c r="N71" s="73" t="str">
        <v/>
      </c>
      <c r="O71" s="73" t="str">
        <v/>
      </c>
      <c r="P71" s="73" t="str">
        <v/>
      </c>
      <c r="Q71" s="81"/>
      <c r="R71" s="70"/>
      <c r="S71" s="167"/>
      <c r="T71" s="70"/>
      <c r="U71" s="167"/>
      <c r="V71" s="70"/>
      <c r="W71" s="167"/>
      <c r="X71" s="70"/>
      <c r="Y71" s="167"/>
      <c r="Z71" s="70"/>
      <c r="AA71" s="73" t="str">
        <v/>
      </c>
      <c r="AB71" s="73" t="str">
        <v/>
      </c>
      <c r="AC71" s="73" t="str">
        <v/>
      </c>
      <c r="AD71" s="73" t="str">
        <v/>
      </c>
      <c r="AE71" s="81"/>
      <c r="AF71" s="70"/>
      <c r="AG71" s="167"/>
      <c r="AH71" s="70"/>
      <c r="AI71" s="167"/>
      <c r="AJ71" s="70"/>
      <c r="AK71" s="167"/>
      <c r="AL71" s="70"/>
      <c r="AM71" s="167"/>
      <c r="AN71" s="70"/>
      <c r="AO71" s="73" t="str">
        <v/>
      </c>
      <c r="AP71" s="73" t="str">
        <v/>
      </c>
      <c r="AQ71" s="73" t="str">
        <v/>
      </c>
      <c r="AR71" s="73" t="str">
        <v/>
      </c>
      <c r="AS71" s="168" t="str">
        <v/>
      </c>
      <c r="AT71" s="169" t="str">
        <v/>
      </c>
      <c r="AU71" s="170" t="str">
        <v/>
      </c>
      <c r="AV71" s="171" t="str">
        <v/>
      </c>
      <c r="AW71" s="170"/>
    </row>
    <row r="72" spans="1:49">
      <c r="A72" s="76"/>
      <c r="B72" s="76"/>
      <c r="C72" s="81"/>
      <c r="D72" s="70"/>
      <c r="E72" s="167"/>
      <c r="F72" s="70"/>
      <c r="G72" s="167"/>
      <c r="H72" s="70"/>
      <c r="I72" s="167"/>
      <c r="J72" s="70"/>
      <c r="K72" s="167"/>
      <c r="L72" s="70"/>
      <c r="M72" s="73" t="str">
        <v/>
      </c>
      <c r="N72" s="73" t="str">
        <v/>
      </c>
      <c r="O72" s="73" t="str">
        <v/>
      </c>
      <c r="P72" s="73" t="str">
        <v/>
      </c>
      <c r="Q72" s="81"/>
      <c r="R72" s="70"/>
      <c r="S72" s="167"/>
      <c r="T72" s="70"/>
      <c r="U72" s="167"/>
      <c r="V72" s="70"/>
      <c r="W72" s="167"/>
      <c r="X72" s="70"/>
      <c r="Y72" s="167"/>
      <c r="Z72" s="70"/>
      <c r="AA72" s="73" t="str">
        <v/>
      </c>
      <c r="AB72" s="73" t="str">
        <v/>
      </c>
      <c r="AC72" s="73" t="str">
        <v/>
      </c>
      <c r="AD72" s="73" t="str">
        <v/>
      </c>
      <c r="AE72" s="81"/>
      <c r="AF72" s="70"/>
      <c r="AG72" s="167"/>
      <c r="AH72" s="70"/>
      <c r="AI72" s="167"/>
      <c r="AJ72" s="70"/>
      <c r="AK72" s="167"/>
      <c r="AL72" s="70"/>
      <c r="AM72" s="167"/>
      <c r="AN72" s="70"/>
      <c r="AO72" s="73" t="str">
        <v/>
      </c>
      <c r="AP72" s="73" t="str">
        <v/>
      </c>
      <c r="AQ72" s="73" t="str">
        <v/>
      </c>
      <c r="AR72" s="73" t="str">
        <v/>
      </c>
      <c r="AS72" s="168" t="str">
        <v/>
      </c>
      <c r="AT72" s="169" t="str">
        <v/>
      </c>
      <c r="AU72" s="170" t="str">
        <v/>
      </c>
      <c r="AV72" s="171" t="str">
        <v/>
      </c>
      <c r="AW72" s="170"/>
    </row>
    <row r="73" spans="1:49">
      <c r="A73" s="76"/>
      <c r="B73" s="76"/>
      <c r="C73" s="81"/>
      <c r="D73" s="70"/>
      <c r="E73" s="167"/>
      <c r="F73" s="70"/>
      <c r="G73" s="167"/>
      <c r="H73" s="70"/>
      <c r="I73" s="167"/>
      <c r="J73" s="70"/>
      <c r="K73" s="167"/>
      <c r="L73" s="70"/>
      <c r="M73" s="73" t="str">
        <v/>
      </c>
      <c r="N73" s="73" t="str">
        <v/>
      </c>
      <c r="O73" s="73" t="str">
        <v/>
      </c>
      <c r="P73" s="73" t="str">
        <v/>
      </c>
      <c r="Q73" s="81"/>
      <c r="R73" s="70"/>
      <c r="S73" s="167"/>
      <c r="T73" s="70"/>
      <c r="U73" s="167"/>
      <c r="V73" s="70"/>
      <c r="W73" s="167"/>
      <c r="X73" s="70"/>
      <c r="Y73" s="167"/>
      <c r="Z73" s="70"/>
      <c r="AA73" s="73" t="str">
        <v/>
      </c>
      <c r="AB73" s="73" t="str">
        <v/>
      </c>
      <c r="AC73" s="73" t="str">
        <v/>
      </c>
      <c r="AD73" s="73" t="str">
        <v/>
      </c>
      <c r="AE73" s="81"/>
      <c r="AF73" s="70"/>
      <c r="AG73" s="167"/>
      <c r="AH73" s="70"/>
      <c r="AI73" s="167"/>
      <c r="AJ73" s="70"/>
      <c r="AK73" s="167"/>
      <c r="AL73" s="70"/>
      <c r="AM73" s="167"/>
      <c r="AN73" s="70"/>
      <c r="AO73" s="73" t="str">
        <v/>
      </c>
      <c r="AP73" s="73" t="str">
        <v/>
      </c>
      <c r="AQ73" s="73" t="str">
        <v/>
      </c>
      <c r="AR73" s="73" t="str">
        <v/>
      </c>
      <c r="AS73" s="168" t="str">
        <v/>
      </c>
      <c r="AT73" s="169" t="str">
        <v/>
      </c>
      <c r="AU73" s="170" t="str">
        <v/>
      </c>
      <c r="AV73" s="171" t="str">
        <v/>
      </c>
      <c r="AW73" s="170"/>
    </row>
    <row r="74" spans="1:49">
      <c r="A74" s="76"/>
      <c r="B74" s="76"/>
      <c r="C74" s="81"/>
      <c r="D74" s="70"/>
      <c r="E74" s="167"/>
      <c r="F74" s="70"/>
      <c r="G74" s="167"/>
      <c r="H74" s="70"/>
      <c r="I74" s="167"/>
      <c r="J74" s="70"/>
      <c r="K74" s="167"/>
      <c r="L74" s="70"/>
      <c r="M74" s="73" t="str">
        <v/>
      </c>
      <c r="N74" s="73" t="str">
        <v/>
      </c>
      <c r="O74" s="73" t="str">
        <v/>
      </c>
      <c r="P74" s="73" t="str">
        <v/>
      </c>
      <c r="Q74" s="81"/>
      <c r="R74" s="70"/>
      <c r="S74" s="167"/>
      <c r="T74" s="70"/>
      <c r="U74" s="167"/>
      <c r="V74" s="70"/>
      <c r="W74" s="167"/>
      <c r="X74" s="70"/>
      <c r="Y74" s="167"/>
      <c r="Z74" s="70"/>
      <c r="AA74" s="73" t="str">
        <v/>
      </c>
      <c r="AB74" s="73" t="str">
        <v/>
      </c>
      <c r="AC74" s="73" t="str">
        <v/>
      </c>
      <c r="AD74" s="73" t="str">
        <v/>
      </c>
      <c r="AE74" s="81"/>
      <c r="AF74" s="70"/>
      <c r="AG74" s="167"/>
      <c r="AH74" s="70"/>
      <c r="AI74" s="167"/>
      <c r="AJ74" s="70"/>
      <c r="AK74" s="167"/>
      <c r="AL74" s="70"/>
      <c r="AM74" s="167"/>
      <c r="AN74" s="70"/>
      <c r="AO74" s="73" t="str">
        <v/>
      </c>
      <c r="AP74" s="73" t="str">
        <v/>
      </c>
      <c r="AQ74" s="73" t="str">
        <v/>
      </c>
      <c r="AR74" s="73" t="str">
        <v/>
      </c>
      <c r="AS74" s="168" t="str">
        <v/>
      </c>
      <c r="AT74" s="169" t="str">
        <v/>
      </c>
      <c r="AU74" s="170" t="str">
        <v/>
      </c>
      <c r="AV74" s="171" t="str">
        <v/>
      </c>
      <c r="AW74" s="170"/>
    </row>
    <row r="75" spans="1:49">
      <c r="A75" s="76"/>
      <c r="B75" s="76"/>
      <c r="C75" s="81"/>
      <c r="D75" s="70"/>
      <c r="E75" s="167"/>
      <c r="F75" s="70"/>
      <c r="G75" s="167"/>
      <c r="H75" s="70"/>
      <c r="I75" s="167"/>
      <c r="J75" s="70"/>
      <c r="K75" s="167"/>
      <c r="L75" s="70"/>
      <c r="M75" s="73" t="str">
        <v/>
      </c>
      <c r="N75" s="73" t="str">
        <v/>
      </c>
      <c r="O75" s="73" t="str">
        <v/>
      </c>
      <c r="P75" s="73" t="str">
        <v/>
      </c>
      <c r="Q75" s="81"/>
      <c r="R75" s="70"/>
      <c r="S75" s="167"/>
      <c r="T75" s="70"/>
      <c r="U75" s="167"/>
      <c r="V75" s="70"/>
      <c r="W75" s="167"/>
      <c r="X75" s="70"/>
      <c r="Y75" s="167"/>
      <c r="Z75" s="70"/>
      <c r="AA75" s="73" t="str">
        <v/>
      </c>
      <c r="AB75" s="73" t="str">
        <v/>
      </c>
      <c r="AC75" s="73" t="str">
        <v/>
      </c>
      <c r="AD75" s="73" t="str">
        <v/>
      </c>
      <c r="AE75" s="81"/>
      <c r="AF75" s="70"/>
      <c r="AG75" s="167"/>
      <c r="AH75" s="70"/>
      <c r="AI75" s="167"/>
      <c r="AJ75" s="70"/>
      <c r="AK75" s="167"/>
      <c r="AL75" s="70"/>
      <c r="AM75" s="167"/>
      <c r="AN75" s="70"/>
      <c r="AO75" s="73" t="str">
        <v/>
      </c>
      <c r="AP75" s="73" t="str">
        <v/>
      </c>
      <c r="AQ75" s="73" t="str">
        <v/>
      </c>
      <c r="AR75" s="73" t="str">
        <v/>
      </c>
      <c r="AS75" s="168" t="str">
        <v/>
      </c>
      <c r="AT75" s="169" t="str">
        <v/>
      </c>
      <c r="AU75" s="170" t="str">
        <v/>
      </c>
      <c r="AV75" s="171" t="str">
        <v/>
      </c>
      <c r="AW75" s="170"/>
    </row>
    <row r="76" spans="1:49">
      <c r="A76" s="76"/>
      <c r="B76" s="76"/>
      <c r="C76" s="81"/>
      <c r="D76" s="70"/>
      <c r="E76" s="167"/>
      <c r="F76" s="70"/>
      <c r="G76" s="167"/>
      <c r="H76" s="70"/>
      <c r="I76" s="167"/>
      <c r="J76" s="70"/>
      <c r="K76" s="167"/>
      <c r="L76" s="70"/>
      <c r="M76" s="73" t="str">
        <v/>
      </c>
      <c r="N76" s="73" t="str">
        <v/>
      </c>
      <c r="O76" s="73" t="str">
        <v/>
      </c>
      <c r="P76" s="73" t="str">
        <v/>
      </c>
      <c r="Q76" s="81"/>
      <c r="R76" s="70"/>
      <c r="S76" s="167"/>
      <c r="T76" s="70"/>
      <c r="U76" s="167"/>
      <c r="V76" s="70"/>
      <c r="W76" s="167"/>
      <c r="X76" s="70"/>
      <c r="Y76" s="167"/>
      <c r="Z76" s="70"/>
      <c r="AA76" s="73" t="str">
        <v/>
      </c>
      <c r="AB76" s="73" t="str">
        <v/>
      </c>
      <c r="AC76" s="73" t="str">
        <v/>
      </c>
      <c r="AD76" s="73" t="str">
        <v/>
      </c>
      <c r="AE76" s="81"/>
      <c r="AF76" s="70"/>
      <c r="AG76" s="167"/>
      <c r="AH76" s="70"/>
      <c r="AI76" s="167"/>
      <c r="AJ76" s="70"/>
      <c r="AK76" s="167"/>
      <c r="AL76" s="70"/>
      <c r="AM76" s="167"/>
      <c r="AN76" s="70"/>
      <c r="AO76" s="73" t="str">
        <v/>
      </c>
      <c r="AP76" s="73" t="str">
        <v/>
      </c>
      <c r="AQ76" s="73" t="str">
        <v/>
      </c>
      <c r="AR76" s="73" t="str">
        <v/>
      </c>
      <c r="AS76" s="168" t="str">
        <v/>
      </c>
      <c r="AT76" s="169" t="str">
        <v/>
      </c>
      <c r="AU76" s="170" t="str">
        <v/>
      </c>
      <c r="AV76" s="171" t="str">
        <v/>
      </c>
      <c r="AW76" s="170"/>
    </row>
    <row r="77" spans="1:49">
      <c r="A77" s="76"/>
      <c r="B77" s="76"/>
      <c r="C77" s="81"/>
      <c r="D77" s="70"/>
      <c r="E77" s="167"/>
      <c r="F77" s="70"/>
      <c r="G77" s="167"/>
      <c r="H77" s="70"/>
      <c r="I77" s="167"/>
      <c r="J77" s="70"/>
      <c r="K77" s="167"/>
      <c r="L77" s="70"/>
      <c r="M77" s="73" t="str">
        <v/>
      </c>
      <c r="N77" s="73" t="str">
        <v/>
      </c>
      <c r="O77" s="73" t="str">
        <v/>
      </c>
      <c r="P77" s="73" t="str">
        <v/>
      </c>
      <c r="Q77" s="81"/>
      <c r="R77" s="70"/>
      <c r="S77" s="167"/>
      <c r="T77" s="70"/>
      <c r="U77" s="167"/>
      <c r="V77" s="70"/>
      <c r="W77" s="167"/>
      <c r="X77" s="70"/>
      <c r="Y77" s="167"/>
      <c r="Z77" s="70"/>
      <c r="AA77" s="73" t="str">
        <v/>
      </c>
      <c r="AB77" s="73" t="str">
        <v/>
      </c>
      <c r="AC77" s="73" t="str">
        <v/>
      </c>
      <c r="AD77" s="73" t="str">
        <v/>
      </c>
      <c r="AE77" s="81"/>
      <c r="AF77" s="70"/>
      <c r="AG77" s="167"/>
      <c r="AH77" s="70"/>
      <c r="AI77" s="167"/>
      <c r="AJ77" s="70"/>
      <c r="AK77" s="167"/>
      <c r="AL77" s="70"/>
      <c r="AM77" s="167"/>
      <c r="AN77" s="70"/>
      <c r="AO77" s="73" t="str">
        <v/>
      </c>
      <c r="AP77" s="73" t="str">
        <v/>
      </c>
      <c r="AQ77" s="73" t="str">
        <v/>
      </c>
      <c r="AR77" s="73" t="str">
        <v/>
      </c>
      <c r="AS77" s="168" t="str">
        <v/>
      </c>
      <c r="AT77" s="169" t="str">
        <v/>
      </c>
      <c r="AU77" s="170" t="str">
        <v/>
      </c>
      <c r="AV77" s="171" t="str">
        <v/>
      </c>
      <c r="AW77" s="170"/>
    </row>
    <row r="78" spans="1:49">
      <c r="A78" s="76"/>
      <c r="B78" s="76"/>
      <c r="C78" s="81"/>
      <c r="D78" s="70"/>
      <c r="E78" s="167"/>
      <c r="F78" s="70"/>
      <c r="G78" s="167"/>
      <c r="H78" s="70"/>
      <c r="I78" s="167"/>
      <c r="J78" s="70"/>
      <c r="K78" s="167"/>
      <c r="L78" s="70"/>
      <c r="M78" s="73" t="str">
        <v/>
      </c>
      <c r="N78" s="73" t="str">
        <v/>
      </c>
      <c r="O78" s="73" t="str">
        <v/>
      </c>
      <c r="P78" s="73" t="str">
        <v/>
      </c>
      <c r="Q78" s="81"/>
      <c r="R78" s="70"/>
      <c r="S78" s="167"/>
      <c r="T78" s="70"/>
      <c r="U78" s="167"/>
      <c r="V78" s="70"/>
      <c r="W78" s="167"/>
      <c r="X78" s="70"/>
      <c r="Y78" s="167"/>
      <c r="Z78" s="70"/>
      <c r="AA78" s="73" t="str">
        <v/>
      </c>
      <c r="AB78" s="73" t="str">
        <v/>
      </c>
      <c r="AC78" s="73" t="str">
        <v/>
      </c>
      <c r="AD78" s="73" t="str">
        <v/>
      </c>
      <c r="AE78" s="81"/>
      <c r="AF78" s="70"/>
      <c r="AG78" s="167"/>
      <c r="AH78" s="70"/>
      <c r="AI78" s="167"/>
      <c r="AJ78" s="70"/>
      <c r="AK78" s="167"/>
      <c r="AL78" s="70"/>
      <c r="AM78" s="167"/>
      <c r="AN78" s="70"/>
      <c r="AO78" s="73" t="str">
        <v/>
      </c>
      <c r="AP78" s="73" t="str">
        <v/>
      </c>
      <c r="AQ78" s="73" t="str">
        <v/>
      </c>
      <c r="AR78" s="73" t="str">
        <v/>
      </c>
      <c r="AS78" s="168" t="str">
        <v/>
      </c>
      <c r="AT78" s="169" t="str">
        <v/>
      </c>
      <c r="AU78" s="170" t="str">
        <v/>
      </c>
      <c r="AV78" s="171" t="str">
        <v/>
      </c>
      <c r="AW78" s="170"/>
    </row>
    <row r="79" spans="1:49">
      <c r="A79" s="76"/>
      <c r="B79" s="76"/>
      <c r="C79" s="81"/>
      <c r="D79" s="70"/>
      <c r="E79" s="167"/>
      <c r="F79" s="70"/>
      <c r="G79" s="167"/>
      <c r="H79" s="70"/>
      <c r="I79" s="167"/>
      <c r="J79" s="70"/>
      <c r="K79" s="167"/>
      <c r="L79" s="70"/>
      <c r="M79" s="73" t="str">
        <v/>
      </c>
      <c r="N79" s="73" t="str">
        <v/>
      </c>
      <c r="O79" s="73" t="str">
        <v/>
      </c>
      <c r="P79" s="73" t="str">
        <v/>
      </c>
      <c r="Q79" s="81"/>
      <c r="R79" s="70"/>
      <c r="S79" s="167"/>
      <c r="T79" s="70"/>
      <c r="U79" s="167"/>
      <c r="V79" s="70"/>
      <c r="W79" s="167"/>
      <c r="X79" s="70"/>
      <c r="Y79" s="167"/>
      <c r="Z79" s="70"/>
      <c r="AA79" s="73" t="str">
        <v/>
      </c>
      <c r="AB79" s="73" t="str">
        <v/>
      </c>
      <c r="AC79" s="73" t="str">
        <v/>
      </c>
      <c r="AD79" s="73" t="str">
        <v/>
      </c>
      <c r="AE79" s="81"/>
      <c r="AF79" s="70"/>
      <c r="AG79" s="167"/>
      <c r="AH79" s="70"/>
      <c r="AI79" s="167"/>
      <c r="AJ79" s="70"/>
      <c r="AK79" s="167"/>
      <c r="AL79" s="70"/>
      <c r="AM79" s="167"/>
      <c r="AN79" s="70"/>
      <c r="AO79" s="73" t="str">
        <v/>
      </c>
      <c r="AP79" s="73" t="str">
        <v/>
      </c>
      <c r="AQ79" s="73" t="str">
        <v/>
      </c>
      <c r="AR79" s="73" t="str">
        <v/>
      </c>
      <c r="AS79" s="168" t="str">
        <v/>
      </c>
      <c r="AT79" s="169" t="str">
        <v/>
      </c>
      <c r="AU79" s="170" t="str">
        <v/>
      </c>
      <c r="AV79" s="171" t="str">
        <v/>
      </c>
      <c r="AW79" s="170"/>
    </row>
    <row r="80" spans="1:49">
      <c r="A80" s="76"/>
      <c r="B80" s="76"/>
      <c r="C80" s="81"/>
      <c r="D80" s="70"/>
      <c r="E80" s="167"/>
      <c r="F80" s="70"/>
      <c r="G80" s="167"/>
      <c r="H80" s="70"/>
      <c r="I80" s="167"/>
      <c r="J80" s="70"/>
      <c r="K80" s="167"/>
      <c r="L80" s="70"/>
      <c r="M80" s="73" t="str">
        <v/>
      </c>
      <c r="N80" s="73" t="str">
        <v/>
      </c>
      <c r="O80" s="73" t="str">
        <v/>
      </c>
      <c r="P80" s="73" t="str">
        <v/>
      </c>
      <c r="Q80" s="81"/>
      <c r="R80" s="70"/>
      <c r="S80" s="167"/>
      <c r="T80" s="70"/>
      <c r="U80" s="167"/>
      <c r="V80" s="70"/>
      <c r="W80" s="167"/>
      <c r="X80" s="70"/>
      <c r="Y80" s="167"/>
      <c r="Z80" s="70"/>
      <c r="AA80" s="73" t="str">
        <v/>
      </c>
      <c r="AB80" s="73" t="str">
        <v/>
      </c>
      <c r="AC80" s="73" t="str">
        <v/>
      </c>
      <c r="AD80" s="73" t="str">
        <v/>
      </c>
      <c r="AE80" s="81"/>
      <c r="AF80" s="70"/>
      <c r="AG80" s="167"/>
      <c r="AH80" s="70"/>
      <c r="AI80" s="167"/>
      <c r="AJ80" s="70"/>
      <c r="AK80" s="167"/>
      <c r="AL80" s="70"/>
      <c r="AM80" s="167"/>
      <c r="AN80" s="70"/>
      <c r="AO80" s="73" t="str">
        <v/>
      </c>
      <c r="AP80" s="73" t="str">
        <v/>
      </c>
      <c r="AQ80" s="73" t="str">
        <v/>
      </c>
      <c r="AR80" s="73" t="str">
        <v/>
      </c>
      <c r="AS80" s="168" t="str">
        <v/>
      </c>
      <c r="AT80" s="169" t="str">
        <v/>
      </c>
      <c r="AU80" s="170" t="str">
        <v/>
      </c>
      <c r="AV80" s="171" t="str">
        <v/>
      </c>
      <c r="AW80" s="170"/>
    </row>
    <row r="81" spans="1:49">
      <c r="A81" s="76"/>
      <c r="B81" s="76"/>
      <c r="C81" s="81"/>
      <c r="D81" s="70"/>
      <c r="E81" s="167"/>
      <c r="F81" s="70"/>
      <c r="G81" s="167"/>
      <c r="H81" s="70"/>
      <c r="I81" s="167"/>
      <c r="J81" s="70"/>
      <c r="K81" s="167"/>
      <c r="L81" s="70"/>
      <c r="M81" s="73" t="str">
        <v/>
      </c>
      <c r="N81" s="73" t="str">
        <v/>
      </c>
      <c r="O81" s="73" t="str">
        <v/>
      </c>
      <c r="P81" s="73" t="str">
        <v/>
      </c>
      <c r="Q81" s="81"/>
      <c r="R81" s="70"/>
      <c r="S81" s="167"/>
      <c r="T81" s="70"/>
      <c r="U81" s="167"/>
      <c r="V81" s="70"/>
      <c r="W81" s="167"/>
      <c r="X81" s="70"/>
      <c r="Y81" s="167"/>
      <c r="Z81" s="70"/>
      <c r="AA81" s="73" t="str">
        <v/>
      </c>
      <c r="AB81" s="73" t="str">
        <v/>
      </c>
      <c r="AC81" s="73" t="str">
        <v/>
      </c>
      <c r="AD81" s="73" t="str">
        <v/>
      </c>
      <c r="AE81" s="81"/>
      <c r="AF81" s="70"/>
      <c r="AG81" s="167"/>
      <c r="AH81" s="70"/>
      <c r="AI81" s="167"/>
      <c r="AJ81" s="70"/>
      <c r="AK81" s="167"/>
      <c r="AL81" s="70"/>
      <c r="AM81" s="167"/>
      <c r="AN81" s="70"/>
      <c r="AO81" s="73" t="str">
        <v/>
      </c>
      <c r="AP81" s="73" t="str">
        <v/>
      </c>
      <c r="AQ81" s="73" t="str">
        <v/>
      </c>
      <c r="AR81" s="73" t="str">
        <v/>
      </c>
      <c r="AS81" s="168" t="str">
        <v/>
      </c>
      <c r="AT81" s="169" t="str">
        <v/>
      </c>
      <c r="AU81" s="170" t="str">
        <v/>
      </c>
      <c r="AV81" s="171" t="str">
        <v/>
      </c>
      <c r="AW81" s="170"/>
    </row>
    <row r="82" spans="1:49">
      <c r="A82" s="76"/>
      <c r="B82" s="76"/>
      <c r="C82" s="81"/>
      <c r="D82" s="70"/>
      <c r="E82" s="167"/>
      <c r="F82" s="70"/>
      <c r="G82" s="167"/>
      <c r="H82" s="70"/>
      <c r="I82" s="167"/>
      <c r="J82" s="70"/>
      <c r="K82" s="167"/>
      <c r="L82" s="70"/>
      <c r="M82" s="73" t="str">
        <v/>
      </c>
      <c r="N82" s="73" t="str">
        <v/>
      </c>
      <c r="O82" s="73" t="str">
        <v/>
      </c>
      <c r="P82" s="73" t="str">
        <v/>
      </c>
      <c r="Q82" s="81"/>
      <c r="R82" s="70"/>
      <c r="S82" s="167"/>
      <c r="T82" s="70"/>
      <c r="U82" s="167"/>
      <c r="V82" s="70"/>
      <c r="W82" s="167"/>
      <c r="X82" s="70"/>
      <c r="Y82" s="167"/>
      <c r="Z82" s="70"/>
      <c r="AA82" s="73" t="str">
        <v/>
      </c>
      <c r="AB82" s="73" t="str">
        <v/>
      </c>
      <c r="AC82" s="73" t="str">
        <v/>
      </c>
      <c r="AD82" s="73" t="str">
        <v/>
      </c>
      <c r="AE82" s="81"/>
      <c r="AF82" s="70"/>
      <c r="AG82" s="167"/>
      <c r="AH82" s="70"/>
      <c r="AI82" s="167"/>
      <c r="AJ82" s="70"/>
      <c r="AK82" s="167"/>
      <c r="AL82" s="70"/>
      <c r="AM82" s="167"/>
      <c r="AN82" s="70"/>
      <c r="AO82" s="73" t="str">
        <v/>
      </c>
      <c r="AP82" s="73" t="str">
        <v/>
      </c>
      <c r="AQ82" s="73" t="str">
        <v/>
      </c>
      <c r="AR82" s="73" t="str">
        <v/>
      </c>
      <c r="AS82" s="168" t="str">
        <v/>
      </c>
      <c r="AT82" s="169" t="str">
        <v/>
      </c>
      <c r="AU82" s="170" t="str">
        <v/>
      </c>
      <c r="AV82" s="171" t="str">
        <v/>
      </c>
      <c r="AW82" s="170"/>
    </row>
    <row r="83" spans="1:49">
      <c r="A83" s="76"/>
      <c r="B83" s="76"/>
      <c r="C83" s="81"/>
      <c r="D83" s="70"/>
      <c r="E83" s="167"/>
      <c r="F83" s="70"/>
      <c r="G83" s="167"/>
      <c r="H83" s="70"/>
      <c r="I83" s="167"/>
      <c r="J83" s="70"/>
      <c r="K83" s="167"/>
      <c r="L83" s="70"/>
      <c r="M83" s="73" t="str">
        <v/>
      </c>
      <c r="N83" s="73" t="str">
        <v/>
      </c>
      <c r="O83" s="73" t="str">
        <v/>
      </c>
      <c r="P83" s="73" t="str">
        <v/>
      </c>
      <c r="Q83" s="81"/>
      <c r="R83" s="70"/>
      <c r="S83" s="167"/>
      <c r="T83" s="70"/>
      <c r="U83" s="167"/>
      <c r="V83" s="70"/>
      <c r="W83" s="167"/>
      <c r="X83" s="70"/>
      <c r="Y83" s="167"/>
      <c r="Z83" s="70"/>
      <c r="AA83" s="73" t="str">
        <v/>
      </c>
      <c r="AB83" s="73" t="str">
        <v/>
      </c>
      <c r="AC83" s="73" t="str">
        <v/>
      </c>
      <c r="AD83" s="73" t="str">
        <v/>
      </c>
      <c r="AE83" s="81"/>
      <c r="AF83" s="70"/>
      <c r="AG83" s="167"/>
      <c r="AH83" s="70"/>
      <c r="AI83" s="167"/>
      <c r="AJ83" s="70"/>
      <c r="AK83" s="167"/>
      <c r="AL83" s="70"/>
      <c r="AM83" s="167"/>
      <c r="AN83" s="70"/>
      <c r="AO83" s="73" t="str">
        <v/>
      </c>
      <c r="AP83" s="73" t="str">
        <v/>
      </c>
      <c r="AQ83" s="73" t="str">
        <v/>
      </c>
      <c r="AR83" s="73" t="str">
        <v/>
      </c>
      <c r="AS83" s="168" t="str">
        <v/>
      </c>
      <c r="AT83" s="169" t="str">
        <v/>
      </c>
      <c r="AU83" s="170" t="str">
        <v/>
      </c>
      <c r="AV83" s="171" t="str">
        <v/>
      </c>
      <c r="AW83" s="170"/>
    </row>
    <row r="84" spans="1:49">
      <c r="A84" s="76"/>
      <c r="B84" s="76"/>
      <c r="C84" s="81"/>
      <c r="D84" s="70"/>
      <c r="E84" s="167"/>
      <c r="F84" s="70"/>
      <c r="G84" s="167"/>
      <c r="H84" s="70"/>
      <c r="I84" s="167"/>
      <c r="J84" s="70"/>
      <c r="K84" s="167"/>
      <c r="L84" s="70"/>
      <c r="M84" s="73" t="str">
        <v/>
      </c>
      <c r="N84" s="73" t="str">
        <v/>
      </c>
      <c r="O84" s="73" t="str">
        <v/>
      </c>
      <c r="P84" s="73" t="str">
        <v/>
      </c>
      <c r="Q84" s="81"/>
      <c r="R84" s="70"/>
      <c r="S84" s="167"/>
      <c r="T84" s="70"/>
      <c r="U84" s="167"/>
      <c r="V84" s="70"/>
      <c r="W84" s="167"/>
      <c r="X84" s="70"/>
      <c r="Y84" s="167"/>
      <c r="Z84" s="70"/>
      <c r="AA84" s="73" t="str">
        <v/>
      </c>
      <c r="AB84" s="73" t="str">
        <v/>
      </c>
      <c r="AC84" s="73" t="str">
        <v/>
      </c>
      <c r="AD84" s="73" t="str">
        <v/>
      </c>
      <c r="AE84" s="81"/>
      <c r="AF84" s="70"/>
      <c r="AG84" s="167"/>
      <c r="AH84" s="70"/>
      <c r="AI84" s="167"/>
      <c r="AJ84" s="70"/>
      <c r="AK84" s="167"/>
      <c r="AL84" s="70"/>
      <c r="AM84" s="167"/>
      <c r="AN84" s="70"/>
      <c r="AO84" s="73" t="str">
        <v/>
      </c>
      <c r="AP84" s="73" t="str">
        <v/>
      </c>
      <c r="AQ84" s="73" t="str">
        <v/>
      </c>
      <c r="AR84" s="73" t="str">
        <v/>
      </c>
      <c r="AS84" s="168" t="str">
        <v/>
      </c>
      <c r="AT84" s="169" t="str">
        <v/>
      </c>
      <c r="AU84" s="170" t="str">
        <v/>
      </c>
      <c r="AV84" s="171" t="str">
        <v/>
      </c>
      <c r="AW84" s="170"/>
    </row>
    <row r="85" spans="1:49">
      <c r="A85" s="76"/>
      <c r="B85" s="76"/>
      <c r="C85" s="81"/>
      <c r="D85" s="70"/>
      <c r="E85" s="167"/>
      <c r="F85" s="70"/>
      <c r="G85" s="167"/>
      <c r="H85" s="70"/>
      <c r="I85" s="167"/>
      <c r="J85" s="70"/>
      <c r="K85" s="167"/>
      <c r="L85" s="70"/>
      <c r="M85" s="73" t="str">
        <v/>
      </c>
      <c r="N85" s="73" t="str">
        <v/>
      </c>
      <c r="O85" s="73" t="str">
        <v/>
      </c>
      <c r="P85" s="73" t="str">
        <v/>
      </c>
      <c r="Q85" s="81"/>
      <c r="R85" s="70"/>
      <c r="S85" s="167"/>
      <c r="T85" s="70"/>
      <c r="U85" s="167"/>
      <c r="V85" s="70"/>
      <c r="W85" s="167"/>
      <c r="X85" s="70"/>
      <c r="Y85" s="167"/>
      <c r="Z85" s="70"/>
      <c r="AA85" s="73" t="str">
        <v/>
      </c>
      <c r="AB85" s="73" t="str">
        <v/>
      </c>
      <c r="AC85" s="73" t="str">
        <v/>
      </c>
      <c r="AD85" s="73" t="str">
        <v/>
      </c>
      <c r="AE85" s="81"/>
      <c r="AF85" s="70"/>
      <c r="AG85" s="167"/>
      <c r="AH85" s="70"/>
      <c r="AI85" s="167"/>
      <c r="AJ85" s="70"/>
      <c r="AK85" s="167"/>
      <c r="AL85" s="70"/>
      <c r="AM85" s="167"/>
      <c r="AN85" s="70"/>
      <c r="AO85" s="73" t="str">
        <v/>
      </c>
      <c r="AP85" s="73" t="str">
        <v/>
      </c>
      <c r="AQ85" s="73" t="str">
        <v/>
      </c>
      <c r="AR85" s="73" t="str">
        <v/>
      </c>
      <c r="AS85" s="168" t="str">
        <v/>
      </c>
      <c r="AT85" s="169" t="str">
        <v/>
      </c>
      <c r="AU85" s="170" t="str">
        <v/>
      </c>
      <c r="AV85" s="171" t="str">
        <v/>
      </c>
      <c r="AW85" s="170"/>
    </row>
    <row r="86" spans="1:49">
      <c r="A86" s="76"/>
      <c r="B86" s="76"/>
      <c r="C86" s="81"/>
      <c r="D86" s="70"/>
      <c r="E86" s="167"/>
      <c r="F86" s="70"/>
      <c r="G86" s="167"/>
      <c r="H86" s="70"/>
      <c r="I86" s="167"/>
      <c r="J86" s="70"/>
      <c r="K86" s="167"/>
      <c r="L86" s="70"/>
      <c r="M86" s="73" t="str">
        <v/>
      </c>
      <c r="N86" s="73" t="str">
        <v/>
      </c>
      <c r="O86" s="73" t="str">
        <v/>
      </c>
      <c r="P86" s="73" t="str">
        <v/>
      </c>
      <c r="Q86" s="81"/>
      <c r="R86" s="70"/>
      <c r="S86" s="167"/>
      <c r="T86" s="70"/>
      <c r="U86" s="167"/>
      <c r="V86" s="70"/>
      <c r="W86" s="167"/>
      <c r="X86" s="70"/>
      <c r="Y86" s="167"/>
      <c r="Z86" s="70"/>
      <c r="AA86" s="73" t="str">
        <v/>
      </c>
      <c r="AB86" s="73" t="str">
        <v/>
      </c>
      <c r="AC86" s="73" t="str">
        <v/>
      </c>
      <c r="AD86" s="73" t="str">
        <v/>
      </c>
      <c r="AE86" s="81"/>
      <c r="AF86" s="70"/>
      <c r="AG86" s="167"/>
      <c r="AH86" s="70"/>
      <c r="AI86" s="167"/>
      <c r="AJ86" s="70"/>
      <c r="AK86" s="167"/>
      <c r="AL86" s="70"/>
      <c r="AM86" s="167"/>
      <c r="AN86" s="70"/>
      <c r="AO86" s="73" t="str">
        <v/>
      </c>
      <c r="AP86" s="73" t="str">
        <v/>
      </c>
      <c r="AQ86" s="73" t="str">
        <v/>
      </c>
      <c r="AR86" s="73" t="str">
        <v/>
      </c>
      <c r="AS86" s="168" t="str">
        <v/>
      </c>
      <c r="AT86" s="169" t="str">
        <v/>
      </c>
      <c r="AU86" s="170" t="str">
        <v/>
      </c>
      <c r="AV86" s="171" t="str">
        <v/>
      </c>
      <c r="AW86" s="170"/>
    </row>
    <row r="87" spans="1:49">
      <c r="A87" s="76"/>
      <c r="B87" s="76"/>
      <c r="C87" s="81"/>
      <c r="D87" s="70"/>
      <c r="E87" s="167"/>
      <c r="F87" s="70"/>
      <c r="G87" s="167"/>
      <c r="H87" s="70"/>
      <c r="I87" s="167"/>
      <c r="J87" s="70"/>
      <c r="K87" s="167"/>
      <c r="L87" s="70"/>
      <c r="M87" s="73" t="str">
        <v/>
      </c>
      <c r="N87" s="73" t="str">
        <v/>
      </c>
      <c r="O87" s="73" t="str">
        <v/>
      </c>
      <c r="P87" s="73" t="str">
        <v/>
      </c>
      <c r="Q87" s="81"/>
      <c r="R87" s="70"/>
      <c r="S87" s="167"/>
      <c r="T87" s="70"/>
      <c r="U87" s="167"/>
      <c r="V87" s="70"/>
      <c r="W87" s="167"/>
      <c r="X87" s="70"/>
      <c r="Y87" s="167"/>
      <c r="Z87" s="70"/>
      <c r="AA87" s="73" t="str">
        <v/>
      </c>
      <c r="AB87" s="73" t="str">
        <v/>
      </c>
      <c r="AC87" s="73" t="str">
        <v/>
      </c>
      <c r="AD87" s="73" t="str">
        <v/>
      </c>
      <c r="AE87" s="81"/>
      <c r="AF87" s="70"/>
      <c r="AG87" s="167"/>
      <c r="AH87" s="70"/>
      <c r="AI87" s="167"/>
      <c r="AJ87" s="70"/>
      <c r="AK87" s="167"/>
      <c r="AL87" s="70"/>
      <c r="AM87" s="167"/>
      <c r="AN87" s="70"/>
      <c r="AO87" s="73" t="str">
        <v/>
      </c>
      <c r="AP87" s="73" t="str">
        <v/>
      </c>
      <c r="AQ87" s="73" t="str">
        <v/>
      </c>
      <c r="AR87" s="73" t="str">
        <v/>
      </c>
      <c r="AS87" s="168" t="str">
        <v/>
      </c>
      <c r="AT87" s="169" t="str">
        <v/>
      </c>
      <c r="AU87" s="170" t="str">
        <v/>
      </c>
      <c r="AV87" s="171" t="str">
        <v/>
      </c>
      <c r="AW87" s="170"/>
    </row>
    <row r="88" spans="1:49">
      <c r="A88" s="76"/>
      <c r="B88" s="76"/>
      <c r="C88" s="81"/>
      <c r="D88" s="70"/>
      <c r="E88" s="167"/>
      <c r="F88" s="70"/>
      <c r="G88" s="167"/>
      <c r="H88" s="70"/>
      <c r="I88" s="167"/>
      <c r="J88" s="70"/>
      <c r="K88" s="167"/>
      <c r="L88" s="70"/>
      <c r="M88" s="73" t="str">
        <v/>
      </c>
      <c r="N88" s="73" t="str">
        <v/>
      </c>
      <c r="O88" s="73" t="str">
        <v/>
      </c>
      <c r="P88" s="73" t="str">
        <v/>
      </c>
      <c r="Q88" s="81"/>
      <c r="R88" s="70"/>
      <c r="S88" s="167"/>
      <c r="T88" s="70"/>
      <c r="U88" s="167"/>
      <c r="V88" s="70"/>
      <c r="W88" s="167"/>
      <c r="X88" s="70"/>
      <c r="Y88" s="167"/>
      <c r="Z88" s="70"/>
      <c r="AA88" s="73" t="str">
        <v/>
      </c>
      <c r="AB88" s="73" t="str">
        <v/>
      </c>
      <c r="AC88" s="73" t="str">
        <v/>
      </c>
      <c r="AD88" s="73" t="str">
        <v/>
      </c>
      <c r="AE88" s="81"/>
      <c r="AF88" s="70"/>
      <c r="AG88" s="167"/>
      <c r="AH88" s="70"/>
      <c r="AI88" s="167"/>
      <c r="AJ88" s="70"/>
      <c r="AK88" s="167"/>
      <c r="AL88" s="70"/>
      <c r="AM88" s="167"/>
      <c r="AN88" s="70"/>
      <c r="AO88" s="73" t="str">
        <v/>
      </c>
      <c r="AP88" s="73" t="str">
        <v/>
      </c>
      <c r="AQ88" s="73" t="str">
        <v/>
      </c>
      <c r="AR88" s="73" t="str">
        <v/>
      </c>
      <c r="AS88" s="168" t="str">
        <v/>
      </c>
      <c r="AT88" s="169" t="str">
        <v/>
      </c>
      <c r="AU88" s="170" t="str">
        <v/>
      </c>
      <c r="AV88" s="171" t="str">
        <v/>
      </c>
      <c r="AW88" s="170"/>
    </row>
    <row r="89" spans="1:49">
      <c r="A89" s="76"/>
      <c r="B89" s="76"/>
      <c r="C89" s="81"/>
      <c r="D89" s="70"/>
      <c r="E89" s="167"/>
      <c r="F89" s="70"/>
      <c r="G89" s="167"/>
      <c r="H89" s="70"/>
      <c r="I89" s="167"/>
      <c r="J89" s="70"/>
      <c r="K89" s="167"/>
      <c r="L89" s="70"/>
      <c r="M89" s="73" t="str">
        <v/>
      </c>
      <c r="N89" s="73" t="str">
        <v/>
      </c>
      <c r="O89" s="73" t="str">
        <v/>
      </c>
      <c r="P89" s="73" t="str">
        <v/>
      </c>
      <c r="Q89" s="81"/>
      <c r="R89" s="70"/>
      <c r="S89" s="167"/>
      <c r="T89" s="70"/>
      <c r="U89" s="167"/>
      <c r="V89" s="70"/>
      <c r="W89" s="167"/>
      <c r="X89" s="70"/>
      <c r="Y89" s="167"/>
      <c r="Z89" s="70"/>
      <c r="AA89" s="73" t="str">
        <v/>
      </c>
      <c r="AB89" s="73" t="str">
        <v/>
      </c>
      <c r="AC89" s="73" t="str">
        <v/>
      </c>
      <c r="AD89" s="73" t="str">
        <v/>
      </c>
      <c r="AE89" s="81"/>
      <c r="AF89" s="70"/>
      <c r="AG89" s="167"/>
      <c r="AH89" s="70"/>
      <c r="AI89" s="167"/>
      <c r="AJ89" s="70"/>
      <c r="AK89" s="167"/>
      <c r="AL89" s="70"/>
      <c r="AM89" s="167"/>
      <c r="AN89" s="70"/>
      <c r="AO89" s="73" t="str">
        <v/>
      </c>
      <c r="AP89" s="73" t="str">
        <v/>
      </c>
      <c r="AQ89" s="73" t="str">
        <v/>
      </c>
      <c r="AR89" s="73" t="str">
        <v/>
      </c>
      <c r="AS89" s="168" t="str">
        <v/>
      </c>
      <c r="AT89" s="169" t="str">
        <v/>
      </c>
      <c r="AU89" s="170" t="str">
        <v/>
      </c>
      <c r="AV89" s="171" t="str">
        <v/>
      </c>
      <c r="AW89" s="170"/>
    </row>
    <row r="90" spans="1:49">
      <c r="A90" s="76"/>
      <c r="B90" s="76"/>
      <c r="C90" s="81"/>
      <c r="D90" s="70"/>
      <c r="E90" s="167"/>
      <c r="F90" s="70"/>
      <c r="G90" s="167"/>
      <c r="H90" s="70"/>
      <c r="I90" s="167"/>
      <c r="J90" s="70"/>
      <c r="K90" s="167"/>
      <c r="L90" s="70"/>
      <c r="M90" s="73" t="str">
        <v/>
      </c>
      <c r="N90" s="73" t="str">
        <v/>
      </c>
      <c r="O90" s="73" t="str">
        <v/>
      </c>
      <c r="P90" s="73" t="str">
        <v/>
      </c>
      <c r="Q90" s="81"/>
      <c r="R90" s="70"/>
      <c r="S90" s="167"/>
      <c r="T90" s="70"/>
      <c r="U90" s="167"/>
      <c r="V90" s="70"/>
      <c r="W90" s="167"/>
      <c r="X90" s="70"/>
      <c r="Y90" s="167"/>
      <c r="Z90" s="70"/>
      <c r="AA90" s="73" t="str">
        <v/>
      </c>
      <c r="AB90" s="73" t="str">
        <v/>
      </c>
      <c r="AC90" s="73" t="str">
        <v/>
      </c>
      <c r="AD90" s="73" t="str">
        <v/>
      </c>
      <c r="AE90" s="81"/>
      <c r="AF90" s="70"/>
      <c r="AG90" s="167"/>
      <c r="AH90" s="70"/>
      <c r="AI90" s="167"/>
      <c r="AJ90" s="70"/>
      <c r="AK90" s="167"/>
      <c r="AL90" s="70"/>
      <c r="AM90" s="167"/>
      <c r="AN90" s="70"/>
      <c r="AO90" s="73" t="str">
        <v/>
      </c>
      <c r="AP90" s="73" t="str">
        <v/>
      </c>
      <c r="AQ90" s="73" t="str">
        <v/>
      </c>
      <c r="AR90" s="73" t="str">
        <v/>
      </c>
      <c r="AS90" s="168" t="str">
        <v/>
      </c>
      <c r="AT90" s="169" t="str">
        <v/>
      </c>
      <c r="AU90" s="170" t="str">
        <v/>
      </c>
      <c r="AV90" s="171" t="str">
        <v/>
      </c>
      <c r="AW90" s="170"/>
    </row>
    <row r="91" spans="1:49">
      <c r="A91" s="76"/>
      <c r="B91" s="76"/>
      <c r="C91" s="81"/>
      <c r="D91" s="70"/>
      <c r="E91" s="167"/>
      <c r="F91" s="70"/>
      <c r="G91" s="167"/>
      <c r="H91" s="70"/>
      <c r="I91" s="167"/>
      <c r="J91" s="70"/>
      <c r="K91" s="167"/>
      <c r="L91" s="70"/>
      <c r="M91" s="73" t="str">
        <v/>
      </c>
      <c r="N91" s="73" t="str">
        <v/>
      </c>
      <c r="O91" s="73" t="str">
        <v/>
      </c>
      <c r="P91" s="73" t="str">
        <v/>
      </c>
      <c r="Q91" s="81"/>
      <c r="R91" s="70"/>
      <c r="S91" s="167"/>
      <c r="T91" s="70"/>
      <c r="U91" s="167"/>
      <c r="V91" s="70"/>
      <c r="W91" s="167"/>
      <c r="X91" s="70"/>
      <c r="Y91" s="167"/>
      <c r="Z91" s="70"/>
      <c r="AA91" s="73" t="str">
        <v/>
      </c>
      <c r="AB91" s="73" t="str">
        <v/>
      </c>
      <c r="AC91" s="73" t="str">
        <v/>
      </c>
      <c r="AD91" s="73" t="str">
        <v/>
      </c>
      <c r="AE91" s="81"/>
      <c r="AF91" s="70"/>
      <c r="AG91" s="167"/>
      <c r="AH91" s="70"/>
      <c r="AI91" s="167"/>
      <c r="AJ91" s="70"/>
      <c r="AK91" s="167"/>
      <c r="AL91" s="70"/>
      <c r="AM91" s="167"/>
      <c r="AN91" s="70"/>
      <c r="AO91" s="73" t="str">
        <v/>
      </c>
      <c r="AP91" s="73" t="str">
        <v/>
      </c>
      <c r="AQ91" s="73" t="str">
        <v/>
      </c>
      <c r="AR91" s="73" t="str">
        <v/>
      </c>
      <c r="AS91" s="168" t="str">
        <v/>
      </c>
      <c r="AT91" s="169" t="str">
        <v/>
      </c>
      <c r="AU91" s="170" t="str">
        <v/>
      </c>
      <c r="AV91" s="171" t="str">
        <v/>
      </c>
      <c r="AW91" s="170"/>
    </row>
    <row r="92" spans="1:49">
      <c r="A92" s="76"/>
      <c r="B92" s="76"/>
      <c r="C92" s="81"/>
      <c r="D92" s="70"/>
      <c r="E92" s="167"/>
      <c r="F92" s="70"/>
      <c r="G92" s="167"/>
      <c r="H92" s="70"/>
      <c r="I92" s="167"/>
      <c r="J92" s="70"/>
      <c r="K92" s="167"/>
      <c r="L92" s="70"/>
      <c r="M92" s="73" t="str">
        <v/>
      </c>
      <c r="N92" s="73" t="str">
        <v/>
      </c>
      <c r="O92" s="73" t="str">
        <v/>
      </c>
      <c r="P92" s="73" t="str">
        <v/>
      </c>
      <c r="Q92" s="81"/>
      <c r="R92" s="70"/>
      <c r="S92" s="167"/>
      <c r="T92" s="70"/>
      <c r="U92" s="167"/>
      <c r="V92" s="70"/>
      <c r="W92" s="167"/>
      <c r="X92" s="70"/>
      <c r="Y92" s="167"/>
      <c r="Z92" s="70"/>
      <c r="AA92" s="73" t="str">
        <v/>
      </c>
      <c r="AB92" s="73" t="str">
        <v/>
      </c>
      <c r="AC92" s="73" t="str">
        <v/>
      </c>
      <c r="AD92" s="73" t="str">
        <v/>
      </c>
      <c r="AE92" s="81"/>
      <c r="AF92" s="70"/>
      <c r="AG92" s="167"/>
      <c r="AH92" s="70"/>
      <c r="AI92" s="167"/>
      <c r="AJ92" s="70"/>
      <c r="AK92" s="167"/>
      <c r="AL92" s="70"/>
      <c r="AM92" s="167"/>
      <c r="AN92" s="70"/>
      <c r="AO92" s="73" t="str">
        <v/>
      </c>
      <c r="AP92" s="73" t="str">
        <v/>
      </c>
      <c r="AQ92" s="73" t="str">
        <v/>
      </c>
      <c r="AR92" s="73" t="str">
        <v/>
      </c>
      <c r="AS92" s="168" t="str">
        <v/>
      </c>
      <c r="AT92" s="169" t="str">
        <v/>
      </c>
      <c r="AU92" s="170" t="str">
        <v/>
      </c>
      <c r="AV92" s="171" t="str">
        <v/>
      </c>
      <c r="AW92" s="170"/>
    </row>
    <row r="93" spans="1:49">
      <c r="A93" s="76"/>
      <c r="B93" s="76"/>
      <c r="C93" s="81"/>
      <c r="D93" s="70"/>
      <c r="E93" s="167"/>
      <c r="F93" s="70"/>
      <c r="G93" s="167"/>
      <c r="H93" s="70"/>
      <c r="I93" s="167"/>
      <c r="J93" s="70"/>
      <c r="K93" s="167"/>
      <c r="L93" s="70"/>
      <c r="M93" s="73" t="str">
        <v/>
      </c>
      <c r="N93" s="73" t="str">
        <v/>
      </c>
      <c r="O93" s="73" t="str">
        <v/>
      </c>
      <c r="P93" s="73" t="str">
        <v/>
      </c>
      <c r="Q93" s="81"/>
      <c r="R93" s="70"/>
      <c r="S93" s="167"/>
      <c r="T93" s="70"/>
      <c r="U93" s="167"/>
      <c r="V93" s="70"/>
      <c r="W93" s="167"/>
      <c r="X93" s="70"/>
      <c r="Y93" s="167"/>
      <c r="Z93" s="70"/>
      <c r="AA93" s="73" t="str">
        <v/>
      </c>
      <c r="AB93" s="73" t="str">
        <v/>
      </c>
      <c r="AC93" s="73" t="str">
        <v/>
      </c>
      <c r="AD93" s="73" t="str">
        <v/>
      </c>
      <c r="AE93" s="81"/>
      <c r="AF93" s="70"/>
      <c r="AG93" s="167"/>
      <c r="AH93" s="70"/>
      <c r="AI93" s="167"/>
      <c r="AJ93" s="70"/>
      <c r="AK93" s="167"/>
      <c r="AL93" s="70"/>
      <c r="AM93" s="167"/>
      <c r="AN93" s="70"/>
      <c r="AO93" s="73" t="str">
        <v/>
      </c>
      <c r="AP93" s="73" t="str">
        <v/>
      </c>
      <c r="AQ93" s="73" t="str">
        <v/>
      </c>
      <c r="AR93" s="73" t="str">
        <v/>
      </c>
      <c r="AS93" s="168" t="str">
        <v/>
      </c>
      <c r="AT93" s="169" t="str">
        <v/>
      </c>
      <c r="AU93" s="170" t="str">
        <v/>
      </c>
      <c r="AV93" s="171" t="str">
        <v/>
      </c>
      <c r="AW93" s="170"/>
    </row>
    <row r="94" spans="1:49">
      <c r="A94" s="76"/>
      <c r="B94" s="76"/>
      <c r="C94" s="81"/>
      <c r="D94" s="70"/>
      <c r="E94" s="167"/>
      <c r="F94" s="70"/>
      <c r="G94" s="167"/>
      <c r="H94" s="70"/>
      <c r="I94" s="167"/>
      <c r="J94" s="70"/>
      <c r="K94" s="167"/>
      <c r="L94" s="70"/>
      <c r="M94" s="73" t="str">
        <v/>
      </c>
      <c r="N94" s="73" t="str">
        <v/>
      </c>
      <c r="O94" s="73" t="str">
        <v/>
      </c>
      <c r="P94" s="73" t="str">
        <v/>
      </c>
      <c r="Q94" s="81"/>
      <c r="R94" s="70"/>
      <c r="S94" s="167"/>
      <c r="T94" s="70"/>
      <c r="U94" s="167"/>
      <c r="V94" s="70"/>
      <c r="W94" s="167"/>
      <c r="X94" s="70"/>
      <c r="Y94" s="167"/>
      <c r="Z94" s="70"/>
      <c r="AA94" s="73" t="str">
        <v/>
      </c>
      <c r="AB94" s="73" t="str">
        <v/>
      </c>
      <c r="AC94" s="73" t="str">
        <v/>
      </c>
      <c r="AD94" s="73" t="str">
        <v/>
      </c>
      <c r="AE94" s="81"/>
      <c r="AF94" s="70"/>
      <c r="AG94" s="167"/>
      <c r="AH94" s="70"/>
      <c r="AI94" s="167"/>
      <c r="AJ94" s="70"/>
      <c r="AK94" s="167"/>
      <c r="AL94" s="70"/>
      <c r="AM94" s="167"/>
      <c r="AN94" s="70"/>
      <c r="AO94" s="73" t="str">
        <v/>
      </c>
      <c r="AP94" s="73" t="str">
        <v/>
      </c>
      <c r="AQ94" s="73" t="str">
        <v/>
      </c>
      <c r="AR94" s="73" t="str">
        <v/>
      </c>
      <c r="AS94" s="168" t="str">
        <v/>
      </c>
      <c r="AT94" s="169" t="str">
        <v/>
      </c>
      <c r="AU94" s="170" t="str">
        <v/>
      </c>
      <c r="AV94" s="171" t="str">
        <v/>
      </c>
      <c r="AW94" s="170"/>
    </row>
    <row r="95" spans="1:49">
      <c r="A95" s="76"/>
      <c r="B95" s="76"/>
      <c r="C95" s="81"/>
      <c r="D95" s="70"/>
      <c r="E95" s="167"/>
      <c r="F95" s="70"/>
      <c r="G95" s="167"/>
      <c r="H95" s="70"/>
      <c r="I95" s="167"/>
      <c r="J95" s="70"/>
      <c r="K95" s="167"/>
      <c r="L95" s="70"/>
      <c r="M95" s="73" t="str">
        <v/>
      </c>
      <c r="N95" s="73" t="str">
        <v/>
      </c>
      <c r="O95" s="73" t="str">
        <v/>
      </c>
      <c r="P95" s="73" t="str">
        <v/>
      </c>
      <c r="Q95" s="81"/>
      <c r="R95" s="70"/>
      <c r="S95" s="167"/>
      <c r="T95" s="70"/>
      <c r="U95" s="167"/>
      <c r="V95" s="70"/>
      <c r="W95" s="167"/>
      <c r="X95" s="70"/>
      <c r="Y95" s="167"/>
      <c r="Z95" s="70"/>
      <c r="AA95" s="73" t="str">
        <v/>
      </c>
      <c r="AB95" s="73" t="str">
        <v/>
      </c>
      <c r="AC95" s="73" t="str">
        <v/>
      </c>
      <c r="AD95" s="73" t="str">
        <v/>
      </c>
      <c r="AE95" s="81"/>
      <c r="AF95" s="70"/>
      <c r="AG95" s="167"/>
      <c r="AH95" s="70"/>
      <c r="AI95" s="167"/>
      <c r="AJ95" s="70"/>
      <c r="AK95" s="167"/>
      <c r="AL95" s="70"/>
      <c r="AM95" s="167"/>
      <c r="AN95" s="70"/>
      <c r="AO95" s="73" t="str">
        <v/>
      </c>
      <c r="AP95" s="73" t="str">
        <v/>
      </c>
      <c r="AQ95" s="73" t="str">
        <v/>
      </c>
      <c r="AR95" s="73" t="str">
        <v/>
      </c>
      <c r="AS95" s="168" t="str">
        <v/>
      </c>
      <c r="AT95" s="169" t="str">
        <v/>
      </c>
      <c r="AU95" s="170" t="str">
        <v/>
      </c>
      <c r="AV95" s="171" t="str">
        <v/>
      </c>
      <c r="AW95" s="170"/>
    </row>
    <row r="96" spans="1:49">
      <c r="A96" s="76"/>
      <c r="B96" s="76"/>
      <c r="C96" s="81"/>
      <c r="D96" s="70"/>
      <c r="E96" s="167"/>
      <c r="F96" s="70"/>
      <c r="G96" s="167"/>
      <c r="H96" s="70"/>
      <c r="I96" s="167"/>
      <c r="J96" s="70"/>
      <c r="K96" s="167"/>
      <c r="L96" s="70"/>
      <c r="M96" s="73" t="str">
        <v/>
      </c>
      <c r="N96" s="73" t="str">
        <v/>
      </c>
      <c r="O96" s="73" t="str">
        <v/>
      </c>
      <c r="P96" s="73" t="str">
        <v/>
      </c>
      <c r="Q96" s="81"/>
      <c r="R96" s="70"/>
      <c r="S96" s="167"/>
      <c r="T96" s="70"/>
      <c r="U96" s="167"/>
      <c r="V96" s="70"/>
      <c r="W96" s="167"/>
      <c r="X96" s="70"/>
      <c r="Y96" s="167"/>
      <c r="Z96" s="70"/>
      <c r="AA96" s="73" t="str">
        <v/>
      </c>
      <c r="AB96" s="73" t="str">
        <v/>
      </c>
      <c r="AC96" s="73" t="str">
        <v/>
      </c>
      <c r="AD96" s="73" t="str">
        <v/>
      </c>
      <c r="AE96" s="81"/>
      <c r="AF96" s="70"/>
      <c r="AG96" s="167"/>
      <c r="AH96" s="70"/>
      <c r="AI96" s="167"/>
      <c r="AJ96" s="70"/>
      <c r="AK96" s="167"/>
      <c r="AL96" s="70"/>
      <c r="AM96" s="167"/>
      <c r="AN96" s="70"/>
      <c r="AO96" s="73" t="str">
        <v/>
      </c>
      <c r="AP96" s="73" t="str">
        <v/>
      </c>
      <c r="AQ96" s="73" t="str">
        <v/>
      </c>
      <c r="AR96" s="73" t="str">
        <v/>
      </c>
      <c r="AS96" s="168" t="str">
        <v/>
      </c>
      <c r="AT96" s="169" t="str">
        <v/>
      </c>
      <c r="AU96" s="170" t="str">
        <v/>
      </c>
      <c r="AV96" s="171" t="str">
        <v/>
      </c>
      <c r="AW96" s="170"/>
    </row>
    <row r="97" spans="1:49">
      <c r="A97" s="76"/>
      <c r="B97" s="76"/>
      <c r="C97" s="81"/>
      <c r="D97" s="70"/>
      <c r="E97" s="167"/>
      <c r="F97" s="70"/>
      <c r="G97" s="167"/>
      <c r="H97" s="70"/>
      <c r="I97" s="167"/>
      <c r="J97" s="70"/>
      <c r="K97" s="167"/>
      <c r="L97" s="70"/>
      <c r="M97" s="73" t="str">
        <v/>
      </c>
      <c r="N97" s="73" t="str">
        <v/>
      </c>
      <c r="O97" s="73" t="str">
        <v/>
      </c>
      <c r="P97" s="73" t="str">
        <v/>
      </c>
      <c r="Q97" s="81"/>
      <c r="R97" s="70"/>
      <c r="S97" s="167"/>
      <c r="T97" s="70"/>
      <c r="U97" s="167"/>
      <c r="V97" s="70"/>
      <c r="W97" s="167"/>
      <c r="X97" s="70"/>
      <c r="Y97" s="167"/>
      <c r="Z97" s="70"/>
      <c r="AA97" s="73" t="str">
        <v/>
      </c>
      <c r="AB97" s="73" t="str">
        <v/>
      </c>
      <c r="AC97" s="73" t="str">
        <v/>
      </c>
      <c r="AD97" s="73" t="str">
        <v/>
      </c>
      <c r="AE97" s="81"/>
      <c r="AF97" s="70"/>
      <c r="AG97" s="167"/>
      <c r="AH97" s="70"/>
      <c r="AI97" s="167"/>
      <c r="AJ97" s="70"/>
      <c r="AK97" s="167"/>
      <c r="AL97" s="70"/>
      <c r="AM97" s="167"/>
      <c r="AN97" s="70"/>
      <c r="AO97" s="73" t="str">
        <v/>
      </c>
      <c r="AP97" s="73" t="str">
        <v/>
      </c>
      <c r="AQ97" s="73" t="str">
        <v/>
      </c>
      <c r="AR97" s="73" t="str">
        <v/>
      </c>
      <c r="AS97" s="168" t="str">
        <v/>
      </c>
      <c r="AT97" s="169" t="str">
        <v/>
      </c>
      <c r="AU97" s="170" t="str">
        <v/>
      </c>
      <c r="AV97" s="171" t="str">
        <v/>
      </c>
      <c r="AW97" s="170"/>
    </row>
    <row r="98" spans="1:49">
      <c r="A98" s="76"/>
      <c r="B98" s="76"/>
      <c r="C98" s="81"/>
      <c r="D98" s="70"/>
      <c r="E98" s="167"/>
      <c r="F98" s="70"/>
      <c r="G98" s="167"/>
      <c r="H98" s="70"/>
      <c r="I98" s="167"/>
      <c r="J98" s="70"/>
      <c r="K98" s="167"/>
      <c r="L98" s="70"/>
      <c r="M98" s="73" t="str">
        <v/>
      </c>
      <c r="N98" s="73" t="str">
        <v/>
      </c>
      <c r="O98" s="73" t="str">
        <v/>
      </c>
      <c r="P98" s="73" t="str">
        <v/>
      </c>
      <c r="Q98" s="81"/>
      <c r="R98" s="70"/>
      <c r="S98" s="167"/>
      <c r="T98" s="70"/>
      <c r="U98" s="167"/>
      <c r="V98" s="70"/>
      <c r="W98" s="167"/>
      <c r="X98" s="70"/>
      <c r="Y98" s="167"/>
      <c r="Z98" s="70"/>
      <c r="AA98" s="73" t="str">
        <v/>
      </c>
      <c r="AB98" s="73" t="str">
        <v/>
      </c>
      <c r="AC98" s="73" t="str">
        <v/>
      </c>
      <c r="AD98" s="73" t="str">
        <v/>
      </c>
      <c r="AE98" s="81"/>
      <c r="AF98" s="70"/>
      <c r="AG98" s="167"/>
      <c r="AH98" s="70"/>
      <c r="AI98" s="167"/>
      <c r="AJ98" s="70"/>
      <c r="AK98" s="167"/>
      <c r="AL98" s="70"/>
      <c r="AM98" s="167"/>
      <c r="AN98" s="70"/>
      <c r="AO98" s="73" t="str">
        <v/>
      </c>
      <c r="AP98" s="73" t="str">
        <v/>
      </c>
      <c r="AQ98" s="73" t="str">
        <v/>
      </c>
      <c r="AR98" s="73" t="str">
        <v/>
      </c>
      <c r="AS98" s="168" t="str">
        <v/>
      </c>
      <c r="AT98" s="169" t="str">
        <v/>
      </c>
      <c r="AU98" s="170" t="str">
        <v/>
      </c>
      <c r="AV98" s="171" t="str">
        <v/>
      </c>
      <c r="AW98" s="170"/>
    </row>
    <row r="99" spans="1:49">
      <c r="A99" s="76"/>
      <c r="B99" s="76"/>
      <c r="C99" s="81"/>
      <c r="D99" s="70"/>
      <c r="E99" s="167"/>
      <c r="F99" s="70"/>
      <c r="G99" s="167"/>
      <c r="H99" s="70"/>
      <c r="I99" s="167"/>
      <c r="J99" s="70"/>
      <c r="K99" s="167"/>
      <c r="L99" s="70"/>
      <c r="M99" s="73" t="str">
        <v/>
      </c>
      <c r="N99" s="73" t="str">
        <v/>
      </c>
      <c r="O99" s="73" t="str">
        <v/>
      </c>
      <c r="P99" s="73" t="str">
        <v/>
      </c>
      <c r="Q99" s="81"/>
      <c r="R99" s="70"/>
      <c r="S99" s="167"/>
      <c r="T99" s="70"/>
      <c r="U99" s="167"/>
      <c r="V99" s="70"/>
      <c r="W99" s="167"/>
      <c r="X99" s="70"/>
      <c r="Y99" s="167"/>
      <c r="Z99" s="70"/>
      <c r="AA99" s="73" t="str">
        <v/>
      </c>
      <c r="AB99" s="73" t="str">
        <v/>
      </c>
      <c r="AC99" s="73" t="str">
        <v/>
      </c>
      <c r="AD99" s="73" t="str">
        <v/>
      </c>
      <c r="AE99" s="81"/>
      <c r="AF99" s="70"/>
      <c r="AG99" s="167"/>
      <c r="AH99" s="70"/>
      <c r="AI99" s="167"/>
      <c r="AJ99" s="70"/>
      <c r="AK99" s="167"/>
      <c r="AL99" s="70"/>
      <c r="AM99" s="167"/>
      <c r="AN99" s="70"/>
      <c r="AO99" s="73" t="str">
        <v/>
      </c>
      <c r="AP99" s="73" t="str">
        <v/>
      </c>
      <c r="AQ99" s="73" t="str">
        <v/>
      </c>
      <c r="AR99" s="73" t="str">
        <v/>
      </c>
      <c r="AS99" s="168" t="str">
        <v/>
      </c>
      <c r="AT99" s="169" t="str">
        <v/>
      </c>
      <c r="AU99" s="170" t="str">
        <v/>
      </c>
      <c r="AV99" s="171" t="str">
        <v/>
      </c>
      <c r="AW99" s="170"/>
    </row>
    <row r="100" spans="1:49">
      <c r="A100" s="76"/>
      <c r="B100" s="76"/>
      <c r="C100" s="81"/>
      <c r="D100" s="70"/>
      <c r="E100" s="167"/>
      <c r="F100" s="70"/>
      <c r="G100" s="167"/>
      <c r="H100" s="70"/>
      <c r="I100" s="167"/>
      <c r="J100" s="70"/>
      <c r="K100" s="167"/>
      <c r="L100" s="70"/>
      <c r="M100" s="73" t="str">
        <v/>
      </c>
      <c r="N100" s="73" t="str">
        <v/>
      </c>
      <c r="O100" s="73" t="str">
        <v/>
      </c>
      <c r="P100" s="73" t="str">
        <v/>
      </c>
      <c r="Q100" s="81"/>
      <c r="R100" s="70"/>
      <c r="S100" s="167"/>
      <c r="T100" s="70"/>
      <c r="U100" s="167"/>
      <c r="V100" s="70"/>
      <c r="W100" s="167"/>
      <c r="X100" s="70"/>
      <c r="Y100" s="167"/>
      <c r="Z100" s="70"/>
      <c r="AA100" s="73" t="str">
        <v/>
      </c>
      <c r="AB100" s="73" t="str">
        <v/>
      </c>
      <c r="AC100" s="73" t="str">
        <v/>
      </c>
      <c r="AD100" s="73" t="str">
        <v/>
      </c>
      <c r="AE100" s="81"/>
      <c r="AF100" s="70"/>
      <c r="AG100" s="167"/>
      <c r="AH100" s="70"/>
      <c r="AI100" s="167"/>
      <c r="AJ100" s="70"/>
      <c r="AK100" s="167"/>
      <c r="AL100" s="70"/>
      <c r="AM100" s="167"/>
      <c r="AN100" s="70"/>
      <c r="AO100" s="73" t="str">
        <v/>
      </c>
      <c r="AP100" s="73" t="str">
        <v/>
      </c>
      <c r="AQ100" s="73" t="str">
        <v/>
      </c>
      <c r="AR100" s="73" t="str">
        <v/>
      </c>
      <c r="AS100" s="168" t="str">
        <v/>
      </c>
      <c r="AT100" s="169" t="str">
        <v/>
      </c>
      <c r="AU100" s="170" t="str">
        <v/>
      </c>
      <c r="AV100" s="171" t="str">
        <v/>
      </c>
      <c r="AW100" s="17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xr:uid="{00000000-0002-0000-0400-000000000000}">
          <x14:formula1>
            <xm:f>Alimentacion_data!$B$2:$B$200</xm:f>
          </x14:formula1>
          <xm:sqref>C3:C100 E3:E100 G3:G100 I3:I100 K3:K100 Q3:Q100 S3:S100 U3:U100 W3:W100 Y3:Y100 AE3:AE100 AG3:AG100 AI3:AI100 AK3:AK100 AM3:AM100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Objetivos_calc</vt:lpstr>
      <vt:lpstr>Actividad_data</vt:lpstr>
      <vt:lpstr>Actividad_calc</vt:lpstr>
      <vt:lpstr>Alimentacion_data</vt:lpstr>
      <vt:lpstr>Alimentacion_calc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0</cp:lastModifiedBy>
  <dcterms:modified xsi:type="dcterms:W3CDTF">2026-02-20T16:47:44Z</dcterms:modified>
</cp:coreProperties>
</file>